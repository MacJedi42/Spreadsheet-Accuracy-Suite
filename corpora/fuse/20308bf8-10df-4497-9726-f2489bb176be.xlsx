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7115" windowHeight="9975" tabRatio="842"/>
  </bookViews>
  <sheets>
    <sheet name="FTE" sheetId="1" r:id="rId1"/>
    <sheet name="ASSD VAL" sheetId="2" r:id="rId2"/>
    <sheet name="ASSD VAL SOURCE" sheetId="3" r:id="rId3"/>
    <sheet name="MOTOR VEHICLE_FY04" sheetId="7" state="hidden" r:id="rId4"/>
    <sheet name="MOTOR VEHICLE_FY09" sheetId="8" state="hidden" r:id="rId5"/>
    <sheet name="MOTOR VEH FY04 &amp; FY09" sheetId="9" r:id="rId6"/>
    <sheet name="VIRTUAL" sheetId="4" r:id="rId7"/>
    <sheet name="AT RISK" sheetId="5" r:id="rId8"/>
    <sheet name="GF_LOB PP" sheetId="6" r:id="rId9"/>
  </sheets>
  <definedNames>
    <definedName name="_xlnm.Print_Titles" localSheetId="1">'ASSD VAL'!$1:$3</definedName>
    <definedName name="_xlnm.Print_Titles" localSheetId="2">'ASSD VAL SOURCE'!$1:$3</definedName>
    <definedName name="_xlnm.Print_Titles" localSheetId="7">'AT RISK'!$1:$4</definedName>
    <definedName name="_xlnm.Print_Titles" localSheetId="0">FTE!$1:$5</definedName>
    <definedName name="_xlnm.Print_Titles" localSheetId="8">'GF_LOB PP'!$1:$5</definedName>
    <definedName name="_xlnm.Print_Titles" localSheetId="5">'MOTOR VEH FY04 &amp; FY09'!$1:$5</definedName>
    <definedName name="_xlnm.Print_Titles" localSheetId="6">VIRTUAL!$1:$3</definedName>
  </definedNames>
  <calcPr calcId="125725"/>
</workbook>
</file>

<file path=xl/calcChain.xml><?xml version="1.0" encoding="utf-8"?>
<calcChain xmlns="http://schemas.openxmlformats.org/spreadsheetml/2006/main">
  <c r="BI314" i="8"/>
  <c r="BH314"/>
  <c r="BG314"/>
  <c r="BF314"/>
  <c r="BE314"/>
  <c r="BD314"/>
  <c r="BC314"/>
  <c r="BB314"/>
  <c r="BA314"/>
  <c r="AZ314"/>
  <c r="AY314"/>
  <c r="AX314"/>
  <c r="AW314"/>
  <c r="AV314"/>
  <c r="AU314"/>
  <c r="AT314"/>
  <c r="AS314"/>
  <c r="AR314"/>
  <c r="AQ314"/>
  <c r="AP314"/>
  <c r="AO314"/>
  <c r="AN314"/>
  <c r="AM314"/>
  <c r="AL314"/>
  <c r="AK314"/>
  <c r="AJ314"/>
  <c r="AI314"/>
  <c r="AH314"/>
  <c r="AG314"/>
  <c r="AF314"/>
  <c r="AE314"/>
  <c r="AD314"/>
  <c r="AC314"/>
  <c r="AB314"/>
  <c r="AA314"/>
  <c r="Z314"/>
  <c r="Y314"/>
  <c r="X314"/>
  <c r="W314"/>
  <c r="V314"/>
  <c r="U314"/>
  <c r="T314"/>
  <c r="S314"/>
  <c r="R314"/>
  <c r="Q314"/>
  <c r="P314"/>
  <c r="O314"/>
  <c r="N314"/>
  <c r="M314"/>
  <c r="L314"/>
  <c r="K314"/>
  <c r="J314"/>
  <c r="I314"/>
  <c r="H314"/>
  <c r="G314"/>
  <c r="F314"/>
  <c r="E314"/>
  <c r="D314"/>
  <c r="BI313"/>
  <c r="BH313"/>
  <c r="BG313"/>
  <c r="BF313"/>
  <c r="BI312"/>
  <c r="BH312"/>
  <c r="BG312"/>
  <c r="BF312"/>
  <c r="BI311"/>
  <c r="BH311"/>
  <c r="BG311"/>
  <c r="BF311"/>
  <c r="BI310"/>
  <c r="BH310"/>
  <c r="BG310"/>
  <c r="BF310"/>
  <c r="BI309"/>
  <c r="BH309"/>
  <c r="BG309"/>
  <c r="BF309"/>
  <c r="BI308"/>
  <c r="BH308"/>
  <c r="BG308"/>
  <c r="BF308"/>
  <c r="BI307"/>
  <c r="BH307"/>
  <c r="BG307"/>
  <c r="BF307"/>
  <c r="BI306"/>
  <c r="BH306"/>
  <c r="BG306"/>
  <c r="BF306"/>
  <c r="BI305"/>
  <c r="BH305"/>
  <c r="BG305"/>
  <c r="BF305"/>
  <c r="BI304"/>
  <c r="BH304"/>
  <c r="BG304"/>
  <c r="BF304"/>
  <c r="BI303"/>
  <c r="BH303"/>
  <c r="BG303"/>
  <c r="BF303"/>
  <c r="BI302"/>
  <c r="BH302"/>
  <c r="BG302"/>
  <c r="BF302"/>
  <c r="BI301"/>
  <c r="BH301"/>
  <c r="BG301"/>
  <c r="BF301"/>
  <c r="BI300"/>
  <c r="BH300"/>
  <c r="BG300"/>
  <c r="BF300"/>
  <c r="BI299"/>
  <c r="BH299"/>
  <c r="BG299"/>
  <c r="BF299"/>
  <c r="BI298"/>
  <c r="BH298"/>
  <c r="BG298"/>
  <c r="BF298"/>
  <c r="BI297"/>
  <c r="BH297"/>
  <c r="BG297"/>
  <c r="BF297"/>
  <c r="BI296"/>
  <c r="BH296"/>
  <c r="BG296"/>
  <c r="BF296"/>
  <c r="BI295"/>
  <c r="BH295"/>
  <c r="BG295"/>
  <c r="BF295"/>
  <c r="BI294"/>
  <c r="BH294"/>
  <c r="BG294"/>
  <c r="BF294"/>
  <c r="BI293"/>
  <c r="BH293"/>
  <c r="BG293"/>
  <c r="BF293"/>
  <c r="BI292"/>
  <c r="BH292"/>
  <c r="BG292"/>
  <c r="BF292"/>
  <c r="BI291"/>
  <c r="BH291"/>
  <c r="BG291"/>
  <c r="BF291"/>
  <c r="BI290"/>
  <c r="BH290"/>
  <c r="BG290"/>
  <c r="BF290"/>
  <c r="BI289"/>
  <c r="BH289"/>
  <c r="BG289"/>
  <c r="BF289"/>
  <c r="BI288"/>
  <c r="BH288"/>
  <c r="BG288"/>
  <c r="BF288"/>
  <c r="BI287"/>
  <c r="BH287"/>
  <c r="BG287"/>
  <c r="BF287"/>
  <c r="BI286"/>
  <c r="BH286"/>
  <c r="BG286"/>
  <c r="BF286"/>
  <c r="BI285"/>
  <c r="BH285"/>
  <c r="BG285"/>
  <c r="BF285"/>
  <c r="BI284"/>
  <c r="BH284"/>
  <c r="BG284"/>
  <c r="BF284"/>
  <c r="BI283"/>
  <c r="BH283"/>
  <c r="BG283"/>
  <c r="BF283"/>
  <c r="BI282"/>
  <c r="BH282"/>
  <c r="BG282"/>
  <c r="BF282"/>
  <c r="BI281"/>
  <c r="BH281"/>
  <c r="BG281"/>
  <c r="BF281"/>
  <c r="BI280"/>
  <c r="BH280"/>
  <c r="BG280"/>
  <c r="BF280"/>
  <c r="BI279"/>
  <c r="BH279"/>
  <c r="BG279"/>
  <c r="BF279"/>
  <c r="BI278"/>
  <c r="BH278"/>
  <c r="BG278"/>
  <c r="BF278"/>
  <c r="BI277"/>
  <c r="BH277"/>
  <c r="BG277"/>
  <c r="BF277"/>
  <c r="BI276"/>
  <c r="BH276"/>
  <c r="BG276"/>
  <c r="BF276"/>
  <c r="BI275"/>
  <c r="BH275"/>
  <c r="BG275"/>
  <c r="BF275"/>
  <c r="BI274"/>
  <c r="BH274"/>
  <c r="BG274"/>
  <c r="BF274"/>
  <c r="BI273"/>
  <c r="BH273"/>
  <c r="BG273"/>
  <c r="BF273"/>
  <c r="BI272"/>
  <c r="BH272"/>
  <c r="BG272"/>
  <c r="BF272"/>
  <c r="BI271"/>
  <c r="BH271"/>
  <c r="BG271"/>
  <c r="BF271"/>
  <c r="BI270"/>
  <c r="BH270"/>
  <c r="BG270"/>
  <c r="BF270"/>
  <c r="BI269"/>
  <c r="BH269"/>
  <c r="BG269"/>
  <c r="BF269"/>
  <c r="BI268"/>
  <c r="BH268"/>
  <c r="BG268"/>
  <c r="BF268"/>
  <c r="BI267"/>
  <c r="BH267"/>
  <c r="BG267"/>
  <c r="BF267"/>
  <c r="BI266"/>
  <c r="BH266"/>
  <c r="BG266"/>
  <c r="BF266"/>
  <c r="BI265"/>
  <c r="BH265"/>
  <c r="BG265"/>
  <c r="BF265"/>
  <c r="BI264"/>
  <c r="BH264"/>
  <c r="BG264"/>
  <c r="BF264"/>
  <c r="BI263"/>
  <c r="BH263"/>
  <c r="BG263"/>
  <c r="BF263"/>
  <c r="BI262"/>
  <c r="BH262"/>
  <c r="BG262"/>
  <c r="BF262"/>
  <c r="BI261"/>
  <c r="BH261"/>
  <c r="BG261"/>
  <c r="BF261"/>
  <c r="BI260"/>
  <c r="BH260"/>
  <c r="BG260"/>
  <c r="BF260"/>
  <c r="BI259"/>
  <c r="BH259"/>
  <c r="BG259"/>
  <c r="BF259"/>
  <c r="BI258"/>
  <c r="BH258"/>
  <c r="BG258"/>
  <c r="BF258"/>
  <c r="BI257"/>
  <c r="BH257"/>
  <c r="BG257"/>
  <c r="BF257"/>
  <c r="BI256"/>
  <c r="BH256"/>
  <c r="BG256"/>
  <c r="BF256"/>
  <c r="BI255"/>
  <c r="BH255"/>
  <c r="BG255"/>
  <c r="BF255"/>
  <c r="BI254"/>
  <c r="BH254"/>
  <c r="BG254"/>
  <c r="BF254"/>
  <c r="BI253"/>
  <c r="BH253"/>
  <c r="BG253"/>
  <c r="BF253"/>
  <c r="BI252"/>
  <c r="BH252"/>
  <c r="BG252"/>
  <c r="BF252"/>
  <c r="BI251"/>
  <c r="BH251"/>
  <c r="BG251"/>
  <c r="BF251"/>
  <c r="BI250"/>
  <c r="BH250"/>
  <c r="BG250"/>
  <c r="BF250"/>
  <c r="BI249"/>
  <c r="BH249"/>
  <c r="BG249"/>
  <c r="BF249"/>
  <c r="BI248"/>
  <c r="BH248"/>
  <c r="BG248"/>
  <c r="BF248"/>
  <c r="BI247"/>
  <c r="BH247"/>
  <c r="BG247"/>
  <c r="BF247"/>
  <c r="BI246"/>
  <c r="BH246"/>
  <c r="BG246"/>
  <c r="BF246"/>
  <c r="BI245"/>
  <c r="BH245"/>
  <c r="BG245"/>
  <c r="BF245"/>
  <c r="BI244"/>
  <c r="BH244"/>
  <c r="BG244"/>
  <c r="BF244"/>
  <c r="BI243"/>
  <c r="BH243"/>
  <c r="BG243"/>
  <c r="BF243"/>
  <c r="BI242"/>
  <c r="BH242"/>
  <c r="BG242"/>
  <c r="BF242"/>
  <c r="BI241"/>
  <c r="BH241"/>
  <c r="BG241"/>
  <c r="BF241"/>
  <c r="BI240"/>
  <c r="BH240"/>
  <c r="BG240"/>
  <c r="BF240"/>
  <c r="BI239"/>
  <c r="BH239"/>
  <c r="BG239"/>
  <c r="BF239"/>
  <c r="BI238"/>
  <c r="BH238"/>
  <c r="BG238"/>
  <c r="BF238"/>
  <c r="BI237"/>
  <c r="BH237"/>
  <c r="BG237"/>
  <c r="BF237"/>
  <c r="BI236"/>
  <c r="BH236"/>
  <c r="BG236"/>
  <c r="BF236"/>
  <c r="BI235"/>
  <c r="BH235"/>
  <c r="BG235"/>
  <c r="BF235"/>
  <c r="BI234"/>
  <c r="BH234"/>
  <c r="BG234"/>
  <c r="BF234"/>
  <c r="BI233"/>
  <c r="BH233"/>
  <c r="BG233"/>
  <c r="BF233"/>
  <c r="BI232"/>
  <c r="BH232"/>
  <c r="BG232"/>
  <c r="BF232"/>
  <c r="BI231"/>
  <c r="BH231"/>
  <c r="BG231"/>
  <c r="BF231"/>
  <c r="BI230"/>
  <c r="BH230"/>
  <c r="BG230"/>
  <c r="BF230"/>
  <c r="BI229"/>
  <c r="BH229"/>
  <c r="BG229"/>
  <c r="BF229"/>
  <c r="BI228"/>
  <c r="BH228"/>
  <c r="BG228"/>
  <c r="BF228"/>
  <c r="BI227"/>
  <c r="BH227"/>
  <c r="BG227"/>
  <c r="BF227"/>
  <c r="BI226"/>
  <c r="BH226"/>
  <c r="BG226"/>
  <c r="BF226"/>
  <c r="BI225"/>
  <c r="BH225"/>
  <c r="BG225"/>
  <c r="BF225"/>
  <c r="BI224"/>
  <c r="BH224"/>
  <c r="BG224"/>
  <c r="BF224"/>
  <c r="BI223"/>
  <c r="BH223"/>
  <c r="BG223"/>
  <c r="BF223"/>
  <c r="BI222"/>
  <c r="BH222"/>
  <c r="BG222"/>
  <c r="BF222"/>
  <c r="BI221"/>
  <c r="BH221"/>
  <c r="BG221"/>
  <c r="BF221"/>
  <c r="BI220"/>
  <c r="BH220"/>
  <c r="BG220"/>
  <c r="BF220"/>
  <c r="BI219"/>
  <c r="BH219"/>
  <c r="BG219"/>
  <c r="BF219"/>
  <c r="BI218"/>
  <c r="BH218"/>
  <c r="BG218"/>
  <c r="BF218"/>
  <c r="BI217"/>
  <c r="BH217"/>
  <c r="BG217"/>
  <c r="BF217"/>
  <c r="BI216"/>
  <c r="BH216"/>
  <c r="BG216"/>
  <c r="BF216"/>
  <c r="BI215"/>
  <c r="BH215"/>
  <c r="BG215"/>
  <c r="BF215"/>
  <c r="BI214"/>
  <c r="BH214"/>
  <c r="BG214"/>
  <c r="BF214"/>
  <c r="BI213"/>
  <c r="BH213"/>
  <c r="BG213"/>
  <c r="BF213"/>
  <c r="BI212"/>
  <c r="BH212"/>
  <c r="BG212"/>
  <c r="BF212"/>
  <c r="BI211"/>
  <c r="BH211"/>
  <c r="BG211"/>
  <c r="BF211"/>
  <c r="BI210"/>
  <c r="BH210"/>
  <c r="BG210"/>
  <c r="BF210"/>
  <c r="BI209"/>
  <c r="BH209"/>
  <c r="BG209"/>
  <c r="BF209"/>
  <c r="BI208"/>
  <c r="BH208"/>
  <c r="BG208"/>
  <c r="BF208"/>
  <c r="BI207"/>
  <c r="BH207"/>
  <c r="BG207"/>
  <c r="BF207"/>
  <c r="BI206"/>
  <c r="BH206"/>
  <c r="BG206"/>
  <c r="BF206"/>
  <c r="BI205"/>
  <c r="BH205"/>
  <c r="BG205"/>
  <c r="BF205"/>
  <c r="BI204"/>
  <c r="BH204"/>
  <c r="BG204"/>
  <c r="BF204"/>
  <c r="BI203"/>
  <c r="BH203"/>
  <c r="BG203"/>
  <c r="BF203"/>
  <c r="BI202"/>
  <c r="BH202"/>
  <c r="BG202"/>
  <c r="BF202"/>
  <c r="BI201"/>
  <c r="BH201"/>
  <c r="BG201"/>
  <c r="BF201"/>
  <c r="BI200"/>
  <c r="BH200"/>
  <c r="BG200"/>
  <c r="BF200"/>
  <c r="BI199"/>
  <c r="BH199"/>
  <c r="BG199"/>
  <c r="BF199"/>
  <c r="BI198"/>
  <c r="BH198"/>
  <c r="BG198"/>
  <c r="BF198"/>
  <c r="BI197"/>
  <c r="BH197"/>
  <c r="BG197"/>
  <c r="BF197"/>
  <c r="BI196"/>
  <c r="BH196"/>
  <c r="BG196"/>
  <c r="BF196"/>
  <c r="BI195"/>
  <c r="BH195"/>
  <c r="BG195"/>
  <c r="BF195"/>
  <c r="BI194"/>
  <c r="BH194"/>
  <c r="BG194"/>
  <c r="BF194"/>
  <c r="BI193"/>
  <c r="BH193"/>
  <c r="BG193"/>
  <c r="BF193"/>
  <c r="BI192"/>
  <c r="BH192"/>
  <c r="BG192"/>
  <c r="BF192"/>
  <c r="BI191"/>
  <c r="BH191"/>
  <c r="BG191"/>
  <c r="BF191"/>
  <c r="BI190"/>
  <c r="BH190"/>
  <c r="BG190"/>
  <c r="BF190"/>
  <c r="BI189"/>
  <c r="BH189"/>
  <c r="BG189"/>
  <c r="BF189"/>
  <c r="BI188"/>
  <c r="BH188"/>
  <c r="BG188"/>
  <c r="BF188"/>
  <c r="BI187"/>
  <c r="BH187"/>
  <c r="BG187"/>
  <c r="BF187"/>
  <c r="BI186"/>
  <c r="BH186"/>
  <c r="BG186"/>
  <c r="BF186"/>
  <c r="BI185"/>
  <c r="BH185"/>
  <c r="BG185"/>
  <c r="BF185"/>
  <c r="BI184"/>
  <c r="BH184"/>
  <c r="BG184"/>
  <c r="BF184"/>
  <c r="BI183"/>
  <c r="BH183"/>
  <c r="BG183"/>
  <c r="BF183"/>
  <c r="BI182"/>
  <c r="BH182"/>
  <c r="BG182"/>
  <c r="BF182"/>
  <c r="BI181"/>
  <c r="BH181"/>
  <c r="BG181"/>
  <c r="BF181"/>
  <c r="BI180"/>
  <c r="BH180"/>
  <c r="BG180"/>
  <c r="BF180"/>
  <c r="BI179"/>
  <c r="BH179"/>
  <c r="BG179"/>
  <c r="BF179"/>
  <c r="BI178"/>
  <c r="BH178"/>
  <c r="BG178"/>
  <c r="BF178"/>
  <c r="BI177"/>
  <c r="BH177"/>
  <c r="BG177"/>
  <c r="BF177"/>
  <c r="BI176"/>
  <c r="BH176"/>
  <c r="BG176"/>
  <c r="BF176"/>
  <c r="BI175"/>
  <c r="BH175"/>
  <c r="BG175"/>
  <c r="BF175"/>
  <c r="BI174"/>
  <c r="BH174"/>
  <c r="BG174"/>
  <c r="BF174"/>
  <c r="BI173"/>
  <c r="BH173"/>
  <c r="BG173"/>
  <c r="BF173"/>
  <c r="BI172"/>
  <c r="BH172"/>
  <c r="BG172"/>
  <c r="BF172"/>
  <c r="BI171"/>
  <c r="BH171"/>
  <c r="BG171"/>
  <c r="BF171"/>
  <c r="BI170"/>
  <c r="BH170"/>
  <c r="BG170"/>
  <c r="BF170"/>
  <c r="BI169"/>
  <c r="BH169"/>
  <c r="BG169"/>
  <c r="BF169"/>
  <c r="BI168"/>
  <c r="BH168"/>
  <c r="BG168"/>
  <c r="BF168"/>
  <c r="BI167"/>
  <c r="BH167"/>
  <c r="BG167"/>
  <c r="BF167"/>
  <c r="BI166"/>
  <c r="BH166"/>
  <c r="BG166"/>
  <c r="BF166"/>
  <c r="BI165"/>
  <c r="BH165"/>
  <c r="BG165"/>
  <c r="BF165"/>
  <c r="BI164"/>
  <c r="BH164"/>
  <c r="BG164"/>
  <c r="BF164"/>
  <c r="BI163"/>
  <c r="BH163"/>
  <c r="BG163"/>
  <c r="BF163"/>
  <c r="BI162"/>
  <c r="BH162"/>
  <c r="BG162"/>
  <c r="BF162"/>
  <c r="BI161"/>
  <c r="BH161"/>
  <c r="BG161"/>
  <c r="BF161"/>
  <c r="BI160"/>
  <c r="BH160"/>
  <c r="BG160"/>
  <c r="BF160"/>
  <c r="BI159"/>
  <c r="BH159"/>
  <c r="BG159"/>
  <c r="BF159"/>
  <c r="BI158"/>
  <c r="BH158"/>
  <c r="BG158"/>
  <c r="BF158"/>
  <c r="BI157"/>
  <c r="BH157"/>
  <c r="BG157"/>
  <c r="BF157"/>
  <c r="BI156"/>
  <c r="BH156"/>
  <c r="BG156"/>
  <c r="BF156"/>
  <c r="BI155"/>
  <c r="BH155"/>
  <c r="BG155"/>
  <c r="BF155"/>
  <c r="BI154"/>
  <c r="BH154"/>
  <c r="BG154"/>
  <c r="BF154"/>
  <c r="BI153"/>
  <c r="BH153"/>
  <c r="BG153"/>
  <c r="BF153"/>
  <c r="BI152"/>
  <c r="BH152"/>
  <c r="BG152"/>
  <c r="BF152"/>
  <c r="BI151"/>
  <c r="BH151"/>
  <c r="BG151"/>
  <c r="BF151"/>
  <c r="BI150"/>
  <c r="BH150"/>
  <c r="BG150"/>
  <c r="BF150"/>
  <c r="BI149"/>
  <c r="BH149"/>
  <c r="BG149"/>
  <c r="BF149"/>
  <c r="BI148"/>
  <c r="BH148"/>
  <c r="BG148"/>
  <c r="BF148"/>
  <c r="BI147"/>
  <c r="BH147"/>
  <c r="BG147"/>
  <c r="BF147"/>
  <c r="BI146"/>
  <c r="BH146"/>
  <c r="BG146"/>
  <c r="BF146"/>
  <c r="BI145"/>
  <c r="BH145"/>
  <c r="BG145"/>
  <c r="BF145"/>
  <c r="BI144"/>
  <c r="BH144"/>
  <c r="BG144"/>
  <c r="BF144"/>
  <c r="BI143"/>
  <c r="BH143"/>
  <c r="BG143"/>
  <c r="BF143"/>
  <c r="BI142"/>
  <c r="BH142"/>
  <c r="BG142"/>
  <c r="BF142"/>
  <c r="BI141"/>
  <c r="BH141"/>
  <c r="BG141"/>
  <c r="BF141"/>
  <c r="BI140"/>
  <c r="BH140"/>
  <c r="BG140"/>
  <c r="BF140"/>
  <c r="BI139"/>
  <c r="BH139"/>
  <c r="BG139"/>
  <c r="BF139"/>
  <c r="BI138"/>
  <c r="BH138"/>
  <c r="BG138"/>
  <c r="BF138"/>
  <c r="BI137"/>
  <c r="BH137"/>
  <c r="BG137"/>
  <c r="BF137"/>
  <c r="BI136"/>
  <c r="BH136"/>
  <c r="BG136"/>
  <c r="BF136"/>
  <c r="BI135"/>
  <c r="BH135"/>
  <c r="BG135"/>
  <c r="BF135"/>
  <c r="BI134"/>
  <c r="BH134"/>
  <c r="BG134"/>
  <c r="BF134"/>
  <c r="BI133"/>
  <c r="BH133"/>
  <c r="BG133"/>
  <c r="BF133"/>
  <c r="BI132"/>
  <c r="BH132"/>
  <c r="BG132"/>
  <c r="BF132"/>
  <c r="BI131"/>
  <c r="BH131"/>
  <c r="BG131"/>
  <c r="BF131"/>
  <c r="BI130"/>
  <c r="BH130"/>
  <c r="BG130"/>
  <c r="BF130"/>
  <c r="BI129"/>
  <c r="BH129"/>
  <c r="BG129"/>
  <c r="BF129"/>
  <c r="BI128"/>
  <c r="BH128"/>
  <c r="BG128"/>
  <c r="BF128"/>
  <c r="BI127"/>
  <c r="BH127"/>
  <c r="BG127"/>
  <c r="BF127"/>
  <c r="BI126"/>
  <c r="BH126"/>
  <c r="BG126"/>
  <c r="BF126"/>
  <c r="BI125"/>
  <c r="BH125"/>
  <c r="BG125"/>
  <c r="BF125"/>
  <c r="BI124"/>
  <c r="BH124"/>
  <c r="BG124"/>
  <c r="BF124"/>
  <c r="BI123"/>
  <c r="BH123"/>
  <c r="BG123"/>
  <c r="BF123"/>
  <c r="BI122"/>
  <c r="BH122"/>
  <c r="BG122"/>
  <c r="BF122"/>
  <c r="BI121"/>
  <c r="BH121"/>
  <c r="BG121"/>
  <c r="BF121"/>
  <c r="BI120"/>
  <c r="BH120"/>
  <c r="BG120"/>
  <c r="BF120"/>
  <c r="BI119"/>
  <c r="BH119"/>
  <c r="BG119"/>
  <c r="BF119"/>
  <c r="BI118"/>
  <c r="BH118"/>
  <c r="BG118"/>
  <c r="BF118"/>
  <c r="BI117"/>
  <c r="BH117"/>
  <c r="BG117"/>
  <c r="BF117"/>
  <c r="BI116"/>
  <c r="BH116"/>
  <c r="BG116"/>
  <c r="BF116"/>
  <c r="BI115"/>
  <c r="BH115"/>
  <c r="BG115"/>
  <c r="BF115"/>
  <c r="BI114"/>
  <c r="BH114"/>
  <c r="BG114"/>
  <c r="BF114"/>
  <c r="BI113"/>
  <c r="BH113"/>
  <c r="BG113"/>
  <c r="BF113"/>
  <c r="BI112"/>
  <c r="BH112"/>
  <c r="BG112"/>
  <c r="BF112"/>
  <c r="BI111"/>
  <c r="BH111"/>
  <c r="BG111"/>
  <c r="BF111"/>
  <c r="BI110"/>
  <c r="BH110"/>
  <c r="BG110"/>
  <c r="BF110"/>
  <c r="BI109"/>
  <c r="BH109"/>
  <c r="BG109"/>
  <c r="BF109"/>
  <c r="BI108"/>
  <c r="BH108"/>
  <c r="BG108"/>
  <c r="BF108"/>
  <c r="BI107"/>
  <c r="BH107"/>
  <c r="BG107"/>
  <c r="BF107"/>
  <c r="BI106"/>
  <c r="BH106"/>
  <c r="BG106"/>
  <c r="BF106"/>
  <c r="BI105"/>
  <c r="BH105"/>
  <c r="BG105"/>
  <c r="BF105"/>
  <c r="BI104"/>
  <c r="BH104"/>
  <c r="BG104"/>
  <c r="BF104"/>
  <c r="BI103"/>
  <c r="BH103"/>
  <c r="BG103"/>
  <c r="BF103"/>
  <c r="BI102"/>
  <c r="BH102"/>
  <c r="BG102"/>
  <c r="BF102"/>
  <c r="BI101"/>
  <c r="BH101"/>
  <c r="BG101"/>
  <c r="BF101"/>
  <c r="BI100"/>
  <c r="BH100"/>
  <c r="BG100"/>
  <c r="BF100"/>
  <c r="BI99"/>
  <c r="BH99"/>
  <c r="BG99"/>
  <c r="BF99"/>
  <c r="BI98"/>
  <c r="BH98"/>
  <c r="BG98"/>
  <c r="BF98"/>
  <c r="BI97"/>
  <c r="BH97"/>
  <c r="BG97"/>
  <c r="BF97"/>
  <c r="BI96"/>
  <c r="BH96"/>
  <c r="BG96"/>
  <c r="BF96"/>
  <c r="BI95"/>
  <c r="BH95"/>
  <c r="BG95"/>
  <c r="BF95"/>
  <c r="BI94"/>
  <c r="BH94"/>
  <c r="BG94"/>
  <c r="BF94"/>
  <c r="BI93"/>
  <c r="BH93"/>
  <c r="BG93"/>
  <c r="BF93"/>
  <c r="BI92"/>
  <c r="BH92"/>
  <c r="BG92"/>
  <c r="BF92"/>
  <c r="BI91"/>
  <c r="BH91"/>
  <c r="BG91"/>
  <c r="BF91"/>
  <c r="BI90"/>
  <c r="BH90"/>
  <c r="BG90"/>
  <c r="BF90"/>
  <c r="BI89"/>
  <c r="BH89"/>
  <c r="BG89"/>
  <c r="BF89"/>
  <c r="BI88"/>
  <c r="BH88"/>
  <c r="BG88"/>
  <c r="BF88"/>
  <c r="BI87"/>
  <c r="BH87"/>
  <c r="BG87"/>
  <c r="BF87"/>
  <c r="BI86"/>
  <c r="BH86"/>
  <c r="BG86"/>
  <c r="BF86"/>
  <c r="BI85"/>
  <c r="BH85"/>
  <c r="BG85"/>
  <c r="BF85"/>
  <c r="BI84"/>
  <c r="BH84"/>
  <c r="BG84"/>
  <c r="BF84"/>
  <c r="BI83"/>
  <c r="BH83"/>
  <c r="BG83"/>
  <c r="BF83"/>
  <c r="BI82"/>
  <c r="BH82"/>
  <c r="BG82"/>
  <c r="BF82"/>
  <c r="BI81"/>
  <c r="BH81"/>
  <c r="BG81"/>
  <c r="BF81"/>
  <c r="BI80"/>
  <c r="BH80"/>
  <c r="BG80"/>
  <c r="BF80"/>
  <c r="BI79"/>
  <c r="BH79"/>
  <c r="BG79"/>
  <c r="BF79"/>
  <c r="BI78"/>
  <c r="BH78"/>
  <c r="BG78"/>
  <c r="BF78"/>
  <c r="BI77"/>
  <c r="BH77"/>
  <c r="BG77"/>
  <c r="BF77"/>
  <c r="BI76"/>
  <c r="BH76"/>
  <c r="BG76"/>
  <c r="BF76"/>
  <c r="BI75"/>
  <c r="BH75"/>
  <c r="BG75"/>
  <c r="BF75"/>
  <c r="BI74"/>
  <c r="BH74"/>
  <c r="BG74"/>
  <c r="BF74"/>
  <c r="BI73"/>
  <c r="BH73"/>
  <c r="BG73"/>
  <c r="BF73"/>
  <c r="BI72"/>
  <c r="BH72"/>
  <c r="BG72"/>
  <c r="BF72"/>
  <c r="BI71"/>
  <c r="BH71"/>
  <c r="BG71"/>
  <c r="BF71"/>
  <c r="BI70"/>
  <c r="BH70"/>
  <c r="BG70"/>
  <c r="BF70"/>
  <c r="BI69"/>
  <c r="BH69"/>
  <c r="BG69"/>
  <c r="BF69"/>
  <c r="BI68"/>
  <c r="BH68"/>
  <c r="BG68"/>
  <c r="BF68"/>
  <c r="BI67"/>
  <c r="BH67"/>
  <c r="BG67"/>
  <c r="BF67"/>
  <c r="BI66"/>
  <c r="BH66"/>
  <c r="BG66"/>
  <c r="BF66"/>
  <c r="BI65"/>
  <c r="BH65"/>
  <c r="BG65"/>
  <c r="BF65"/>
  <c r="BI64"/>
  <c r="BH64"/>
  <c r="BG64"/>
  <c r="BF64"/>
  <c r="BI63"/>
  <c r="BH63"/>
  <c r="BG63"/>
  <c r="BF63"/>
  <c r="BI62"/>
  <c r="BH62"/>
  <c r="BG62"/>
  <c r="BF62"/>
  <c r="BI61"/>
  <c r="BH61"/>
  <c r="BG61"/>
  <c r="BF61"/>
  <c r="BI60"/>
  <c r="BH60"/>
  <c r="BG60"/>
  <c r="BF60"/>
  <c r="BI59"/>
  <c r="BH59"/>
  <c r="BG59"/>
  <c r="BF59"/>
  <c r="BI58"/>
  <c r="BH58"/>
  <c r="BG58"/>
  <c r="BF58"/>
  <c r="BI57"/>
  <c r="BH57"/>
  <c r="BG57"/>
  <c r="BF57"/>
  <c r="BI56"/>
  <c r="BH56"/>
  <c r="BG56"/>
  <c r="BF56"/>
  <c r="BI55"/>
  <c r="BH55"/>
  <c r="BG55"/>
  <c r="BF55"/>
  <c r="BI54"/>
  <c r="BH54"/>
  <c r="BG54"/>
  <c r="BF54"/>
  <c r="BI53"/>
  <c r="BH53"/>
  <c r="BG53"/>
  <c r="BF53"/>
  <c r="BI52"/>
  <c r="BH52"/>
  <c r="BG52"/>
  <c r="BF52"/>
  <c r="BI51"/>
  <c r="BH51"/>
  <c r="BG51"/>
  <c r="BF51"/>
  <c r="BI50"/>
  <c r="BH50"/>
  <c r="BG50"/>
  <c r="BF50"/>
  <c r="BI49"/>
  <c r="BH49"/>
  <c r="BG49"/>
  <c r="BF49"/>
  <c r="BI48"/>
  <c r="BH48"/>
  <c r="BG48"/>
  <c r="BF48"/>
  <c r="BI47"/>
  <c r="BH47"/>
  <c r="BG47"/>
  <c r="BF47"/>
  <c r="BI46"/>
  <c r="BH46"/>
  <c r="BG46"/>
  <c r="BF46"/>
  <c r="BI45"/>
  <c r="BH45"/>
  <c r="BG45"/>
  <c r="BF45"/>
  <c r="BI44"/>
  <c r="BH44"/>
  <c r="BG44"/>
  <c r="BF44"/>
  <c r="BI43"/>
  <c r="BH43"/>
  <c r="BG43"/>
  <c r="BF43"/>
  <c r="BI42"/>
  <c r="BH42"/>
  <c r="BG42"/>
  <c r="BF42"/>
  <c r="BI41"/>
  <c r="BH41"/>
  <c r="BG41"/>
  <c r="BF41"/>
  <c r="BI40"/>
  <c r="BH40"/>
  <c r="BG40"/>
  <c r="BF40"/>
  <c r="BI39"/>
  <c r="BH39"/>
  <c r="BG39"/>
  <c r="BF39"/>
  <c r="BI38"/>
  <c r="BH38"/>
  <c r="BG38"/>
  <c r="BF38"/>
  <c r="BI37"/>
  <c r="BH37"/>
  <c r="BG37"/>
  <c r="BF37"/>
  <c r="BI36"/>
  <c r="BH36"/>
  <c r="BG36"/>
  <c r="BF36"/>
  <c r="BI35"/>
  <c r="BH35"/>
  <c r="BG35"/>
  <c r="BF35"/>
  <c r="BI34"/>
  <c r="BH34"/>
  <c r="BG34"/>
  <c r="BF34"/>
  <c r="BI33"/>
  <c r="BH33"/>
  <c r="BG33"/>
  <c r="BF33"/>
  <c r="BI32"/>
  <c r="BH32"/>
  <c r="BG32"/>
  <c r="BF32"/>
  <c r="BI31"/>
  <c r="BH31"/>
  <c r="BG31"/>
  <c r="BF31"/>
  <c r="BI30"/>
  <c r="BH30"/>
  <c r="BG30"/>
  <c r="BF30"/>
  <c r="BI29"/>
  <c r="BH29"/>
  <c r="BG29"/>
  <c r="BF29"/>
  <c r="BI28"/>
  <c r="BH28"/>
  <c r="BG28"/>
  <c r="BF28"/>
  <c r="BI27"/>
  <c r="BH27"/>
  <c r="BG27"/>
  <c r="BF27"/>
  <c r="BI26"/>
  <c r="BH26"/>
  <c r="BG26"/>
  <c r="BF26"/>
  <c r="BI25"/>
  <c r="BH25"/>
  <c r="BG25"/>
  <c r="BF25"/>
  <c r="BI24"/>
  <c r="BH24"/>
  <c r="BG24"/>
  <c r="BF24"/>
  <c r="BI23"/>
  <c r="BH23"/>
  <c r="BG23"/>
  <c r="BF23"/>
  <c r="BI22"/>
  <c r="BH22"/>
  <c r="BG22"/>
  <c r="BF22"/>
  <c r="BI21"/>
  <c r="BH21"/>
  <c r="BG21"/>
  <c r="BF21"/>
  <c r="BI20"/>
  <c r="BH20"/>
  <c r="BG20"/>
  <c r="BF20"/>
  <c r="BI19"/>
  <c r="BH19"/>
  <c r="BG19"/>
  <c r="BF19"/>
  <c r="BI18"/>
  <c r="BH18"/>
  <c r="BG18"/>
  <c r="BF18"/>
  <c r="BI17"/>
  <c r="BH17"/>
  <c r="BG17"/>
  <c r="BF17"/>
  <c r="BI16"/>
  <c r="BH16"/>
  <c r="BG16"/>
  <c r="BF16"/>
  <c r="BI15"/>
  <c r="BH15"/>
  <c r="BG15"/>
  <c r="BF15"/>
  <c r="BI14"/>
  <c r="BH14"/>
  <c r="BG14"/>
  <c r="BF14"/>
  <c r="BI13"/>
  <c r="BH13"/>
  <c r="BG13"/>
  <c r="BF13"/>
  <c r="BI12"/>
  <c r="BH12"/>
  <c r="BG12"/>
  <c r="BF12"/>
  <c r="BI11"/>
  <c r="BH11"/>
  <c r="BG11"/>
  <c r="BF11"/>
  <c r="BI10"/>
  <c r="BH10"/>
  <c r="BG10"/>
  <c r="BF10"/>
  <c r="BI9"/>
  <c r="BH9"/>
  <c r="BG9"/>
  <c r="BF9"/>
  <c r="BI8"/>
  <c r="BH8"/>
  <c r="BG8"/>
  <c r="BF8"/>
  <c r="BI7"/>
  <c r="BH7"/>
  <c r="BG7"/>
  <c r="BF7"/>
  <c r="BI6"/>
  <c r="BH6"/>
  <c r="BG6"/>
  <c r="BF6"/>
  <c r="BC315" i="7"/>
  <c r="BB315"/>
  <c r="BA315"/>
  <c r="AZ315"/>
  <c r="BC313"/>
  <c r="BB313"/>
  <c r="BA313"/>
  <c r="AZ313"/>
  <c r="BC312"/>
  <c r="BB312"/>
  <c r="BA312"/>
  <c r="AZ312"/>
  <c r="BC311"/>
  <c r="BB311"/>
  <c r="BA311"/>
  <c r="AZ311"/>
  <c r="BC310"/>
  <c r="BB310"/>
  <c r="BA310"/>
  <c r="AZ310"/>
  <c r="BC309"/>
  <c r="BB309"/>
  <c r="BA309"/>
  <c r="AZ309"/>
  <c r="BC308"/>
  <c r="BB308"/>
  <c r="BA308"/>
  <c r="AZ308"/>
  <c r="BC307"/>
  <c r="BB307"/>
  <c r="BA307"/>
  <c r="AZ307"/>
  <c r="BC306"/>
  <c r="BB306"/>
  <c r="BA306"/>
  <c r="AZ306"/>
  <c r="BC305"/>
  <c r="BB305"/>
  <c r="BA305"/>
  <c r="AZ305"/>
  <c r="BC304"/>
  <c r="BB304"/>
  <c r="BA304"/>
  <c r="AZ304"/>
  <c r="BC303"/>
  <c r="BB303"/>
  <c r="BA303"/>
  <c r="AZ303"/>
  <c r="BC302"/>
  <c r="BB302"/>
  <c r="BA302"/>
  <c r="AZ302"/>
  <c r="BC301"/>
  <c r="BB301"/>
  <c r="BA301"/>
  <c r="AZ301"/>
  <c r="BC300"/>
  <c r="BB300"/>
  <c r="BA300"/>
  <c r="AZ300"/>
  <c r="BC299"/>
  <c r="BB299"/>
  <c r="BA299"/>
  <c r="AZ299"/>
  <c r="BC298"/>
  <c r="BB298"/>
  <c r="BA298"/>
  <c r="AZ298"/>
  <c r="BC297"/>
  <c r="BB297"/>
  <c r="BA297"/>
  <c r="AZ297"/>
  <c r="BC296"/>
  <c r="BB296"/>
  <c r="BA296"/>
  <c r="AZ296"/>
  <c r="BC295"/>
  <c r="BB295"/>
  <c r="BA295"/>
  <c r="AZ295"/>
  <c r="BC294"/>
  <c r="BB294"/>
  <c r="BA294"/>
  <c r="AZ294"/>
  <c r="BC293"/>
  <c r="BB293"/>
  <c r="BA293"/>
  <c r="AZ293"/>
  <c r="BC292"/>
  <c r="BB292"/>
  <c r="BA292"/>
  <c r="AZ292"/>
  <c r="BC291"/>
  <c r="BB291"/>
  <c r="BA291"/>
  <c r="AZ291"/>
  <c r="BC290"/>
  <c r="BB290"/>
  <c r="BA290"/>
  <c r="AZ290"/>
  <c r="BC289"/>
  <c r="BB289"/>
  <c r="BA289"/>
  <c r="AZ289"/>
  <c r="BC288"/>
  <c r="BB288"/>
  <c r="BA288"/>
  <c r="AZ288"/>
  <c r="BC287"/>
  <c r="BB287"/>
  <c r="BA287"/>
  <c r="AZ287"/>
  <c r="BC286"/>
  <c r="BB286"/>
  <c r="BA286"/>
  <c r="AZ286"/>
  <c r="BC285"/>
  <c r="BB285"/>
  <c r="BA285"/>
  <c r="AZ285"/>
  <c r="BC284"/>
  <c r="BB284"/>
  <c r="BA284"/>
  <c r="AZ284"/>
  <c r="BC283"/>
  <c r="BB283"/>
  <c r="BA283"/>
  <c r="AZ283"/>
  <c r="BC282"/>
  <c r="BB282"/>
  <c r="BA282"/>
  <c r="AZ282"/>
  <c r="BC281"/>
  <c r="BB281"/>
  <c r="BA281"/>
  <c r="AZ281"/>
  <c r="BC280"/>
  <c r="BB280"/>
  <c r="BA280"/>
  <c r="AZ280"/>
  <c r="BC279"/>
  <c r="BB279"/>
  <c r="BA279"/>
  <c r="AZ279"/>
  <c r="BC278"/>
  <c r="BB278"/>
  <c r="BA278"/>
  <c r="AZ278"/>
  <c r="BC277"/>
  <c r="BB277"/>
  <c r="BA277"/>
  <c r="AZ277"/>
  <c r="BC276"/>
  <c r="BB276"/>
  <c r="BA276"/>
  <c r="AZ276"/>
  <c r="BC275"/>
  <c r="BB275"/>
  <c r="BA275"/>
  <c r="AZ275"/>
  <c r="BC274"/>
  <c r="BB274"/>
  <c r="BA274"/>
  <c r="AZ274"/>
  <c r="BC273"/>
  <c r="BB273"/>
  <c r="BA273"/>
  <c r="AZ273"/>
  <c r="BC272"/>
  <c r="BB272"/>
  <c r="BA272"/>
  <c r="AZ272"/>
  <c r="BC271"/>
  <c r="BB271"/>
  <c r="BA271"/>
  <c r="AZ271"/>
  <c r="BC270"/>
  <c r="BB270"/>
  <c r="BA270"/>
  <c r="AZ270"/>
  <c r="BC269"/>
  <c r="BB269"/>
  <c r="BA269"/>
  <c r="AZ269"/>
  <c r="BC268"/>
  <c r="BB268"/>
  <c r="BA268"/>
  <c r="AZ268"/>
  <c r="BC267"/>
  <c r="BB267"/>
  <c r="BA267"/>
  <c r="AZ267"/>
  <c r="BC266"/>
  <c r="BB266"/>
  <c r="BA266"/>
  <c r="AZ266"/>
  <c r="BC265"/>
  <c r="BB265"/>
  <c r="BA265"/>
  <c r="AZ265"/>
  <c r="BC264"/>
  <c r="BB264"/>
  <c r="BA264"/>
  <c r="AZ264"/>
  <c r="BC263"/>
  <c r="BB263"/>
  <c r="BA263"/>
  <c r="AZ263"/>
  <c r="BC262"/>
  <c r="BB262"/>
  <c r="BA262"/>
  <c r="AZ262"/>
  <c r="BC261"/>
  <c r="BB261"/>
  <c r="BA261"/>
  <c r="AZ261"/>
  <c r="BC260"/>
  <c r="BB260"/>
  <c r="BA260"/>
  <c r="AZ260"/>
  <c r="BC259"/>
  <c r="BB259"/>
  <c r="BA259"/>
  <c r="AZ259"/>
  <c r="BC258"/>
  <c r="BB258"/>
  <c r="BA258"/>
  <c r="AZ258"/>
  <c r="BC257"/>
  <c r="BB257"/>
  <c r="BA257"/>
  <c r="AZ257"/>
  <c r="BC256"/>
  <c r="BB256"/>
  <c r="BA256"/>
  <c r="AZ256"/>
  <c r="BC255"/>
  <c r="BB255"/>
  <c r="BA255"/>
  <c r="AZ255"/>
  <c r="BC254"/>
  <c r="BB254"/>
  <c r="BA254"/>
  <c r="AZ254"/>
  <c r="BC253"/>
  <c r="BB253"/>
  <c r="BA253"/>
  <c r="AZ253"/>
  <c r="BC252"/>
  <c r="BB252"/>
  <c r="BA252"/>
  <c r="AZ252"/>
  <c r="BC251"/>
  <c r="BB251"/>
  <c r="BA251"/>
  <c r="AZ251"/>
  <c r="BC250"/>
  <c r="BB250"/>
  <c r="BA250"/>
  <c r="AZ250"/>
  <c r="BC249"/>
  <c r="BB249"/>
  <c r="BA249"/>
  <c r="AZ249"/>
  <c r="BC248"/>
  <c r="BB248"/>
  <c r="BA248"/>
  <c r="AZ248"/>
  <c r="BC247"/>
  <c r="BB247"/>
  <c r="BA247"/>
  <c r="AZ247"/>
  <c r="BC246"/>
  <c r="BB246"/>
  <c r="BA246"/>
  <c r="AZ246"/>
  <c r="BC245"/>
  <c r="BB245"/>
  <c r="BA245"/>
  <c r="AZ245"/>
  <c r="BC244"/>
  <c r="BB244"/>
  <c r="BA244"/>
  <c r="AZ244"/>
  <c r="BC243"/>
  <c r="BB243"/>
  <c r="BA243"/>
  <c r="AZ243"/>
  <c r="BC242"/>
  <c r="BB242"/>
  <c r="BA242"/>
  <c r="AZ242"/>
  <c r="BC241"/>
  <c r="BB241"/>
  <c r="BA241"/>
  <c r="AZ241"/>
  <c r="BC240"/>
  <c r="BB240"/>
  <c r="BA240"/>
  <c r="AZ240"/>
  <c r="BC239"/>
  <c r="BB239"/>
  <c r="BA239"/>
  <c r="AZ239"/>
  <c r="BC238"/>
  <c r="BB238"/>
  <c r="BA238"/>
  <c r="AZ238"/>
  <c r="BC237"/>
  <c r="BB237"/>
  <c r="BA237"/>
  <c r="AZ237"/>
  <c r="BC236"/>
  <c r="BB236"/>
  <c r="BA236"/>
  <c r="AZ236"/>
  <c r="BC235"/>
  <c r="BB235"/>
  <c r="BA235"/>
  <c r="AZ235"/>
  <c r="BC234"/>
  <c r="BB234"/>
  <c r="BA234"/>
  <c r="AZ234"/>
  <c r="BC233"/>
  <c r="BB233"/>
  <c r="BA233"/>
  <c r="AZ233"/>
  <c r="BC232"/>
  <c r="BB232"/>
  <c r="BA232"/>
  <c r="AZ232"/>
  <c r="BC231"/>
  <c r="BB231"/>
  <c r="BA231"/>
  <c r="AZ231"/>
  <c r="BC230"/>
  <c r="BB230"/>
  <c r="BA230"/>
  <c r="AZ230"/>
  <c r="BC229"/>
  <c r="BB229"/>
  <c r="BA229"/>
  <c r="AZ229"/>
  <c r="BC228"/>
  <c r="BB228"/>
  <c r="BA228"/>
  <c r="AZ228"/>
  <c r="BC227"/>
  <c r="BB227"/>
  <c r="BA227"/>
  <c r="AZ227"/>
  <c r="BC226"/>
  <c r="BB226"/>
  <c r="BA226"/>
  <c r="AZ226"/>
  <c r="BC225"/>
  <c r="BB225"/>
  <c r="BA225"/>
  <c r="AZ225"/>
  <c r="BC224"/>
  <c r="BB224"/>
  <c r="BA224"/>
  <c r="AZ224"/>
  <c r="BC223"/>
  <c r="BB223"/>
  <c r="BA223"/>
  <c r="AZ223"/>
  <c r="BC222"/>
  <c r="BB222"/>
  <c r="BA222"/>
  <c r="AZ222"/>
  <c r="BC221"/>
  <c r="BB221"/>
  <c r="BA221"/>
  <c r="AZ221"/>
  <c r="BC220"/>
  <c r="BB220"/>
  <c r="BA220"/>
  <c r="AZ220"/>
  <c r="BC219"/>
  <c r="BB219"/>
  <c r="BA219"/>
  <c r="AZ219"/>
  <c r="BC218"/>
  <c r="BB218"/>
  <c r="BA218"/>
  <c r="AZ218"/>
  <c r="BC217"/>
  <c r="BB217"/>
  <c r="BA217"/>
  <c r="AZ217"/>
  <c r="BC216"/>
  <c r="BB216"/>
  <c r="BA216"/>
  <c r="AZ216"/>
  <c r="BC215"/>
  <c r="BB215"/>
  <c r="BA215"/>
  <c r="AZ215"/>
  <c r="BC214"/>
  <c r="BB214"/>
  <c r="BA214"/>
  <c r="AZ214"/>
  <c r="BC213"/>
  <c r="BB213"/>
  <c r="BA213"/>
  <c r="AZ213"/>
  <c r="BC212"/>
  <c r="BB212"/>
  <c r="BA212"/>
  <c r="AZ212"/>
  <c r="BC211"/>
  <c r="BB211"/>
  <c r="BA211"/>
  <c r="AZ211"/>
  <c r="BC210"/>
  <c r="BB210"/>
  <c r="BA210"/>
  <c r="AZ210"/>
  <c r="BC209"/>
  <c r="BB209"/>
  <c r="BA209"/>
  <c r="AZ209"/>
  <c r="BC208"/>
  <c r="BB208"/>
  <c r="BA208"/>
  <c r="AZ208"/>
  <c r="BC207"/>
  <c r="BB207"/>
  <c r="BA207"/>
  <c r="AZ207"/>
  <c r="BC206"/>
  <c r="BB206"/>
  <c r="BA206"/>
  <c r="AZ206"/>
  <c r="BC205"/>
  <c r="BB205"/>
  <c r="BA205"/>
  <c r="AZ205"/>
  <c r="BC204"/>
  <c r="BB204"/>
  <c r="BA204"/>
  <c r="AZ204"/>
  <c r="BC203"/>
  <c r="BB203"/>
  <c r="BA203"/>
  <c r="AZ203"/>
  <c r="BC202"/>
  <c r="BB202"/>
  <c r="BA202"/>
  <c r="AZ202"/>
  <c r="BC201"/>
  <c r="BB201"/>
  <c r="BA201"/>
  <c r="AZ201"/>
  <c r="BC200"/>
  <c r="BB200"/>
  <c r="BA200"/>
  <c r="AZ200"/>
  <c r="BC199"/>
  <c r="BB199"/>
  <c r="BA199"/>
  <c r="AZ199"/>
  <c r="BC198"/>
  <c r="BB198"/>
  <c r="BA198"/>
  <c r="AZ198"/>
  <c r="BC197"/>
  <c r="BB197"/>
  <c r="BA197"/>
  <c r="AZ197"/>
  <c r="BC196"/>
  <c r="BB196"/>
  <c r="BA196"/>
  <c r="AZ196"/>
  <c r="BC195"/>
  <c r="BB195"/>
  <c r="BA195"/>
  <c r="AZ195"/>
  <c r="BC194"/>
  <c r="BB194"/>
  <c r="BA194"/>
  <c r="AZ194"/>
  <c r="BC193"/>
  <c r="BB193"/>
  <c r="BA193"/>
  <c r="AZ193"/>
  <c r="BC192"/>
  <c r="BB192"/>
  <c r="BA192"/>
  <c r="AZ192"/>
  <c r="BC191"/>
  <c r="BB191"/>
  <c r="BA191"/>
  <c r="AZ191"/>
  <c r="BC190"/>
  <c r="BB190"/>
  <c r="BA190"/>
  <c r="AZ190"/>
  <c r="BC189"/>
  <c r="BB189"/>
  <c r="BA189"/>
  <c r="AZ189"/>
  <c r="BC188"/>
  <c r="BB188"/>
  <c r="BA188"/>
  <c r="AZ188"/>
  <c r="BC187"/>
  <c r="BB187"/>
  <c r="BA187"/>
  <c r="AZ187"/>
  <c r="BC186"/>
  <c r="BB186"/>
  <c r="BA186"/>
  <c r="AZ186"/>
  <c r="BC185"/>
  <c r="BB185"/>
  <c r="BA185"/>
  <c r="AZ185"/>
  <c r="BC184"/>
  <c r="BB184"/>
  <c r="BA184"/>
  <c r="AZ184"/>
  <c r="BC183"/>
  <c r="BB183"/>
  <c r="BA183"/>
  <c r="AZ183"/>
  <c r="BC182"/>
  <c r="BB182"/>
  <c r="BA182"/>
  <c r="AZ182"/>
  <c r="BC181"/>
  <c r="BB181"/>
  <c r="BA181"/>
  <c r="AZ181"/>
  <c r="BC180"/>
  <c r="BB180"/>
  <c r="BA180"/>
  <c r="AZ180"/>
  <c r="BC179"/>
  <c r="BB179"/>
  <c r="BA179"/>
  <c r="AZ179"/>
  <c r="BC178"/>
  <c r="BB178"/>
  <c r="BA178"/>
  <c r="AZ178"/>
  <c r="BC177"/>
  <c r="BB177"/>
  <c r="BA177"/>
  <c r="AZ177"/>
  <c r="BC176"/>
  <c r="BB176"/>
  <c r="BA176"/>
  <c r="AZ176"/>
  <c r="BC175"/>
  <c r="BB175"/>
  <c r="BA175"/>
  <c r="AZ175"/>
  <c r="BC174"/>
  <c r="BB174"/>
  <c r="BA174"/>
  <c r="AZ174"/>
  <c r="BC173"/>
  <c r="BB173"/>
  <c r="BA173"/>
  <c r="AZ173"/>
  <c r="BC172"/>
  <c r="BB172"/>
  <c r="BA172"/>
  <c r="AZ172"/>
  <c r="BC171"/>
  <c r="BB171"/>
  <c r="BA171"/>
  <c r="AZ171"/>
  <c r="BC170"/>
  <c r="BB170"/>
  <c r="BA170"/>
  <c r="AZ170"/>
  <c r="BC169"/>
  <c r="BB169"/>
  <c r="BA169"/>
  <c r="AZ169"/>
  <c r="BC168"/>
  <c r="BB168"/>
  <c r="BA168"/>
  <c r="AZ168"/>
  <c r="BC167"/>
  <c r="BB167"/>
  <c r="BA167"/>
  <c r="AZ167"/>
  <c r="BC166"/>
  <c r="BB166"/>
  <c r="BA166"/>
  <c r="AZ166"/>
  <c r="BC165"/>
  <c r="BB165"/>
  <c r="BA165"/>
  <c r="AZ165"/>
  <c r="BC164"/>
  <c r="BB164"/>
  <c r="BA164"/>
  <c r="AZ164"/>
  <c r="BC163"/>
  <c r="BB163"/>
  <c r="BA163"/>
  <c r="AZ163"/>
  <c r="BC162"/>
  <c r="BB162"/>
  <c r="BA162"/>
  <c r="AZ162"/>
  <c r="BC161"/>
  <c r="BB161"/>
  <c r="BA161"/>
  <c r="AZ161"/>
  <c r="BC160"/>
  <c r="BB160"/>
  <c r="BA160"/>
  <c r="AZ160"/>
  <c r="BC159"/>
  <c r="BB159"/>
  <c r="BA159"/>
  <c r="AZ159"/>
  <c r="BC158"/>
  <c r="BB158"/>
  <c r="BA158"/>
  <c r="AZ158"/>
  <c r="BC157"/>
  <c r="BB157"/>
  <c r="BA157"/>
  <c r="AZ157"/>
  <c r="BC156"/>
  <c r="BB156"/>
  <c r="BA156"/>
  <c r="AZ156"/>
  <c r="BC155"/>
  <c r="BB155"/>
  <c r="BA155"/>
  <c r="AZ155"/>
  <c r="BC154"/>
  <c r="BB154"/>
  <c r="BA154"/>
  <c r="AZ154"/>
  <c r="BC153"/>
  <c r="BB153"/>
  <c r="BA153"/>
  <c r="AZ153"/>
  <c r="BC152"/>
  <c r="BB152"/>
  <c r="BA152"/>
  <c r="AZ152"/>
  <c r="BC151"/>
  <c r="BB151"/>
  <c r="BA151"/>
  <c r="AZ151"/>
  <c r="BC150"/>
  <c r="BB150"/>
  <c r="BA150"/>
  <c r="AZ150"/>
  <c r="BC149"/>
  <c r="BB149"/>
  <c r="BA149"/>
  <c r="AZ149"/>
  <c r="BC148"/>
  <c r="BB148"/>
  <c r="BA148"/>
  <c r="AZ148"/>
  <c r="BC147"/>
  <c r="BB147"/>
  <c r="BA147"/>
  <c r="AZ147"/>
  <c r="BC146"/>
  <c r="BB146"/>
  <c r="BA146"/>
  <c r="AZ146"/>
  <c r="BC145"/>
  <c r="BB145"/>
  <c r="BA145"/>
  <c r="AZ145"/>
  <c r="BC144"/>
  <c r="BB144"/>
  <c r="BA144"/>
  <c r="AZ144"/>
  <c r="BC143"/>
  <c r="BB143"/>
  <c r="BA143"/>
  <c r="AZ143"/>
  <c r="BC142"/>
  <c r="BB142"/>
  <c r="BA142"/>
  <c r="AZ142"/>
  <c r="BC141"/>
  <c r="BB141"/>
  <c r="BA141"/>
  <c r="AZ141"/>
  <c r="BC140"/>
  <c r="BB140"/>
  <c r="BA140"/>
  <c r="AZ140"/>
  <c r="BC139"/>
  <c r="BB139"/>
  <c r="BA139"/>
  <c r="AZ139"/>
  <c r="BC138"/>
  <c r="BB138"/>
  <c r="BA138"/>
  <c r="AZ138"/>
  <c r="BC137"/>
  <c r="BB137"/>
  <c r="BA137"/>
  <c r="AZ137"/>
  <c r="BC136"/>
  <c r="BB136"/>
  <c r="BA136"/>
  <c r="AZ136"/>
  <c r="BC135"/>
  <c r="BB135"/>
  <c r="BA135"/>
  <c r="AZ135"/>
  <c r="BC134"/>
  <c r="BB134"/>
  <c r="BA134"/>
  <c r="AZ134"/>
  <c r="BC133"/>
  <c r="BB133"/>
  <c r="BA133"/>
  <c r="AZ133"/>
  <c r="BC132"/>
  <c r="BB132"/>
  <c r="BA132"/>
  <c r="AZ132"/>
  <c r="BC131"/>
  <c r="BB131"/>
  <c r="BA131"/>
  <c r="AZ131"/>
  <c r="BC130"/>
  <c r="BB130"/>
  <c r="BA130"/>
  <c r="AZ130"/>
  <c r="BC129"/>
  <c r="BB129"/>
  <c r="BA129"/>
  <c r="AZ129"/>
  <c r="BC128"/>
  <c r="BB128"/>
  <c r="BA128"/>
  <c r="AZ128"/>
  <c r="BC127"/>
  <c r="BB127"/>
  <c r="BA127"/>
  <c r="AZ127"/>
  <c r="BC126"/>
  <c r="BB126"/>
  <c r="BA126"/>
  <c r="AZ126"/>
  <c r="BC125"/>
  <c r="BB125"/>
  <c r="BA125"/>
  <c r="AZ125"/>
  <c r="BC124"/>
  <c r="BB124"/>
  <c r="BA124"/>
  <c r="AZ124"/>
  <c r="BC123"/>
  <c r="BB123"/>
  <c r="BA123"/>
  <c r="AZ123"/>
  <c r="BC122"/>
  <c r="BB122"/>
  <c r="BA122"/>
  <c r="AZ122"/>
  <c r="BC121"/>
  <c r="BB121"/>
  <c r="BA121"/>
  <c r="AZ121"/>
  <c r="BC120"/>
  <c r="BB120"/>
  <c r="BA120"/>
  <c r="AZ120"/>
  <c r="BC119"/>
  <c r="BB119"/>
  <c r="BA119"/>
  <c r="AZ119"/>
  <c r="BC118"/>
  <c r="BB118"/>
  <c r="BA118"/>
  <c r="AZ118"/>
  <c r="BC117"/>
  <c r="BB117"/>
  <c r="BA117"/>
  <c r="AZ117"/>
  <c r="BC116"/>
  <c r="BB116"/>
  <c r="BA116"/>
  <c r="AZ116"/>
  <c r="BC115"/>
  <c r="BB115"/>
  <c r="BA115"/>
  <c r="AZ115"/>
  <c r="BC114"/>
  <c r="BB114"/>
  <c r="BA114"/>
  <c r="AZ114"/>
  <c r="BC113"/>
  <c r="BB113"/>
  <c r="BA113"/>
  <c r="AZ113"/>
  <c r="BC112"/>
  <c r="BB112"/>
  <c r="BA112"/>
  <c r="AZ112"/>
  <c r="BC111"/>
  <c r="BB111"/>
  <c r="BA111"/>
  <c r="AZ111"/>
  <c r="BC110"/>
  <c r="BB110"/>
  <c r="BA110"/>
  <c r="AZ110"/>
  <c r="BC109"/>
  <c r="BB109"/>
  <c r="BA109"/>
  <c r="AZ109"/>
  <c r="BC108"/>
  <c r="BB108"/>
  <c r="BA108"/>
  <c r="AZ108"/>
  <c r="BC107"/>
  <c r="BB107"/>
  <c r="BA107"/>
  <c r="AZ107"/>
  <c r="BC106"/>
  <c r="BB106"/>
  <c r="BA106"/>
  <c r="AZ106"/>
  <c r="BC105"/>
  <c r="BB105"/>
  <c r="BA105"/>
  <c r="AZ105"/>
  <c r="BC104"/>
  <c r="BB104"/>
  <c r="BA104"/>
  <c r="AZ104"/>
  <c r="BC103"/>
  <c r="BB103"/>
  <c r="BA103"/>
  <c r="AZ103"/>
  <c r="BC102"/>
  <c r="BB102"/>
  <c r="BA102"/>
  <c r="AZ102"/>
  <c r="BC101"/>
  <c r="BB101"/>
  <c r="BA101"/>
  <c r="AZ101"/>
  <c r="BC100"/>
  <c r="BB100"/>
  <c r="BA100"/>
  <c r="AZ100"/>
  <c r="BC99"/>
  <c r="BB99"/>
  <c r="BA99"/>
  <c r="AZ99"/>
  <c r="BC98"/>
  <c r="BB98"/>
  <c r="BA98"/>
  <c r="AZ98"/>
  <c r="BC97"/>
  <c r="BB97"/>
  <c r="BA97"/>
  <c r="AZ97"/>
  <c r="BC96"/>
  <c r="BB96"/>
  <c r="BA96"/>
  <c r="AZ96"/>
  <c r="BC95"/>
  <c r="BB95"/>
  <c r="BA95"/>
  <c r="AZ95"/>
  <c r="BC94"/>
  <c r="BB94"/>
  <c r="BA94"/>
  <c r="AZ94"/>
  <c r="BC93"/>
  <c r="BB93"/>
  <c r="BA93"/>
  <c r="AZ93"/>
  <c r="BC92"/>
  <c r="BB92"/>
  <c r="BA92"/>
  <c r="AZ92"/>
  <c r="BC91"/>
  <c r="BB91"/>
  <c r="BA91"/>
  <c r="AZ91"/>
  <c r="BC90"/>
  <c r="BB90"/>
  <c r="BA90"/>
  <c r="AZ90"/>
  <c r="BC89"/>
  <c r="BB89"/>
  <c r="BA89"/>
  <c r="AZ89"/>
  <c r="BC88"/>
  <c r="BB88"/>
  <c r="BA88"/>
  <c r="AZ88"/>
  <c r="BC87"/>
  <c r="BB87"/>
  <c r="BA87"/>
  <c r="AZ87"/>
  <c r="BC86"/>
  <c r="BB86"/>
  <c r="BA86"/>
  <c r="AZ86"/>
  <c r="BC85"/>
  <c r="BB85"/>
  <c r="BA85"/>
  <c r="AZ85"/>
  <c r="BC84"/>
  <c r="BB84"/>
  <c r="BA84"/>
  <c r="AZ84"/>
  <c r="BC83"/>
  <c r="BB83"/>
  <c r="BA83"/>
  <c r="AZ83"/>
  <c r="BC82"/>
  <c r="BB82"/>
  <c r="BA82"/>
  <c r="AZ82"/>
  <c r="BC81"/>
  <c r="BB81"/>
  <c r="BA81"/>
  <c r="AZ81"/>
  <c r="BC80"/>
  <c r="BB80"/>
  <c r="BA80"/>
  <c r="AZ80"/>
  <c r="BC79"/>
  <c r="BB79"/>
  <c r="BA79"/>
  <c r="AZ79"/>
  <c r="BC78"/>
  <c r="BB78"/>
  <c r="BA78"/>
  <c r="AZ78"/>
  <c r="BC77"/>
  <c r="BB77"/>
  <c r="BA77"/>
  <c r="AZ77"/>
  <c r="BC76"/>
  <c r="BB76"/>
  <c r="BA76"/>
  <c r="AZ76"/>
  <c r="BC75"/>
  <c r="BB75"/>
  <c r="BA75"/>
  <c r="AZ75"/>
  <c r="BC74"/>
  <c r="BB74"/>
  <c r="BA74"/>
  <c r="AZ74"/>
  <c r="BC73"/>
  <c r="BB73"/>
  <c r="BA73"/>
  <c r="AZ73"/>
  <c r="BC72"/>
  <c r="BB72"/>
  <c r="BA72"/>
  <c r="AZ72"/>
  <c r="BC71"/>
  <c r="BB71"/>
  <c r="BA71"/>
  <c r="AZ71"/>
  <c r="BC70"/>
  <c r="BB70"/>
  <c r="BA70"/>
  <c r="AZ70"/>
  <c r="BC69"/>
  <c r="BB69"/>
  <c r="BA69"/>
  <c r="AZ69"/>
  <c r="BC68"/>
  <c r="BB68"/>
  <c r="BA68"/>
  <c r="AZ68"/>
  <c r="BC67"/>
  <c r="BB67"/>
  <c r="BA67"/>
  <c r="AZ67"/>
  <c r="BC66"/>
  <c r="BB66"/>
  <c r="BA66"/>
  <c r="AZ66"/>
  <c r="BC65"/>
  <c r="BB65"/>
  <c r="BA65"/>
  <c r="AZ65"/>
  <c r="BC64"/>
  <c r="BB64"/>
  <c r="BA64"/>
  <c r="AZ64"/>
  <c r="BC63"/>
  <c r="BB63"/>
  <c r="BA63"/>
  <c r="AZ63"/>
  <c r="BC62"/>
  <c r="BB62"/>
  <c r="BA62"/>
  <c r="AZ62"/>
  <c r="BC61"/>
  <c r="BB61"/>
  <c r="BA61"/>
  <c r="AZ61"/>
  <c r="BC60"/>
  <c r="BB60"/>
  <c r="BA60"/>
  <c r="AZ60"/>
  <c r="BC59"/>
  <c r="BB59"/>
  <c r="BA59"/>
  <c r="AZ59"/>
  <c r="BC58"/>
  <c r="BB58"/>
  <c r="BA58"/>
  <c r="AZ58"/>
  <c r="BC57"/>
  <c r="BB57"/>
  <c r="BA57"/>
  <c r="AZ57"/>
  <c r="BC56"/>
  <c r="BB56"/>
  <c r="BA56"/>
  <c r="AZ56"/>
  <c r="BC55"/>
  <c r="BB55"/>
  <c r="BA55"/>
  <c r="AZ55"/>
  <c r="BC54"/>
  <c r="BB54"/>
  <c r="BA54"/>
  <c r="AZ54"/>
  <c r="BC53"/>
  <c r="BB53"/>
  <c r="BA53"/>
  <c r="AZ53"/>
  <c r="BC52"/>
  <c r="BB52"/>
  <c r="BA52"/>
  <c r="AZ52"/>
  <c r="BC51"/>
  <c r="BB51"/>
  <c r="BA51"/>
  <c r="AZ51"/>
  <c r="BC50"/>
  <c r="BB50"/>
  <c r="BA50"/>
  <c r="AZ50"/>
  <c r="BC49"/>
  <c r="BB49"/>
  <c r="BA49"/>
  <c r="AZ49"/>
  <c r="BC48"/>
  <c r="BB48"/>
  <c r="BA48"/>
  <c r="AZ48"/>
  <c r="BC47"/>
  <c r="BB47"/>
  <c r="BA47"/>
  <c r="AZ47"/>
  <c r="BC46"/>
  <c r="BB46"/>
  <c r="BA46"/>
  <c r="AZ46"/>
  <c r="BC45"/>
  <c r="BB45"/>
  <c r="BA45"/>
  <c r="AZ45"/>
  <c r="BC44"/>
  <c r="BB44"/>
  <c r="BA44"/>
  <c r="AZ44"/>
  <c r="BC43"/>
  <c r="BB43"/>
  <c r="BA43"/>
  <c r="AZ43"/>
  <c r="BC42"/>
  <c r="BB42"/>
  <c r="BA42"/>
  <c r="AZ42"/>
  <c r="BC41"/>
  <c r="BB41"/>
  <c r="BA41"/>
  <c r="AZ41"/>
  <c r="BC40"/>
  <c r="BB40"/>
  <c r="BA40"/>
  <c r="AZ40"/>
  <c r="BC39"/>
  <c r="BB39"/>
  <c r="BA39"/>
  <c r="AZ39"/>
  <c r="BC38"/>
  <c r="BB38"/>
  <c r="BA38"/>
  <c r="AZ38"/>
  <c r="BC37"/>
  <c r="BB37"/>
  <c r="BA37"/>
  <c r="AZ37"/>
  <c r="BC36"/>
  <c r="BB36"/>
  <c r="BA36"/>
  <c r="AZ36"/>
  <c r="BC35"/>
  <c r="BB35"/>
  <c r="BA35"/>
  <c r="AZ35"/>
  <c r="BC34"/>
  <c r="BB34"/>
  <c r="BA34"/>
  <c r="AZ34"/>
  <c r="BC33"/>
  <c r="BB33"/>
  <c r="BA33"/>
  <c r="AZ33"/>
  <c r="BC32"/>
  <c r="BB32"/>
  <c r="BA32"/>
  <c r="AZ32"/>
  <c r="BC31"/>
  <c r="BB31"/>
  <c r="BA31"/>
  <c r="AZ31"/>
  <c r="BC30"/>
  <c r="BB30"/>
  <c r="BA30"/>
  <c r="AZ30"/>
  <c r="BC29"/>
  <c r="BB29"/>
  <c r="BA29"/>
  <c r="AZ29"/>
  <c r="BC28"/>
  <c r="BB28"/>
  <c r="BA28"/>
  <c r="AZ28"/>
  <c r="BC27"/>
  <c r="BB27"/>
  <c r="BA27"/>
  <c r="AZ27"/>
  <c r="BC26"/>
  <c r="BB26"/>
  <c r="BA26"/>
  <c r="AZ26"/>
  <c r="BC25"/>
  <c r="BB25"/>
  <c r="BA25"/>
  <c r="AZ25"/>
  <c r="BC24"/>
  <c r="BB24"/>
  <c r="BA24"/>
  <c r="AZ24"/>
  <c r="BC23"/>
  <c r="BB23"/>
  <c r="BA23"/>
  <c r="AZ23"/>
  <c r="BC22"/>
  <c r="BB22"/>
  <c r="BA22"/>
  <c r="AZ22"/>
  <c r="BC21"/>
  <c r="BB21"/>
  <c r="BA21"/>
  <c r="AZ21"/>
  <c r="BC20"/>
  <c r="BB20"/>
  <c r="BA20"/>
  <c r="AZ20"/>
  <c r="BC19"/>
  <c r="BB19"/>
  <c r="BA19"/>
  <c r="AZ19"/>
  <c r="BC18"/>
  <c r="BB18"/>
  <c r="BA18"/>
  <c r="AZ18"/>
  <c r="BC17"/>
  <c r="BB17"/>
  <c r="BA17"/>
  <c r="AZ17"/>
  <c r="BC16"/>
  <c r="BB16"/>
  <c r="BA16"/>
  <c r="AZ16"/>
  <c r="BC15"/>
  <c r="BB15"/>
  <c r="BA15"/>
  <c r="AZ15"/>
  <c r="BC14"/>
  <c r="BB14"/>
  <c r="BA14"/>
  <c r="AZ14"/>
  <c r="BC13"/>
  <c r="BB13"/>
  <c r="BA13"/>
  <c r="AZ13"/>
  <c r="BC12"/>
  <c r="BB12"/>
  <c r="BA12"/>
  <c r="AZ12"/>
  <c r="BC11"/>
  <c r="BB11"/>
  <c r="BA11"/>
  <c r="AZ11"/>
  <c r="BC10"/>
  <c r="BB10"/>
  <c r="BA10"/>
  <c r="AZ10"/>
  <c r="BC9"/>
  <c r="BB9"/>
  <c r="BA9"/>
  <c r="AZ9"/>
  <c r="BC8"/>
  <c r="BB8"/>
  <c r="BA8"/>
  <c r="AZ8"/>
  <c r="BC7"/>
  <c r="BB7"/>
  <c r="BA7"/>
  <c r="AZ7"/>
  <c r="BC6"/>
  <c r="BB6"/>
  <c r="BA6"/>
  <c r="AZ6"/>
  <c r="AX315" l="1"/>
  <c r="AW315"/>
  <c r="AV315"/>
  <c r="AU315"/>
  <c r="AT315"/>
  <c r="AS315"/>
  <c r="AR315"/>
  <c r="AQ315"/>
  <c r="AP315"/>
  <c r="AO315"/>
  <c r="AN315"/>
  <c r="AM315"/>
  <c r="AL315"/>
  <c r="AK315"/>
  <c r="AJ315"/>
  <c r="AI315"/>
  <c r="AH315"/>
  <c r="AG315"/>
  <c r="AF315"/>
  <c r="AE315"/>
  <c r="AD315"/>
  <c r="AC315"/>
  <c r="AB315"/>
  <c r="AA315"/>
  <c r="Z315"/>
  <c r="Y315"/>
  <c r="X315"/>
  <c r="W315"/>
  <c r="V315"/>
  <c r="U315"/>
  <c r="T315"/>
  <c r="S315"/>
  <c r="R315"/>
  <c r="Q315"/>
  <c r="P315"/>
  <c r="O315"/>
  <c r="N315"/>
  <c r="M315"/>
  <c r="L315"/>
  <c r="K315"/>
  <c r="J315"/>
  <c r="I315"/>
  <c r="H315"/>
  <c r="G315"/>
  <c r="F315"/>
  <c r="E315"/>
  <c r="D315"/>
  <c r="N309" i="3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3"/>
  <c r="N232"/>
  <c r="N231"/>
  <c r="N230"/>
  <c r="N229"/>
  <c r="N227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09"/>
  <c r="N108"/>
  <c r="N107"/>
  <c r="N106"/>
  <c r="N104"/>
  <c r="N103"/>
  <c r="N102"/>
  <c r="N101"/>
  <c r="N100"/>
  <c r="N99"/>
  <c r="N98"/>
  <c r="N97"/>
  <c r="N96"/>
  <c r="N95"/>
  <c r="N94"/>
  <c r="N93"/>
  <c r="N92"/>
  <c r="N91"/>
  <c r="N90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0"/>
  <c r="N49"/>
  <c r="N48"/>
  <c r="N47"/>
  <c r="N46"/>
  <c r="N45"/>
  <c r="N44"/>
  <c r="N43"/>
  <c r="N42"/>
  <c r="N41"/>
  <c r="N40"/>
  <c r="N39"/>
  <c r="N38"/>
  <c r="N37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6"/>
  <c r="N5"/>
  <c r="N4"/>
  <c r="M310"/>
  <c r="L310"/>
  <c r="K310"/>
  <c r="J310"/>
  <c r="G310"/>
  <c r="F310"/>
  <c r="E310"/>
  <c r="D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9"/>
  <c r="H8"/>
  <c r="H7"/>
  <c r="H6"/>
  <c r="H5"/>
  <c r="H4"/>
  <c r="G300" i="6"/>
  <c r="H300" s="1"/>
  <c r="G298"/>
  <c r="H298" s="1"/>
  <c r="G297"/>
  <c r="H297" s="1"/>
  <c r="G296"/>
  <c r="H296" s="1"/>
  <c r="G295"/>
  <c r="H295" s="1"/>
  <c r="G294"/>
  <c r="H294" s="1"/>
  <c r="G293"/>
  <c r="H293" s="1"/>
  <c r="G292"/>
  <c r="H292" s="1"/>
  <c r="G291"/>
  <c r="H291" s="1"/>
  <c r="G290"/>
  <c r="H290" s="1"/>
  <c r="G289"/>
  <c r="H289" s="1"/>
  <c r="G288"/>
  <c r="H288" s="1"/>
  <c r="G287"/>
  <c r="H287" s="1"/>
  <c r="G286"/>
  <c r="H286" s="1"/>
  <c r="G285"/>
  <c r="H285" s="1"/>
  <c r="G284"/>
  <c r="H284" s="1"/>
  <c r="G283"/>
  <c r="H283" s="1"/>
  <c r="G282"/>
  <c r="H282" s="1"/>
  <c r="G281"/>
  <c r="H281" s="1"/>
  <c r="G280"/>
  <c r="H280" s="1"/>
  <c r="G279"/>
  <c r="H279" s="1"/>
  <c r="G278"/>
  <c r="H278" s="1"/>
  <c r="G277"/>
  <c r="H277" s="1"/>
  <c r="G276"/>
  <c r="H276" s="1"/>
  <c r="G275"/>
  <c r="H275" s="1"/>
  <c r="G274"/>
  <c r="H274" s="1"/>
  <c r="G273"/>
  <c r="H273" s="1"/>
  <c r="G272"/>
  <c r="H272" s="1"/>
  <c r="G271"/>
  <c r="H271" s="1"/>
  <c r="G270"/>
  <c r="H270" s="1"/>
  <c r="G269"/>
  <c r="H269" s="1"/>
  <c r="G268"/>
  <c r="H268" s="1"/>
  <c r="G267"/>
  <c r="H267" s="1"/>
  <c r="G266"/>
  <c r="H266" s="1"/>
  <c r="G265"/>
  <c r="H265" s="1"/>
  <c r="G264"/>
  <c r="H264" s="1"/>
  <c r="G263"/>
  <c r="H263" s="1"/>
  <c r="G262"/>
  <c r="H262" s="1"/>
  <c r="G261"/>
  <c r="H261" s="1"/>
  <c r="G260"/>
  <c r="H260" s="1"/>
  <c r="G259"/>
  <c r="H259" s="1"/>
  <c r="G258"/>
  <c r="H258" s="1"/>
  <c r="G257"/>
  <c r="H257" s="1"/>
  <c r="G256"/>
  <c r="H256" s="1"/>
  <c r="G255"/>
  <c r="H255" s="1"/>
  <c r="G254"/>
  <c r="H254" s="1"/>
  <c r="G253"/>
  <c r="H253" s="1"/>
  <c r="G252"/>
  <c r="H252" s="1"/>
  <c r="G251"/>
  <c r="H251" s="1"/>
  <c r="G250"/>
  <c r="H250" s="1"/>
  <c r="G249"/>
  <c r="H249" s="1"/>
  <c r="G248"/>
  <c r="H248" s="1"/>
  <c r="G247"/>
  <c r="H247" s="1"/>
  <c r="G246"/>
  <c r="H246" s="1"/>
  <c r="G245"/>
  <c r="H245" s="1"/>
  <c r="G244"/>
  <c r="H244" s="1"/>
  <c r="G243"/>
  <c r="H243" s="1"/>
  <c r="G242"/>
  <c r="H242" s="1"/>
  <c r="G241"/>
  <c r="H241" s="1"/>
  <c r="G240"/>
  <c r="H240" s="1"/>
  <c r="G239"/>
  <c r="H239" s="1"/>
  <c r="G238"/>
  <c r="H238" s="1"/>
  <c r="G237"/>
  <c r="H237" s="1"/>
  <c r="G236"/>
  <c r="H236" s="1"/>
  <c r="G235"/>
  <c r="H235" s="1"/>
  <c r="G234"/>
  <c r="H234" s="1"/>
  <c r="G233"/>
  <c r="H233" s="1"/>
  <c r="G232"/>
  <c r="H232" s="1"/>
  <c r="G231"/>
  <c r="H231" s="1"/>
  <c r="G230"/>
  <c r="H230" s="1"/>
  <c r="G229"/>
  <c r="H229" s="1"/>
  <c r="G228"/>
  <c r="H228" s="1"/>
  <c r="G227"/>
  <c r="H227" s="1"/>
  <c r="G226"/>
  <c r="H226" s="1"/>
  <c r="G225"/>
  <c r="H225" s="1"/>
  <c r="G224"/>
  <c r="H224" s="1"/>
  <c r="G223"/>
  <c r="H223" s="1"/>
  <c r="G222"/>
  <c r="H222" s="1"/>
  <c r="G221"/>
  <c r="H221" s="1"/>
  <c r="G220"/>
  <c r="H220" s="1"/>
  <c r="G219"/>
  <c r="H219" s="1"/>
  <c r="G218"/>
  <c r="H218" s="1"/>
  <c r="G217"/>
  <c r="H217" s="1"/>
  <c r="G216"/>
  <c r="H216" s="1"/>
  <c r="G215"/>
  <c r="H215" s="1"/>
  <c r="G214"/>
  <c r="H214" s="1"/>
  <c r="G213"/>
  <c r="H213" s="1"/>
  <c r="G212"/>
  <c r="H212" s="1"/>
  <c r="G211"/>
  <c r="H211" s="1"/>
  <c r="G210"/>
  <c r="H210" s="1"/>
  <c r="G209"/>
  <c r="H209" s="1"/>
  <c r="G208"/>
  <c r="H208" s="1"/>
  <c r="G207"/>
  <c r="H207" s="1"/>
  <c r="G206"/>
  <c r="H206" s="1"/>
  <c r="G205"/>
  <c r="H205" s="1"/>
  <c r="G204"/>
  <c r="H204" s="1"/>
  <c r="G203"/>
  <c r="H203" s="1"/>
  <c r="G202"/>
  <c r="H202" s="1"/>
  <c r="G201"/>
  <c r="H201" s="1"/>
  <c r="G200"/>
  <c r="H200" s="1"/>
  <c r="G199"/>
  <c r="H199" s="1"/>
  <c r="G198"/>
  <c r="H198" s="1"/>
  <c r="G197"/>
  <c r="H197" s="1"/>
  <c r="G196"/>
  <c r="H196" s="1"/>
  <c r="G195"/>
  <c r="H195" s="1"/>
  <c r="G194"/>
  <c r="H194" s="1"/>
  <c r="G193"/>
  <c r="H193" s="1"/>
  <c r="G192"/>
  <c r="H192" s="1"/>
  <c r="G191"/>
  <c r="H191" s="1"/>
  <c r="G190"/>
  <c r="H190" s="1"/>
  <c r="G189"/>
  <c r="H189" s="1"/>
  <c r="G188"/>
  <c r="H188" s="1"/>
  <c r="G187"/>
  <c r="H187" s="1"/>
  <c r="G186"/>
  <c r="H186" s="1"/>
  <c r="G185"/>
  <c r="H185" s="1"/>
  <c r="G184"/>
  <c r="H184" s="1"/>
  <c r="G183"/>
  <c r="H183" s="1"/>
  <c r="G182"/>
  <c r="H182" s="1"/>
  <c r="G181"/>
  <c r="H181" s="1"/>
  <c r="G180"/>
  <c r="H180" s="1"/>
  <c r="G179"/>
  <c r="H179" s="1"/>
  <c r="G178"/>
  <c r="H178" s="1"/>
  <c r="G177"/>
  <c r="H177" s="1"/>
  <c r="G176"/>
  <c r="H176" s="1"/>
  <c r="G175"/>
  <c r="H175" s="1"/>
  <c r="G174"/>
  <c r="H174" s="1"/>
  <c r="G173"/>
  <c r="H173" s="1"/>
  <c r="G172"/>
  <c r="H172" s="1"/>
  <c r="G171"/>
  <c r="H171" s="1"/>
  <c r="G170"/>
  <c r="H170" s="1"/>
  <c r="G169"/>
  <c r="H169" s="1"/>
  <c r="G168"/>
  <c r="H168" s="1"/>
  <c r="G167"/>
  <c r="H167" s="1"/>
  <c r="G166"/>
  <c r="H166" s="1"/>
  <c r="G165"/>
  <c r="H165" s="1"/>
  <c r="G164"/>
  <c r="H164" s="1"/>
  <c r="G163"/>
  <c r="H163" s="1"/>
  <c r="G162"/>
  <c r="H162" s="1"/>
  <c r="G161"/>
  <c r="H161" s="1"/>
  <c r="G160"/>
  <c r="H160" s="1"/>
  <c r="G159"/>
  <c r="H159" s="1"/>
  <c r="G158"/>
  <c r="H158" s="1"/>
  <c r="G157"/>
  <c r="H157" s="1"/>
  <c r="G156"/>
  <c r="H156" s="1"/>
  <c r="G155"/>
  <c r="H155" s="1"/>
  <c r="G154"/>
  <c r="H154" s="1"/>
  <c r="G153"/>
  <c r="H153" s="1"/>
  <c r="G152"/>
  <c r="H152" s="1"/>
  <c r="G151"/>
  <c r="H151" s="1"/>
  <c r="G150"/>
  <c r="H150" s="1"/>
  <c r="G149"/>
  <c r="H149" s="1"/>
  <c r="G148"/>
  <c r="H148" s="1"/>
  <c r="G147"/>
  <c r="H147" s="1"/>
  <c r="G146"/>
  <c r="H146" s="1"/>
  <c r="G145"/>
  <c r="H145" s="1"/>
  <c r="G144"/>
  <c r="H144" s="1"/>
  <c r="G143"/>
  <c r="H143" s="1"/>
  <c r="G142"/>
  <c r="H142" s="1"/>
  <c r="G141"/>
  <c r="H141" s="1"/>
  <c r="G140"/>
  <c r="H140" s="1"/>
  <c r="G139"/>
  <c r="H139" s="1"/>
  <c r="G138"/>
  <c r="H138" s="1"/>
  <c r="G137"/>
  <c r="H137" s="1"/>
  <c r="G136"/>
  <c r="H136" s="1"/>
  <c r="G135"/>
  <c r="H135" s="1"/>
  <c r="G134"/>
  <c r="H134" s="1"/>
  <c r="G133"/>
  <c r="H133" s="1"/>
  <c r="G132"/>
  <c r="H132" s="1"/>
  <c r="G131"/>
  <c r="H131" s="1"/>
  <c r="G130"/>
  <c r="H130" s="1"/>
  <c r="G129"/>
  <c r="H129" s="1"/>
  <c r="G128"/>
  <c r="H128" s="1"/>
  <c r="G127"/>
  <c r="H127" s="1"/>
  <c r="G126"/>
  <c r="H126" s="1"/>
  <c r="G125"/>
  <c r="H125" s="1"/>
  <c r="G124"/>
  <c r="H124" s="1"/>
  <c r="G123"/>
  <c r="H123" s="1"/>
  <c r="G122"/>
  <c r="H122" s="1"/>
  <c r="G121"/>
  <c r="H121" s="1"/>
  <c r="G120"/>
  <c r="H120" s="1"/>
  <c r="G119"/>
  <c r="H119" s="1"/>
  <c r="G118"/>
  <c r="H118" s="1"/>
  <c r="G117"/>
  <c r="H117" s="1"/>
  <c r="G116"/>
  <c r="H116" s="1"/>
  <c r="G115"/>
  <c r="H115" s="1"/>
  <c r="G114"/>
  <c r="H114" s="1"/>
  <c r="G113"/>
  <c r="H113" s="1"/>
  <c r="G112"/>
  <c r="H112" s="1"/>
  <c r="G111"/>
  <c r="H111" s="1"/>
  <c r="G110"/>
  <c r="H110" s="1"/>
  <c r="G109"/>
  <c r="H109" s="1"/>
  <c r="G108"/>
  <c r="H108" s="1"/>
  <c r="G107"/>
  <c r="H107" s="1"/>
  <c r="G106"/>
  <c r="H106" s="1"/>
  <c r="G105"/>
  <c r="H105" s="1"/>
  <c r="G104"/>
  <c r="H104" s="1"/>
  <c r="G103"/>
  <c r="H103" s="1"/>
  <c r="G102"/>
  <c r="H102" s="1"/>
  <c r="G101"/>
  <c r="H101" s="1"/>
  <c r="G100"/>
  <c r="H100" s="1"/>
  <c r="G99"/>
  <c r="H99" s="1"/>
  <c r="G98"/>
  <c r="H98" s="1"/>
  <c r="G97"/>
  <c r="H97" s="1"/>
  <c r="G96"/>
  <c r="H96" s="1"/>
  <c r="G95"/>
  <c r="H95" s="1"/>
  <c r="G94"/>
  <c r="H94" s="1"/>
  <c r="G93"/>
  <c r="H93" s="1"/>
  <c r="G92"/>
  <c r="H92" s="1"/>
  <c r="G91"/>
  <c r="H91" s="1"/>
  <c r="G90"/>
  <c r="H90" s="1"/>
  <c r="G89"/>
  <c r="H89" s="1"/>
  <c r="G88"/>
  <c r="H88" s="1"/>
  <c r="G87"/>
  <c r="H87" s="1"/>
  <c r="G86"/>
  <c r="H86" s="1"/>
  <c r="G85"/>
  <c r="H85" s="1"/>
  <c r="G84"/>
  <c r="H84" s="1"/>
  <c r="G83"/>
  <c r="H83" s="1"/>
  <c r="G82"/>
  <c r="H82" s="1"/>
  <c r="G81"/>
  <c r="H81" s="1"/>
  <c r="G80"/>
  <c r="H80" s="1"/>
  <c r="G79"/>
  <c r="H79" s="1"/>
  <c r="G78"/>
  <c r="H78" s="1"/>
  <c r="G77"/>
  <c r="H77" s="1"/>
  <c r="G76"/>
  <c r="H76" s="1"/>
  <c r="G75"/>
  <c r="H75" s="1"/>
  <c r="G74"/>
  <c r="H74" s="1"/>
  <c r="G73"/>
  <c r="H73" s="1"/>
  <c r="G72"/>
  <c r="H72" s="1"/>
  <c r="G71"/>
  <c r="H71" s="1"/>
  <c r="G70"/>
  <c r="H70" s="1"/>
  <c r="G69"/>
  <c r="H69" s="1"/>
  <c r="G68"/>
  <c r="H68" s="1"/>
  <c r="G67"/>
  <c r="H67" s="1"/>
  <c r="G66"/>
  <c r="H66" s="1"/>
  <c r="G65"/>
  <c r="H65" s="1"/>
  <c r="G64"/>
  <c r="H64" s="1"/>
  <c r="G63"/>
  <c r="H63" s="1"/>
  <c r="G62"/>
  <c r="H62" s="1"/>
  <c r="G61"/>
  <c r="H61" s="1"/>
  <c r="G60"/>
  <c r="H60" s="1"/>
  <c r="G59"/>
  <c r="H59" s="1"/>
  <c r="G58"/>
  <c r="H58" s="1"/>
  <c r="G57"/>
  <c r="H57" s="1"/>
  <c r="G56"/>
  <c r="H56" s="1"/>
  <c r="G55"/>
  <c r="H55" s="1"/>
  <c r="G54"/>
  <c r="H54" s="1"/>
  <c r="G53"/>
  <c r="H53" s="1"/>
  <c r="G52"/>
  <c r="H52" s="1"/>
  <c r="G51"/>
  <c r="H51" s="1"/>
  <c r="G50"/>
  <c r="H50" s="1"/>
  <c r="G49"/>
  <c r="H49" s="1"/>
  <c r="G48"/>
  <c r="H48" s="1"/>
  <c r="G47"/>
  <c r="H47" s="1"/>
  <c r="G46"/>
  <c r="H46" s="1"/>
  <c r="G45"/>
  <c r="H45" s="1"/>
  <c r="G44"/>
  <c r="H44" s="1"/>
  <c r="G43"/>
  <c r="H43" s="1"/>
  <c r="G42"/>
  <c r="H42" s="1"/>
  <c r="G41"/>
  <c r="H41" s="1"/>
  <c r="G40"/>
  <c r="H40" s="1"/>
  <c r="G39"/>
  <c r="H39" s="1"/>
  <c r="G38"/>
  <c r="H38" s="1"/>
  <c r="G37"/>
  <c r="H37" s="1"/>
  <c r="G36"/>
  <c r="H36" s="1"/>
  <c r="G35"/>
  <c r="H35" s="1"/>
  <c r="G34"/>
  <c r="H34" s="1"/>
  <c r="G33"/>
  <c r="H33" s="1"/>
  <c r="G32"/>
  <c r="H32" s="1"/>
  <c r="G31"/>
  <c r="H31" s="1"/>
  <c r="G30"/>
  <c r="H30" s="1"/>
  <c r="G29"/>
  <c r="H29" s="1"/>
  <c r="G28"/>
  <c r="H28" s="1"/>
  <c r="G27"/>
  <c r="H27" s="1"/>
  <c r="G26"/>
  <c r="H26" s="1"/>
  <c r="G25"/>
  <c r="H25" s="1"/>
  <c r="G24"/>
  <c r="H24" s="1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299" i="5"/>
  <c r="H299" s="1"/>
  <c r="F299"/>
  <c r="H6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H5"/>
  <c r="F5"/>
  <c r="E299"/>
  <c r="D299"/>
  <c r="E298" i="4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N310" i="3" l="1"/>
  <c r="H310"/>
  <c r="F313" i="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5"/>
  <c r="F234"/>
  <c r="F233"/>
  <c r="F232"/>
  <c r="F231"/>
  <c r="F229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29"/>
  <c r="F128"/>
  <c r="F127"/>
  <c r="F126"/>
  <c r="F125"/>
  <c r="F124"/>
  <c r="F123"/>
  <c r="F122"/>
  <c r="F121"/>
  <c r="F120"/>
  <c r="F119"/>
  <c r="F118"/>
  <c r="F117"/>
  <c r="F116"/>
  <c r="F115"/>
  <c r="F114"/>
  <c r="F112"/>
  <c r="F109"/>
  <c r="F108"/>
  <c r="F107"/>
  <c r="F106"/>
  <c r="F104"/>
  <c r="F103"/>
  <c r="F102"/>
  <c r="F101"/>
  <c r="F100"/>
  <c r="F99"/>
  <c r="F98"/>
  <c r="F97"/>
  <c r="F96"/>
  <c r="F95"/>
  <c r="F94"/>
  <c r="F93"/>
  <c r="F92"/>
  <c r="F91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0"/>
  <c r="F49"/>
  <c r="F48"/>
  <c r="F47"/>
  <c r="F46"/>
  <c r="F45"/>
  <c r="F44"/>
  <c r="F43"/>
  <c r="F42"/>
  <c r="F41"/>
  <c r="F40"/>
  <c r="F39"/>
  <c r="F38"/>
  <c r="F37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8"/>
  <c r="F6"/>
  <c r="F5"/>
  <c r="F4"/>
  <c r="E313"/>
  <c r="D313"/>
  <c r="E315" i="1"/>
  <c r="D315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7"/>
  <c r="F236"/>
  <c r="F235"/>
  <c r="F234"/>
  <c r="F233"/>
  <c r="F231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1"/>
  <c r="F130"/>
  <c r="F129"/>
  <c r="F128"/>
  <c r="F127"/>
  <c r="F126"/>
  <c r="F125"/>
  <c r="F124"/>
  <c r="F123"/>
  <c r="F122"/>
  <c r="F121"/>
  <c r="F120"/>
  <c r="F119"/>
  <c r="F118"/>
  <c r="F117"/>
  <c r="F116"/>
  <c r="F114"/>
  <c r="F111"/>
  <c r="F110"/>
  <c r="F109"/>
  <c r="F108"/>
  <c r="F106"/>
  <c r="F105"/>
  <c r="F104"/>
  <c r="F103"/>
  <c r="F102"/>
  <c r="F101"/>
  <c r="F100"/>
  <c r="F99"/>
  <c r="F98"/>
  <c r="F97"/>
  <c r="F96"/>
  <c r="F95"/>
  <c r="F94"/>
  <c r="F93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2"/>
  <c r="F51"/>
  <c r="F50"/>
  <c r="F49"/>
  <c r="F48"/>
  <c r="F47"/>
  <c r="F46"/>
  <c r="F45"/>
  <c r="F44"/>
  <c r="F43"/>
  <c r="F42"/>
  <c r="F41"/>
  <c r="F40"/>
  <c r="F39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0"/>
  <c r="F8"/>
  <c r="F7"/>
  <c r="F6"/>
  <c r="F315" s="1"/>
</calcChain>
</file>

<file path=xl/comments1.xml><?xml version="1.0" encoding="utf-8"?>
<comments xmlns="http://schemas.openxmlformats.org/spreadsheetml/2006/main">
  <authors>
    <author>sbarnes</author>
  </authors>
  <commentList>
    <comment ref="E3" authorId="0">
      <text>
        <r>
          <rPr>
            <b/>
            <sz val="8"/>
            <color indexed="81"/>
            <rFont val="Tahoma"/>
            <family val="2"/>
          </rPr>
          <t>sbarnes:</t>
        </r>
        <r>
          <rPr>
            <sz val="8"/>
            <color indexed="81"/>
            <rFont val="Tahoma"/>
            <family val="2"/>
          </rPr>
          <t xml:space="preserve">
includes 2/20 count date and virtual</t>
        </r>
      </text>
    </comment>
  </commentList>
</comments>
</file>

<file path=xl/sharedStrings.xml><?xml version="1.0" encoding="utf-8"?>
<sst xmlns="http://schemas.openxmlformats.org/spreadsheetml/2006/main" count="7892" uniqueCount="771">
  <si>
    <t>Col 1</t>
  </si>
  <si>
    <t>Col 2</t>
  </si>
  <si>
    <t>Col 3</t>
  </si>
  <si>
    <t>County Name</t>
  </si>
  <si>
    <t>2003-04 FTE</t>
  </si>
  <si>
    <t>2009-10 FTE**</t>
  </si>
  <si>
    <t>Decrease/</t>
  </si>
  <si>
    <t>inc MILT/VIRT</t>
  </si>
  <si>
    <t>Increase</t>
  </si>
  <si>
    <t>USD No.</t>
  </si>
  <si>
    <t>USD Name</t>
  </si>
  <si>
    <t>inc4yr at risk</t>
  </si>
  <si>
    <t>(Col 2 - Col 1)</t>
  </si>
  <si>
    <t>D0101</t>
  </si>
  <si>
    <t>Neosho</t>
  </si>
  <si>
    <t>D0102</t>
  </si>
  <si>
    <t>Gray</t>
  </si>
  <si>
    <t>D0103</t>
  </si>
  <si>
    <t>Cheyenne</t>
  </si>
  <si>
    <t>D0104</t>
  </si>
  <si>
    <t>Jewell</t>
  </si>
  <si>
    <t>NA</t>
  </si>
  <si>
    <t>D0105</t>
  </si>
  <si>
    <t>Rawlins</t>
  </si>
  <si>
    <t>D0106</t>
  </si>
  <si>
    <t>Ness</t>
  </si>
  <si>
    <t>D0107</t>
  </si>
  <si>
    <t>D0108</t>
  </si>
  <si>
    <t>Washington</t>
  </si>
  <si>
    <t>D0109</t>
  </si>
  <si>
    <t>Republic</t>
  </si>
  <si>
    <t>D0110</t>
  </si>
  <si>
    <t>Phillips</t>
  </si>
  <si>
    <t>D0111</t>
  </si>
  <si>
    <t>Doniphan</t>
  </si>
  <si>
    <t>D0200</t>
  </si>
  <si>
    <t>Greeley</t>
  </si>
  <si>
    <t>D0202</t>
  </si>
  <si>
    <t>Wyandotte</t>
  </si>
  <si>
    <t>D0203</t>
  </si>
  <si>
    <t>D0204</t>
  </si>
  <si>
    <t>D0205</t>
  </si>
  <si>
    <t>Butler</t>
  </si>
  <si>
    <t>D0206</t>
  </si>
  <si>
    <t>D0207</t>
  </si>
  <si>
    <t>Leavenworth</t>
  </si>
  <si>
    <t>D0208</t>
  </si>
  <si>
    <t>Trego</t>
  </si>
  <si>
    <t>D0209</t>
  </si>
  <si>
    <t>Stevens</t>
  </si>
  <si>
    <t>D0210</t>
  </si>
  <si>
    <t>D0211</t>
  </si>
  <si>
    <t>Norton</t>
  </si>
  <si>
    <t>D0212</t>
  </si>
  <si>
    <t>D0213</t>
  </si>
  <si>
    <t>D0214</t>
  </si>
  <si>
    <t>Grant</t>
  </si>
  <si>
    <t>D0215</t>
  </si>
  <si>
    <t>Kearny</t>
  </si>
  <si>
    <t>D0216</t>
  </si>
  <si>
    <t>D0217</t>
  </si>
  <si>
    <t>Morton</t>
  </si>
  <si>
    <t>D0218</t>
  </si>
  <si>
    <t>D0219</t>
  </si>
  <si>
    <t>Clark</t>
  </si>
  <si>
    <t>D0220</t>
  </si>
  <si>
    <t>D0221</t>
  </si>
  <si>
    <t>D0222</t>
  </si>
  <si>
    <t>D0223</t>
  </si>
  <si>
    <t>D0224</t>
  </si>
  <si>
    <t>D0225</t>
  </si>
  <si>
    <t>Meade</t>
  </si>
  <si>
    <t>D0226</t>
  </si>
  <si>
    <t>D0227</t>
  </si>
  <si>
    <t>Hodgeman</t>
  </si>
  <si>
    <t>D0228</t>
  </si>
  <si>
    <t>D0229</t>
  </si>
  <si>
    <t>Johnson</t>
  </si>
  <si>
    <t>D0230</t>
  </si>
  <si>
    <t>D0231</t>
  </si>
  <si>
    <t>D0232</t>
  </si>
  <si>
    <t>D0233</t>
  </si>
  <si>
    <t>D0234</t>
  </si>
  <si>
    <t>Bourbon</t>
  </si>
  <si>
    <t>D0235</t>
  </si>
  <si>
    <t>D0237</t>
  </si>
  <si>
    <t>Smith</t>
  </si>
  <si>
    <t>D0238</t>
  </si>
  <si>
    <t>D0239</t>
  </si>
  <si>
    <t>Ottawa</t>
  </si>
  <si>
    <t>D0240</t>
  </si>
  <si>
    <t>D0241</t>
  </si>
  <si>
    <t>Wallace</t>
  </si>
  <si>
    <t>D0242</t>
  </si>
  <si>
    <t>D0243</t>
  </si>
  <si>
    <t>Coffey</t>
  </si>
  <si>
    <t>D0244</t>
  </si>
  <si>
    <t>D0245</t>
  </si>
  <si>
    <t>D0246</t>
  </si>
  <si>
    <t>Crawford</t>
  </si>
  <si>
    <t>D0247</t>
  </si>
  <si>
    <t>D0248</t>
  </si>
  <si>
    <t>D0249</t>
  </si>
  <si>
    <t>D0250</t>
  </si>
  <si>
    <t>D0251</t>
  </si>
  <si>
    <t>Lyon</t>
  </si>
  <si>
    <t>D0252</t>
  </si>
  <si>
    <t>D0253</t>
  </si>
  <si>
    <t>D0254</t>
  </si>
  <si>
    <t>Barber</t>
  </si>
  <si>
    <t>D0255</t>
  </si>
  <si>
    <t>D0256</t>
  </si>
  <si>
    <t>Allen</t>
  </si>
  <si>
    <t>D0257</t>
  </si>
  <si>
    <t>D0258</t>
  </si>
  <si>
    <t>D0259</t>
  </si>
  <si>
    <t>Sedgwick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</si>
  <si>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</si>
  <si>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</si>
  <si>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</si>
  <si>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</si>
  <si>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</si>
  <si>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</si>
  <si>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</si>
  <si>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</si>
  <si>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</si>
  <si>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</si>
  <si>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Rooks</t>
  </si>
  <si>
    <t>D0270</t>
  </si>
  <si>
    <t>D0271</t>
  </si>
  <si>
    <t>D0272</t>
  </si>
  <si>
    <t>Mitchell</t>
  </si>
  <si>
    <t>D0273</t>
  </si>
  <si>
    <t>D0274</t>
  </si>
  <si>
    <t>Logan</t>
  </si>
  <si>
    <t>D0275</t>
  </si>
  <si>
    <t>D0278</t>
  </si>
  <si>
    <t>D0279</t>
  </si>
  <si>
    <t>D0281</t>
  </si>
  <si>
    <t>Graham</t>
  </si>
  <si>
    <t>D0282</t>
  </si>
  <si>
    <t>Elk</t>
  </si>
  <si>
    <t>D0283</t>
  </si>
  <si>
    <t>D0284</t>
  </si>
  <si>
    <t>Chase</t>
  </si>
  <si>
    <t>D0285</t>
  </si>
  <si>
    <t>Chautauqua</t>
  </si>
  <si>
    <t>D0286</t>
  </si>
  <si>
    <t>D0287</t>
  </si>
  <si>
    <t>Franklin</t>
  </si>
  <si>
    <t>D0288</t>
  </si>
  <si>
    <t>D0289</t>
  </si>
  <si>
    <t>D0290</t>
  </si>
  <si>
    <t>D0291</t>
  </si>
  <si>
    <t>Gove</t>
  </si>
  <si>
    <t>D0292</t>
  </si>
  <si>
    <t>D0293</t>
  </si>
  <si>
    <t>D0294</t>
  </si>
  <si>
    <t>Decatur</t>
  </si>
  <si>
    <t>D0295</t>
  </si>
  <si>
    <t>D0297</t>
  </si>
  <si>
    <t>D0298</t>
  </si>
  <si>
    <t>Lincoln</t>
  </si>
  <si>
    <t>D0299</t>
  </si>
  <si>
    <t>D0300</t>
  </si>
  <si>
    <t>Comanche</t>
  </si>
  <si>
    <t>D0301</t>
  </si>
  <si>
    <t>D0302</t>
  </si>
  <si>
    <t>D0303</t>
  </si>
  <si>
    <t>D0304</t>
  </si>
  <si>
    <t>D0305</t>
  </si>
  <si>
    <t>Saline</t>
  </si>
  <si>
    <t>D0306</t>
  </si>
  <si>
    <t>D0307</t>
  </si>
  <si>
    <t>D0308</t>
  </si>
  <si>
    <t>Reno</t>
  </si>
  <si>
    <t>D0309</t>
  </si>
  <si>
    <t>D0310</t>
  </si>
  <si>
    <t>D0311</t>
  </si>
  <si>
    <t>D0312</t>
  </si>
  <si>
    <t>D0313</t>
  </si>
  <si>
    <t>D0314</t>
  </si>
  <si>
    <t>Thomas</t>
  </si>
  <si>
    <t>D0315</t>
  </si>
  <si>
    <t>D0316</t>
  </si>
  <si>
    <t>D0320</t>
  </si>
  <si>
    <t>Pottawatomie</t>
  </si>
  <si>
    <t>D0321</t>
  </si>
  <si>
    <t>D0322</t>
  </si>
  <si>
    <t>D0323</t>
  </si>
  <si>
    <t>D0324</t>
  </si>
  <si>
    <t>D0325</t>
  </si>
  <si>
    <t>D0326</t>
  </si>
  <si>
    <t>D0327</t>
  </si>
  <si>
    <t>Ellsworth</t>
  </si>
  <si>
    <t>D0328</t>
  </si>
  <si>
    <t>D0329</t>
  </si>
  <si>
    <t>Wabaunsee</t>
  </si>
  <si>
    <t>D0330</t>
  </si>
  <si>
    <t>D0331</t>
  </si>
  <si>
    <t>Kingman</t>
  </si>
  <si>
    <t>D0332</t>
  </si>
  <si>
    <t>D0333</t>
  </si>
  <si>
    <t>Cloud</t>
  </si>
  <si>
    <t>D0334</t>
  </si>
  <si>
    <t>D0335</t>
  </si>
  <si>
    <t>Jackson</t>
  </si>
  <si>
    <t>D0336</t>
  </si>
  <si>
    <t>D0337</t>
  </si>
  <si>
    <t>D0338</t>
  </si>
  <si>
    <t>Jefferson</t>
  </si>
  <si>
    <t>D0339</t>
  </si>
  <si>
    <t>D0340</t>
  </si>
  <si>
    <t>D0341</t>
  </si>
  <si>
    <t>D0342</t>
  </si>
  <si>
    <t>D0343</t>
  </si>
  <si>
    <t>D0344</t>
  </si>
  <si>
    <t>Linn</t>
  </si>
  <si>
    <t>D0345</t>
  </si>
  <si>
    <t>Shawnee</t>
  </si>
  <si>
    <t>D0346</t>
  </si>
  <si>
    <t>D0347</t>
  </si>
  <si>
    <t>Edwards</t>
  </si>
  <si>
    <t>D0348</t>
  </si>
  <si>
    <t>Douglas</t>
  </si>
  <si>
    <t>D0349</t>
  </si>
  <si>
    <t>Stafford</t>
  </si>
  <si>
    <t>D0350</t>
  </si>
  <si>
    <t>D0351</t>
  </si>
  <si>
    <t>D0352</t>
  </si>
  <si>
    <t>Sherman</t>
  </si>
  <si>
    <t>D0353</t>
  </si>
  <si>
    <t>Sumner</t>
  </si>
  <si>
    <t>D0354</t>
  </si>
  <si>
    <t>Barton</t>
  </si>
  <si>
    <t>D0355</t>
  </si>
  <si>
    <t>D0356</t>
  </si>
  <si>
    <t>D0357</t>
  </si>
  <si>
    <t>D0358</t>
  </si>
  <si>
    <t>D0359</t>
  </si>
  <si>
    <t>D0360</t>
  </si>
  <si>
    <t>D0361</t>
  </si>
  <si>
    <t>Harper</t>
  </si>
  <si>
    <t>D0362</t>
  </si>
  <si>
    <t>D0363</t>
  </si>
  <si>
    <t>Finney</t>
  </si>
  <si>
    <t>D0364</t>
  </si>
  <si>
    <t>Marshall</t>
  </si>
  <si>
    <t>D0365</t>
  </si>
  <si>
    <t>Anderson</t>
  </si>
  <si>
    <t>D0366</t>
  </si>
  <si>
    <t>Woodson</t>
  </si>
  <si>
    <t>D0367</t>
  </si>
  <si>
    <t>Miami</t>
  </si>
  <si>
    <t>D0368</t>
  </si>
  <si>
    <t>D0369</t>
  </si>
  <si>
    <t>Harvey</t>
  </si>
  <si>
    <t>D0371</t>
  </si>
  <si>
    <t>D0372</t>
  </si>
  <si>
    <t>D0373</t>
  </si>
  <si>
    <t>D0374</t>
  </si>
  <si>
    <t>Haskell</t>
  </si>
  <si>
    <t>D0375</t>
  </si>
  <si>
    <t>D0376</t>
  </si>
  <si>
    <t>Rice</t>
  </si>
  <si>
    <t>D0377</t>
  </si>
  <si>
    <t>Atchison</t>
  </si>
  <si>
    <t>D0378</t>
  </si>
  <si>
    <t>Riley</t>
  </si>
  <si>
    <t>D0379</t>
  </si>
  <si>
    <t>Clay</t>
  </si>
  <si>
    <t>D0380</t>
  </si>
  <si>
    <t>D0381</t>
  </si>
  <si>
    <t>Ford</t>
  </si>
  <si>
    <t>D0382</t>
  </si>
  <si>
    <t>Pratt</t>
  </si>
  <si>
    <t>D0383</t>
  </si>
  <si>
    <t>D0384</t>
  </si>
  <si>
    <t>D0385</t>
  </si>
  <si>
    <t>D0386</t>
  </si>
  <si>
    <t>Greenwood</t>
  </si>
  <si>
    <t>D0387</t>
  </si>
  <si>
    <t>Wilson</t>
  </si>
  <si>
    <t>D0388</t>
  </si>
  <si>
    <t>Ellis</t>
  </si>
  <si>
    <t>D0389</t>
  </si>
  <si>
    <t>D0390</t>
  </si>
  <si>
    <t>D0392</t>
  </si>
  <si>
    <t>Osborne</t>
  </si>
  <si>
    <t>D0393</t>
  </si>
  <si>
    <t>Dickinson</t>
  </si>
  <si>
    <t>D0394</t>
  </si>
  <si>
    <t>D0395</t>
  </si>
  <si>
    <t>Rush</t>
  </si>
  <si>
    <t>D0396</t>
  </si>
  <si>
    <t>D0397</t>
  </si>
  <si>
    <t>Marion</t>
  </si>
  <si>
    <t>D0398</t>
  </si>
  <si>
    <t>D0399</t>
  </si>
  <si>
    <t>Russell</t>
  </si>
  <si>
    <t>D0400</t>
  </si>
  <si>
    <t>McPherson</t>
  </si>
  <si>
    <t>D0401</t>
  </si>
  <si>
    <t>D0402</t>
  </si>
  <si>
    <t>D0403</t>
  </si>
  <si>
    <t>D0404</t>
  </si>
  <si>
    <t>Cherokee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</si>
  <si>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</si>
  <si>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</si>
  <si>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</si>
  <si>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</si>
  <si>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</si>
  <si>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</si>
  <si>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</si>
  <si>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</si>
  <si>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Sheridan</t>
  </si>
  <si>
    <t>D0413</t>
  </si>
  <si>
    <t>D0415</t>
  </si>
  <si>
    <t>Brown</t>
  </si>
  <si>
    <t>D0416</t>
  </si>
  <si>
    <t>D0417</t>
  </si>
  <si>
    <t>Morris</t>
  </si>
  <si>
    <t>D0418</t>
  </si>
  <si>
    <t>D0419</t>
  </si>
  <si>
    <t>D0420</t>
  </si>
  <si>
    <t>Osage</t>
  </si>
  <si>
    <t>D0421</t>
  </si>
  <si>
    <t>D0422</t>
  </si>
  <si>
    <t>Kiowa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</si>
  <si>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</si>
  <si>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</si>
  <si>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</si>
  <si>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</si>
  <si>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</si>
  <si>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</si>
  <si>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</si>
  <si>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</si>
  <si>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</si>
  <si>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</si>
  <si>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</si>
  <si>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</si>
  <si>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</si>
  <si>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</si>
  <si>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Montgomery</t>
  </si>
  <si>
    <t>D0437</t>
  </si>
  <si>
    <t>D0438</t>
  </si>
  <si>
    <t>D0439</t>
  </si>
  <si>
    <t>D0440</t>
  </si>
  <si>
    <t>D0441</t>
  </si>
  <si>
    <t>Nemaha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</si>
  <si>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</si>
  <si>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</si>
  <si>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</si>
  <si>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</si>
  <si>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</si>
  <si>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</si>
  <si>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</si>
  <si>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</si>
  <si>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</si>
  <si>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</si>
  <si>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B &amp; B</t>
  </si>
  <si>
    <t>D0452</t>
  </si>
  <si>
    <t>Stanton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</si>
  <si>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</si>
  <si>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</si>
  <si>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</si>
  <si>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</si>
  <si>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</si>
  <si>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</si>
  <si>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</si>
  <si>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</si>
  <si>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</si>
  <si>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</si>
  <si>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Cowley</t>
  </si>
  <si>
    <t>D0463</t>
  </si>
  <si>
    <t>D0464</t>
  </si>
  <si>
    <t>D0465</t>
  </si>
  <si>
    <t>D0466</t>
  </si>
  <si>
    <t>Scott</t>
  </si>
  <si>
    <t>D0467</t>
  </si>
  <si>
    <t>Wichita</t>
  </si>
  <si>
    <t>D0468</t>
  </si>
  <si>
    <t>Lane</t>
  </si>
  <si>
    <t>D0469</t>
  </si>
  <si>
    <t>D0470</t>
  </si>
  <si>
    <t>D0471</t>
  </si>
  <si>
    <t>D0473</t>
  </si>
  <si>
    <t>D0474</t>
  </si>
  <si>
    <t>D0475</t>
  </si>
  <si>
    <t>Geary</t>
  </si>
  <si>
    <t>D0476</t>
  </si>
  <si>
    <t>D0477</t>
  </si>
  <si>
    <t>D0479</t>
  </si>
  <si>
    <t>D0480</t>
  </si>
  <si>
    <t>Seward</t>
  </si>
  <si>
    <t>D0481</t>
  </si>
  <si>
    <t>D0482</t>
  </si>
  <si>
    <t>D0483</t>
  </si>
  <si>
    <t>D0484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</si>
  <si>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</si>
  <si>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</si>
  <si>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</si>
  <si>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</si>
  <si>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</si>
  <si>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</si>
  <si>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</si>
  <si>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</si>
  <si>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</si>
  <si>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Hamilton</t>
  </si>
  <si>
    <t>D0495</t>
  </si>
  <si>
    <t>Pawnee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</si>
  <si>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</si>
  <si>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</si>
  <si>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</si>
  <si>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</si>
  <si>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</si>
  <si>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</si>
  <si>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</si>
  <si>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</si>
  <si>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Labette</t>
  </si>
  <si>
    <t>D0504</t>
  </si>
  <si>
    <t>D0505</t>
  </si>
  <si>
    <t>D0506</t>
  </si>
  <si>
    <t>D0507</t>
  </si>
  <si>
    <t>D0508</t>
  </si>
  <si>
    <t>D0509</t>
  </si>
  <si>
    <t>D0511</t>
  </si>
  <si>
    <t>D0512</t>
  </si>
  <si>
    <t>TOTALS</t>
  </si>
  <si>
    <t>USD</t>
  </si>
  <si>
    <t>County</t>
  </si>
  <si>
    <t>2003-04 Total Valuation</t>
  </si>
  <si>
    <t>2009-10 Total Valuation</t>
  </si>
  <si>
    <t>Erie</t>
  </si>
  <si>
    <t>Cimarron-Ensign</t>
  </si>
  <si>
    <t>Cheylin</t>
  </si>
  <si>
    <t>White Rock</t>
  </si>
  <si>
    <t>Rawlins County</t>
  </si>
  <si>
    <t>Western Plains</t>
  </si>
  <si>
    <t>Rock Hills</t>
  </si>
  <si>
    <t>Washington Co. Schools</t>
  </si>
  <si>
    <t>Republic County</t>
  </si>
  <si>
    <t>Thunder Ridge</t>
  </si>
  <si>
    <t>Doniphan West Schools</t>
  </si>
  <si>
    <t>Greeley County</t>
  </si>
  <si>
    <t>Turner</t>
  </si>
  <si>
    <t>Piper</t>
  </si>
  <si>
    <t>Bonner Springs</t>
  </si>
  <si>
    <t>Bluestem</t>
  </si>
  <si>
    <t>Remington-Whitewater</t>
  </si>
  <si>
    <t>Ft. Leavenworth</t>
  </si>
  <si>
    <t>WaKeeney</t>
  </si>
  <si>
    <t>Moscow</t>
  </si>
  <si>
    <t>Hugoton</t>
  </si>
  <si>
    <t>Northern Valley</t>
  </si>
  <si>
    <t>West Solomon</t>
  </si>
  <si>
    <t>Ulysses</t>
  </si>
  <si>
    <t>Lakin</t>
  </si>
  <si>
    <t>Deerfield</t>
  </si>
  <si>
    <t>Rolla</t>
  </si>
  <si>
    <t>Elkhart</t>
  </si>
  <si>
    <t>Minneola</t>
  </si>
  <si>
    <t>Ashland</t>
  </si>
  <si>
    <t>North Central</t>
  </si>
  <si>
    <t>Barnes</t>
  </si>
  <si>
    <t>Clifton-Clyde</t>
  </si>
  <si>
    <t>Fowler</t>
  </si>
  <si>
    <t>Jetmore</t>
  </si>
  <si>
    <t>Hanston</t>
  </si>
  <si>
    <t>Blue Valley</t>
  </si>
  <si>
    <t>Spring Hill</t>
  </si>
  <si>
    <t>Gardner-Edgerton</t>
  </si>
  <si>
    <t>DeSoto</t>
  </si>
  <si>
    <t>Olathe</t>
  </si>
  <si>
    <t>Ft. Scott</t>
  </si>
  <si>
    <t>Uniontown</t>
  </si>
  <si>
    <t>Smith Center</t>
  </si>
  <si>
    <t>West Smith Co.</t>
  </si>
  <si>
    <t>North Ottawa Co.</t>
  </si>
  <si>
    <t>Twin Valley</t>
  </si>
  <si>
    <t>Weskan</t>
  </si>
  <si>
    <t>Lebo-Waverly</t>
  </si>
  <si>
    <t>Burlington</t>
  </si>
  <si>
    <t>LeRoy-Gridley</t>
  </si>
  <si>
    <t>Northeast</t>
  </si>
  <si>
    <t>Girard</t>
  </si>
  <si>
    <t>Frontenac</t>
  </si>
  <si>
    <t>Pittsburg</t>
  </si>
  <si>
    <t>North Lyon Co.</t>
  </si>
  <si>
    <t>Southern Lyon Co.</t>
  </si>
  <si>
    <t>Emporia</t>
  </si>
  <si>
    <t>Barber Co.</t>
  </si>
  <si>
    <t>South Barber Co.</t>
  </si>
  <si>
    <t>Marmaton Valley</t>
  </si>
  <si>
    <t>Iola</t>
  </si>
  <si>
    <t>Humboldt</t>
  </si>
  <si>
    <t>Derby</t>
  </si>
  <si>
    <t>Haysville</t>
  </si>
  <si>
    <t>Valley Center</t>
  </si>
  <si>
    <t>Mulvane</t>
  </si>
  <si>
    <t>Clearwater</t>
  </si>
  <si>
    <t>Goddard</t>
  </si>
  <si>
    <t>Maize</t>
  </si>
  <si>
    <t>Renwick</t>
  </si>
  <si>
    <t>Cheney</t>
  </si>
  <si>
    <t>Palco</t>
  </si>
  <si>
    <t>Plainville</t>
  </si>
  <si>
    <t>Stockton</t>
  </si>
  <si>
    <t>Waconda</t>
  </si>
  <si>
    <t>Beloit</t>
  </si>
  <si>
    <t>Oakley</t>
  </si>
  <si>
    <t>Triplains</t>
  </si>
  <si>
    <t>Mankato</t>
  </si>
  <si>
    <t>Graham County</t>
  </si>
  <si>
    <t>West Elk</t>
  </si>
  <si>
    <t>Elk Valley</t>
  </si>
  <si>
    <t>Chase County</t>
  </si>
  <si>
    <t>Cedar Vale</t>
  </si>
  <si>
    <t>West Franklin</t>
  </si>
  <si>
    <t>Central Heights</t>
  </si>
  <si>
    <t>Wellsville</t>
  </si>
  <si>
    <t>Grinnell</t>
  </si>
  <si>
    <t>Wheatland</t>
  </si>
  <si>
    <t>Quinter</t>
  </si>
  <si>
    <t>Oberlin</t>
  </si>
  <si>
    <t>Prairie Heights</t>
  </si>
  <si>
    <t>St. Francis</t>
  </si>
  <si>
    <t>Sylvan Grove</t>
  </si>
  <si>
    <t>Commanche County</t>
  </si>
  <si>
    <t>Nes Tres La Go</t>
  </si>
  <si>
    <t>Smoky Hill</t>
  </si>
  <si>
    <t>Ness City</t>
  </si>
  <si>
    <t>Bazine</t>
  </si>
  <si>
    <t>Salina</t>
  </si>
  <si>
    <t>Southeast of Saline</t>
  </si>
  <si>
    <t>Ell-Saline</t>
  </si>
  <si>
    <t>Hutchinson</t>
  </si>
  <si>
    <t>Nickerson</t>
  </si>
  <si>
    <t>Fairfield</t>
  </si>
  <si>
    <t>Pretty Prairie</t>
  </si>
  <si>
    <t>Haven</t>
  </si>
  <si>
    <t>Buhler</t>
  </si>
  <si>
    <t>Brewster</t>
  </si>
  <si>
    <t>Colby</t>
  </si>
  <si>
    <t>Golden Plains</t>
  </si>
  <si>
    <t>Wamego</t>
  </si>
  <si>
    <t>Kaw Valley</t>
  </si>
  <si>
    <t>Onaga</t>
  </si>
  <si>
    <t>Westmoreland</t>
  </si>
  <si>
    <t>Eastern Heights</t>
  </si>
  <si>
    <t>Phillipsburg</t>
  </si>
  <si>
    <t>Lorraine</t>
  </si>
  <si>
    <t>Alma</t>
  </si>
  <si>
    <t>Wabaunsee East</t>
  </si>
  <si>
    <t>Cunningham</t>
  </si>
  <si>
    <t>Concordia</t>
  </si>
  <si>
    <t>Southern Cloud</t>
  </si>
  <si>
    <t>North Jackson</t>
  </si>
  <si>
    <t>Holton</t>
  </si>
  <si>
    <t>Mayetta</t>
  </si>
  <si>
    <t>Valley Falls</t>
  </si>
  <si>
    <t>Jefferson County</t>
  </si>
  <si>
    <t>Jefferson West</t>
  </si>
  <si>
    <t>Oskaloosa</t>
  </si>
  <si>
    <t>McLouth</t>
  </si>
  <si>
    <t>Perry</t>
  </si>
  <si>
    <t>Pleasanton</t>
  </si>
  <si>
    <t>Seaman</t>
  </si>
  <si>
    <t>Jayhawk</t>
  </si>
  <si>
    <t>Kinsely-Offerle</t>
  </si>
  <si>
    <t>Baldwin City</t>
  </si>
  <si>
    <t>St. John-Hudson</t>
  </si>
  <si>
    <t>Macksville</t>
  </si>
  <si>
    <t>Goodland</t>
  </si>
  <si>
    <t>Wellington</t>
  </si>
  <si>
    <t>Claflin</t>
  </si>
  <si>
    <t>Ellinwood</t>
  </si>
  <si>
    <t>Conway Springs</t>
  </si>
  <si>
    <t>Belle Plaine</t>
  </si>
  <si>
    <t>Oxford</t>
  </si>
  <si>
    <t>Argonia</t>
  </si>
  <si>
    <t>Caldwell</t>
  </si>
  <si>
    <t>Anthony-Harper</t>
  </si>
  <si>
    <t>Prairie View</t>
  </si>
  <si>
    <t>Holcomb</t>
  </si>
  <si>
    <t>Marysville</t>
  </si>
  <si>
    <t>Garnett</t>
  </si>
  <si>
    <t>Osawatomie</t>
  </si>
  <si>
    <t>Paola</t>
  </si>
  <si>
    <t>Burrton</t>
  </si>
  <si>
    <t>Montezuma</t>
  </si>
  <si>
    <t>Silver Lake</t>
  </si>
  <si>
    <t>Newton</t>
  </si>
  <si>
    <t>Sublette</t>
  </si>
  <si>
    <t>Circle</t>
  </si>
  <si>
    <t>Sterling</t>
  </si>
  <si>
    <t>Atchison County</t>
  </si>
  <si>
    <t>Riley County</t>
  </si>
  <si>
    <t>Clay Center</t>
  </si>
  <si>
    <t>Vermillon</t>
  </si>
  <si>
    <t>Spearville</t>
  </si>
  <si>
    <t>Manhattan</t>
  </si>
  <si>
    <t>Andover</t>
  </si>
  <si>
    <t>Madison-Virgil</t>
  </si>
  <si>
    <t>Altoona-Midway</t>
  </si>
  <si>
    <t>Eureka</t>
  </si>
  <si>
    <t>Solomon</t>
  </si>
  <si>
    <t>Rose Hill</t>
  </si>
  <si>
    <t>LaCrosse</t>
  </si>
  <si>
    <t>Douglass</t>
  </si>
  <si>
    <t>Centre</t>
  </si>
  <si>
    <t>Peabody-Burns</t>
  </si>
  <si>
    <t>Paradise</t>
  </si>
  <si>
    <t>Smoky Valley</t>
  </si>
  <si>
    <t>Augusta</t>
  </si>
  <si>
    <t>Otis-Bison</t>
  </si>
  <si>
    <t>Riverton</t>
  </si>
  <si>
    <t>Lyons</t>
  </si>
  <si>
    <t>Wathena</t>
  </si>
  <si>
    <t xml:space="preserve">Russell </t>
  </si>
  <si>
    <t>Durham-Hills</t>
  </si>
  <si>
    <t>Goessel</t>
  </si>
  <si>
    <t>Hoxie</t>
  </si>
  <si>
    <t>Chanute</t>
  </si>
  <si>
    <t>Hiawatha</t>
  </si>
  <si>
    <t>Louisburg</t>
  </si>
  <si>
    <t>Morris County</t>
  </si>
  <si>
    <t>Canton-Galva</t>
  </si>
  <si>
    <t>Osage City</t>
  </si>
  <si>
    <t>Lyndon</t>
  </si>
  <si>
    <t>Greensburg</t>
  </si>
  <si>
    <t>Moundridge</t>
  </si>
  <si>
    <t>Mullinville</t>
  </si>
  <si>
    <t>Highland</t>
  </si>
  <si>
    <t>Pike Valley</t>
  </si>
  <si>
    <t>Belleville</t>
  </si>
  <si>
    <t>Great Bend</t>
  </si>
  <si>
    <t>Troy</t>
  </si>
  <si>
    <t>Brown County</t>
  </si>
  <si>
    <t>Hoisington</t>
  </si>
  <si>
    <t>Victoria</t>
  </si>
  <si>
    <t>Midway</t>
  </si>
  <si>
    <t>Santa Fe</t>
  </si>
  <si>
    <t>Abilene</t>
  </si>
  <si>
    <t>Caney</t>
  </si>
  <si>
    <t>Auburn Washburn</t>
  </si>
  <si>
    <t>Skyline</t>
  </si>
  <si>
    <t>Halstead</t>
  </si>
  <si>
    <t>Sabetha</t>
  </si>
  <si>
    <t>Nemaha Valley</t>
  </si>
  <si>
    <t>Dodge City</t>
  </si>
  <si>
    <t>Little River</t>
  </si>
  <si>
    <t>Coffeyville</t>
  </si>
  <si>
    <t>Independence</t>
  </si>
  <si>
    <t>Cherryvale</t>
  </si>
  <si>
    <t>Inman</t>
  </si>
  <si>
    <t>Easton</t>
  </si>
  <si>
    <t>Shawnee Heights</t>
  </si>
  <si>
    <t>Stanton County</t>
  </si>
  <si>
    <t>Burlingame</t>
  </si>
  <si>
    <t>Hillcrest</t>
  </si>
  <si>
    <t>Marais Des Cygnes</t>
  </si>
  <si>
    <t>Garden City</t>
  </si>
  <si>
    <t>Basehor-Linwood</t>
  </si>
  <si>
    <t>Bucklin</t>
  </si>
  <si>
    <t>Hesston</t>
  </si>
  <si>
    <t>Neodesha</t>
  </si>
  <si>
    <t>Central</t>
  </si>
  <si>
    <t>Udall</t>
  </si>
  <si>
    <t>Tonganoxie</t>
  </si>
  <si>
    <t>Winfield</t>
  </si>
  <si>
    <t>Scott County</t>
  </si>
  <si>
    <t>Leoti</t>
  </si>
  <si>
    <t>Healy</t>
  </si>
  <si>
    <t>Lansing</t>
  </si>
  <si>
    <t>Arkansas City</t>
  </si>
  <si>
    <t>Dexter</t>
  </si>
  <si>
    <t>Chapman</t>
  </si>
  <si>
    <t>Haviland</t>
  </si>
  <si>
    <t>Junction City</t>
  </si>
  <si>
    <t>Copeland</t>
  </si>
  <si>
    <t>Ingalls</t>
  </si>
  <si>
    <t>Crest</t>
  </si>
  <si>
    <t>Liberal</t>
  </si>
  <si>
    <t>Rural Vista</t>
  </si>
  <si>
    <t>Dighton</t>
  </si>
  <si>
    <t>Kismet-Plains</t>
  </si>
  <si>
    <t>Fredonia</t>
  </si>
  <si>
    <t>Elwood</t>
  </si>
  <si>
    <t>Herington</t>
  </si>
  <si>
    <t>Axtell</t>
  </si>
  <si>
    <t>Hays</t>
  </si>
  <si>
    <t>El Dorado</t>
  </si>
  <si>
    <t>Eudora</t>
  </si>
  <si>
    <t>Flinthills</t>
  </si>
  <si>
    <t>Columbus</t>
  </si>
  <si>
    <t>Syracuse</t>
  </si>
  <si>
    <t>Ft. Larned</t>
  </si>
  <si>
    <t>Pawnee Heights</t>
  </si>
  <si>
    <t>Lawrence</t>
  </si>
  <si>
    <t>Valley Heights</t>
  </si>
  <si>
    <t>Galena</t>
  </si>
  <si>
    <t>Kansas City</t>
  </si>
  <si>
    <t>Topeka</t>
  </si>
  <si>
    <t>Lewis</t>
  </si>
  <si>
    <t>Parsons</t>
  </si>
  <si>
    <t>Oswego</t>
  </si>
  <si>
    <t>Chetopa - St. Paul</t>
  </si>
  <si>
    <t>Labette County</t>
  </si>
  <si>
    <t>Satanta</t>
  </si>
  <si>
    <t>Baxter Springs</t>
  </si>
  <si>
    <t>South Haven</t>
  </si>
  <si>
    <t>Attica</t>
  </si>
  <si>
    <t>Shawnee Mission</t>
  </si>
  <si>
    <t>Decrease/ Increase          (Col 2 - Col 1)</t>
  </si>
  <si>
    <t/>
  </si>
  <si>
    <t>USD#</t>
  </si>
  <si>
    <t>2009-10</t>
  </si>
  <si>
    <t>VIRT WTD FTE</t>
  </si>
  <si>
    <t>VIRT Funding</t>
  </si>
  <si>
    <t>FTE Enroll</t>
  </si>
  <si>
    <t>(inc MILT/VIRT)</t>
  </si>
  <si>
    <t>Free Lunch</t>
  </si>
  <si>
    <t>Headcount</t>
  </si>
  <si>
    <t>Reduced Lunch</t>
  </si>
  <si>
    <t>Percent</t>
  </si>
  <si>
    <t>Red Lunch</t>
  </si>
  <si>
    <t>LOB</t>
  </si>
  <si>
    <t>Legal</t>
  </si>
  <si>
    <t>Adj. Legal</t>
  </si>
  <si>
    <t>General Fund</t>
  </si>
  <si>
    <t>Total GF &amp; LOB</t>
  </si>
  <si>
    <t>(Col 2 + Col 3)</t>
  </si>
  <si>
    <t>Amount Per Pupil</t>
  </si>
  <si>
    <t>(Col 4 / Col 1)</t>
  </si>
  <si>
    <t>Col 4</t>
  </si>
  <si>
    <t>Col 5</t>
  </si>
  <si>
    <t>Urban Real Property</t>
  </si>
  <si>
    <t>Rural Real Property</t>
  </si>
  <si>
    <t>State Assessed</t>
  </si>
  <si>
    <t>Personal Property</t>
  </si>
  <si>
    <t>Total Valuation</t>
  </si>
  <si>
    <t>2004-2005</t>
  </si>
  <si>
    <t>2009-2010</t>
  </si>
  <si>
    <t>2400</t>
  </si>
  <si>
    <t>2450</t>
  </si>
  <si>
    <t>C06</t>
  </si>
  <si>
    <t>C08</t>
  </si>
  <si>
    <t>C010</t>
  </si>
  <si>
    <t>C016</t>
  </si>
  <si>
    <t>C042</t>
  </si>
  <si>
    <t>C044</t>
  </si>
  <si>
    <t>C045</t>
  </si>
  <si>
    <t>C062</t>
  </si>
  <si>
    <t>C063</t>
  </si>
  <si>
    <t>C066</t>
  </si>
  <si>
    <t>C067</t>
  </si>
  <si>
    <t>C080</t>
  </si>
  <si>
    <t>C082</t>
  </si>
  <si>
    <t>C083</t>
  </si>
  <si>
    <t>C084</t>
  </si>
  <si>
    <t>C086</t>
  </si>
  <si>
    <t>IRBs</t>
  </si>
  <si>
    <t>Motor Veh</t>
  </si>
  <si>
    <t>Rec Veh</t>
  </si>
  <si>
    <t>Other CO Rev</t>
  </si>
  <si>
    <t>C019</t>
  </si>
  <si>
    <t>C033</t>
  </si>
  <si>
    <t>All Funds</t>
  </si>
  <si>
    <t>2003-2004</t>
  </si>
  <si>
    <t>2008-2009</t>
  </si>
</sst>
</file>

<file path=xl/styles.xml><?xml version="1.0" encoding="utf-8"?>
<styleSheet xmlns="http://schemas.openxmlformats.org/spreadsheetml/2006/main">
  <numFmts count="7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#,##0.0"/>
    <numFmt numFmtId="165" formatCode="#,##0.0_);[Red]\(#,##0.0\)"/>
    <numFmt numFmtId="166" formatCode="0.0"/>
    <numFmt numFmtId="167" formatCode="#,###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name val="Geneva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  <xf numFmtId="40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28">
    <xf numFmtId="0" fontId="0" fillId="0" borderId="0" xfId="0"/>
    <xf numFmtId="14" fontId="20" fillId="0" borderId="0" xfId="0" applyNumberFormat="1" applyFont="1" applyBorder="1" applyAlignment="1">
      <alignment horizontal="center"/>
    </xf>
    <xf numFmtId="0" fontId="20" fillId="0" borderId="0" xfId="0" applyFont="1" applyBorder="1"/>
    <xf numFmtId="0" fontId="21" fillId="0" borderId="0" xfId="0" applyFont="1" applyBorder="1" applyAlignment="1">
      <alignment horizontal="center"/>
    </xf>
    <xf numFmtId="0" fontId="22" fillId="0" borderId="0" xfId="0" applyFont="1"/>
    <xf numFmtId="0" fontId="20" fillId="0" borderId="0" xfId="0" applyFont="1" applyBorder="1" applyAlignment="1">
      <alignment horizontal="center"/>
    </xf>
    <xf numFmtId="49" fontId="21" fillId="0" borderId="0" xfId="0" applyNumberFormat="1" applyFont="1" applyBorder="1" applyAlignment="1">
      <alignment horizontal="center"/>
    </xf>
    <xf numFmtId="49" fontId="21" fillId="0" borderId="0" xfId="0" applyNumberFormat="1" applyFont="1" applyBorder="1"/>
    <xf numFmtId="49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/>
    <xf numFmtId="164" fontId="21" fillId="0" borderId="10" xfId="0" applyNumberFormat="1" applyFont="1" applyBorder="1" applyAlignment="1">
      <alignment horizontal="center"/>
    </xf>
    <xf numFmtId="49" fontId="20" fillId="0" borderId="0" xfId="0" applyNumberFormat="1" applyFont="1" applyBorder="1" applyAlignment="1">
      <alignment horizontal="center"/>
    </xf>
    <xf numFmtId="49" fontId="20" fillId="0" borderId="0" xfId="0" applyNumberFormat="1" applyFont="1" applyBorder="1"/>
    <xf numFmtId="165" fontId="20" fillId="0" borderId="0" xfId="1" applyNumberFormat="1" applyFont="1" applyBorder="1"/>
    <xf numFmtId="164" fontId="20" fillId="0" borderId="0" xfId="0" applyNumberFormat="1" applyFont="1" applyBorder="1"/>
    <xf numFmtId="164" fontId="20" fillId="0" borderId="0" xfId="0" applyNumberFormat="1" applyFont="1" applyBorder="1" applyAlignment="1">
      <alignment horizontal="right"/>
    </xf>
    <xf numFmtId="164" fontId="20" fillId="0" borderId="0" xfId="0" applyNumberFormat="1" applyFont="1" applyFill="1" applyBorder="1" applyAlignment="1">
      <alignment horizontal="right"/>
    </xf>
    <xf numFmtId="165" fontId="20" fillId="0" borderId="0" xfId="1" applyNumberFormat="1" applyFont="1" applyFill="1" applyBorder="1"/>
    <xf numFmtId="165" fontId="20" fillId="0" borderId="11" xfId="1" applyNumberFormat="1" applyFont="1" applyBorder="1"/>
    <xf numFmtId="164" fontId="20" fillId="0" borderId="11" xfId="0" applyNumberFormat="1" applyFont="1" applyBorder="1"/>
    <xf numFmtId="164" fontId="20" fillId="0" borderId="0" xfId="0" applyNumberFormat="1" applyFont="1" applyBorder="1" applyProtection="1">
      <protection locked="0"/>
    </xf>
    <xf numFmtId="0" fontId="20" fillId="0" borderId="0" xfId="0" applyFont="1" applyBorder="1" applyAlignment="1">
      <alignment horizontal="left"/>
    </xf>
    <xf numFmtId="164" fontId="20" fillId="0" borderId="0" xfId="0" applyNumberFormat="1" applyFont="1" applyBorder="1" applyProtection="1"/>
    <xf numFmtId="0" fontId="22" fillId="0" borderId="0" xfId="0" applyFont="1" applyAlignment="1">
      <alignment horizontal="center"/>
    </xf>
    <xf numFmtId="0" fontId="20" fillId="0" borderId="0" xfId="0" applyFont="1" applyFill="1" applyProtection="1">
      <protection locked="0"/>
    </xf>
    <xf numFmtId="0" fontId="20" fillId="0" borderId="0" xfId="42" applyFont="1" applyFill="1" applyProtection="1">
      <protection locked="0"/>
    </xf>
    <xf numFmtId="0" fontId="20" fillId="0" borderId="0" xfId="0" applyFont="1" applyAlignment="1">
      <alignment horizontal="center"/>
    </xf>
    <xf numFmtId="3" fontId="22" fillId="0" borderId="0" xfId="0" applyNumberFormat="1" applyFont="1"/>
    <xf numFmtId="3" fontId="20" fillId="0" borderId="0" xfId="0" applyNumberFormat="1" applyFont="1"/>
    <xf numFmtId="49" fontId="20" fillId="0" borderId="0" xfId="0" applyNumberFormat="1" applyFont="1" applyAlignment="1">
      <alignment horizontal="center"/>
    </xf>
    <xf numFmtId="3" fontId="22" fillId="0" borderId="11" xfId="0" applyNumberFormat="1" applyFont="1" applyBorder="1"/>
    <xf numFmtId="3" fontId="20" fillId="0" borderId="11" xfId="0" applyNumberFormat="1" applyFont="1" applyBorder="1"/>
    <xf numFmtId="0" fontId="20" fillId="0" borderId="0" xfId="0" applyFont="1"/>
    <xf numFmtId="3" fontId="22" fillId="0" borderId="0" xfId="0" applyNumberFormat="1" applyFont="1" applyBorder="1"/>
    <xf numFmtId="3" fontId="20" fillId="33" borderId="0" xfId="0" applyNumberFormat="1" applyFont="1" applyFill="1" applyAlignment="1">
      <alignment horizontal="right"/>
    </xf>
    <xf numFmtId="164" fontId="20" fillId="33" borderId="0" xfId="0" applyNumberFormat="1" applyFont="1" applyFill="1" applyBorder="1" applyAlignment="1">
      <alignment horizontal="right"/>
    </xf>
    <xf numFmtId="0" fontId="21" fillId="0" borderId="0" xfId="42" applyFont="1" applyFill="1" applyAlignment="1" applyProtection="1">
      <alignment horizontal="center"/>
      <protection locked="0"/>
    </xf>
    <xf numFmtId="164" fontId="20" fillId="0" borderId="0" xfId="42" applyNumberFormat="1" applyFont="1" applyFill="1" applyProtection="1"/>
    <xf numFmtId="164" fontId="20" fillId="0" borderId="0" xfId="42" applyNumberFormat="1" applyFont="1" applyFill="1" applyProtection="1">
      <protection locked="0"/>
    </xf>
    <xf numFmtId="166" fontId="20" fillId="0" borderId="0" xfId="42" applyNumberFormat="1" applyFont="1" applyFill="1"/>
    <xf numFmtId="0" fontId="21" fillId="0" borderId="10" xfId="42" applyFont="1" applyFill="1" applyBorder="1" applyAlignment="1" applyProtection="1">
      <alignment horizontal="center"/>
      <protection locked="0"/>
    </xf>
    <xf numFmtId="0" fontId="20" fillId="0" borderId="0" xfId="42" applyFont="1"/>
    <xf numFmtId="14" fontId="20" fillId="0" borderId="0" xfId="42" applyNumberFormat="1" applyFont="1" applyFill="1" applyAlignment="1" applyProtection="1">
      <alignment horizontal="center"/>
      <protection locked="0"/>
    </xf>
    <xf numFmtId="0" fontId="21" fillId="0" borderId="10" xfId="0" applyFont="1" applyBorder="1" applyAlignment="1">
      <alignment horizontal="center"/>
    </xf>
    <xf numFmtId="0" fontId="24" fillId="0" borderId="0" xfId="0" applyFont="1"/>
    <xf numFmtId="0" fontId="21" fillId="0" borderId="10" xfId="0" applyFont="1" applyBorder="1"/>
    <xf numFmtId="0" fontId="20" fillId="0" borderId="0" xfId="42" applyFont="1" applyFill="1" applyAlignment="1" applyProtection="1">
      <alignment horizontal="center"/>
      <protection locked="0"/>
    </xf>
    <xf numFmtId="3" fontId="20" fillId="0" borderId="0" xfId="42" applyNumberFormat="1" applyFont="1" applyFill="1"/>
    <xf numFmtId="0" fontId="20" fillId="0" borderId="0" xfId="42" applyFont="1" applyAlignment="1">
      <alignment horizontal="center"/>
    </xf>
    <xf numFmtId="0" fontId="24" fillId="0" borderId="0" xfId="0" applyFont="1" applyAlignment="1">
      <alignment horizontal="center"/>
    </xf>
    <xf numFmtId="14" fontId="22" fillId="0" borderId="0" xfId="0" applyNumberFormat="1" applyFont="1"/>
    <xf numFmtId="164" fontId="20" fillId="0" borderId="0" xfId="42" applyNumberFormat="1" applyFont="1" applyFill="1" applyAlignment="1" applyProtection="1">
      <alignment horizontal="center"/>
    </xf>
    <xf numFmtId="164" fontId="20" fillId="0" borderId="0" xfId="42" applyNumberFormat="1" applyFont="1" applyFill="1"/>
    <xf numFmtId="165" fontId="20" fillId="0" borderId="0" xfId="43" applyNumberFormat="1" applyFont="1" applyFill="1"/>
    <xf numFmtId="3" fontId="22" fillId="0" borderId="11" xfId="0" applyNumberFormat="1" applyFont="1" applyFill="1" applyBorder="1"/>
    <xf numFmtId="0" fontId="21" fillId="0" borderId="10" xfId="0" applyFont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165" fontId="20" fillId="0" borderId="0" xfId="42" applyNumberFormat="1" applyFont="1" applyFill="1" applyAlignment="1" applyProtection="1">
      <alignment horizontal="center"/>
      <protection locked="0"/>
    </xf>
    <xf numFmtId="164" fontId="20" fillId="0" borderId="11" xfId="42" applyNumberFormat="1" applyFont="1" applyFill="1" applyBorder="1"/>
    <xf numFmtId="6" fontId="24" fillId="0" borderId="10" xfId="0" applyNumberFormat="1" applyFont="1" applyBorder="1" applyAlignment="1">
      <alignment horizontal="center"/>
    </xf>
    <xf numFmtId="10" fontId="22" fillId="0" borderId="11" xfId="0" applyNumberFormat="1" applyFont="1" applyBorder="1"/>
    <xf numFmtId="3" fontId="20" fillId="0" borderId="0" xfId="42" applyNumberFormat="1" applyFont="1" applyFill="1" applyProtection="1"/>
    <xf numFmtId="165" fontId="20" fillId="0" borderId="11" xfId="43" applyNumberFormat="1" applyFont="1" applyFill="1" applyBorder="1"/>
    <xf numFmtId="10" fontId="22" fillId="0" borderId="0" xfId="0" applyNumberFormat="1" applyFont="1"/>
    <xf numFmtId="3" fontId="20" fillId="0" borderId="11" xfId="42" applyNumberFormat="1" applyFont="1" applyFill="1" applyBorder="1"/>
    <xf numFmtId="3" fontId="20" fillId="0" borderId="0" xfId="42" applyNumberFormat="1" applyFont="1" applyFill="1" applyProtection="1">
      <protection locked="0"/>
    </xf>
    <xf numFmtId="14" fontId="21" fillId="0" borderId="10" xfId="42" applyNumberFormat="1" applyFont="1" applyFill="1" applyBorder="1" applyAlignment="1" applyProtection="1">
      <alignment horizontal="center"/>
      <protection locked="0"/>
    </xf>
    <xf numFmtId="1" fontId="20" fillId="0" borderId="0" xfId="42" applyNumberFormat="1" applyFont="1" applyFill="1"/>
    <xf numFmtId="0" fontId="24" fillId="0" borderId="10" xfId="0" applyFont="1" applyBorder="1" applyAlignment="1">
      <alignment horizontal="center"/>
    </xf>
    <xf numFmtId="3" fontId="22" fillId="0" borderId="0" xfId="0" applyNumberFormat="1" applyFont="1" applyFill="1"/>
    <xf numFmtId="3" fontId="20" fillId="0" borderId="0" xfId="0" applyNumberFormat="1" applyFont="1" applyBorder="1"/>
    <xf numFmtId="10" fontId="20" fillId="0" borderId="11" xfId="42" applyNumberFormat="1" applyFont="1" applyFill="1" applyBorder="1"/>
    <xf numFmtId="10" fontId="20" fillId="0" borderId="0" xfId="42" applyNumberFormat="1" applyFont="1" applyFill="1"/>
    <xf numFmtId="1" fontId="21" fillId="0" borderId="10" xfId="42" applyNumberFormat="1" applyFont="1" applyFill="1" applyBorder="1" applyAlignment="1" applyProtection="1">
      <alignment horizontal="center"/>
      <protection locked="0"/>
    </xf>
    <xf numFmtId="0" fontId="21" fillId="0" borderId="0" xfId="42" applyFont="1" applyFill="1" applyAlignment="1">
      <alignment horizontal="center"/>
    </xf>
    <xf numFmtId="3" fontId="20" fillId="0" borderId="11" xfId="42" applyNumberFormat="1" applyFont="1" applyFill="1" applyBorder="1" applyProtection="1"/>
    <xf numFmtId="165" fontId="21" fillId="0" borderId="0" xfId="42" applyNumberFormat="1" applyFont="1" applyFill="1" applyAlignment="1" applyProtection="1">
      <alignment horizontal="center"/>
      <protection locked="0"/>
    </xf>
    <xf numFmtId="1" fontId="21" fillId="0" borderId="0" xfId="42" applyNumberFormat="1" applyFont="1" applyFill="1" applyAlignment="1" applyProtection="1">
      <alignment horizontal="center"/>
      <protection locked="0"/>
    </xf>
    <xf numFmtId="0" fontId="21" fillId="0" borderId="10" xfId="42" applyFont="1" applyFill="1" applyBorder="1" applyAlignment="1" applyProtection="1">
      <alignment horizontal="left"/>
      <protection locked="0"/>
    </xf>
    <xf numFmtId="0" fontId="25" fillId="0" borderId="0" xfId="0" applyFont="1" applyAlignment="1">
      <alignment horizontal="center"/>
    </xf>
    <xf numFmtId="0" fontId="25" fillId="0" borderId="0" xfId="0" applyFont="1"/>
    <xf numFmtId="0" fontId="25" fillId="34" borderId="0" xfId="0" applyFont="1" applyFill="1"/>
    <xf numFmtId="0" fontId="25" fillId="0" borderId="0" xfId="0" applyFont="1" applyAlignment="1"/>
    <xf numFmtId="0" fontId="25" fillId="0" borderId="10" xfId="0" applyFont="1" applyBorder="1" applyAlignment="1">
      <alignment horizontal="center"/>
    </xf>
    <xf numFmtId="0" fontId="25" fillId="0" borderId="10" xfId="0" applyFont="1" applyBorder="1"/>
    <xf numFmtId="0" fontId="25" fillId="0" borderId="10" xfId="0" applyFont="1" applyBorder="1" applyAlignment="1">
      <alignment horizontal="center" wrapText="1"/>
    </xf>
    <xf numFmtId="49" fontId="27" fillId="0" borderId="0" xfId="0" applyNumberFormat="1" applyFont="1" applyBorder="1" applyAlignment="1">
      <alignment horizontal="center"/>
    </xf>
    <xf numFmtId="0" fontId="27" fillId="0" borderId="0" xfId="0" applyFont="1" applyFill="1" applyProtection="1">
      <protection locked="0"/>
    </xf>
    <xf numFmtId="49" fontId="27" fillId="0" borderId="0" xfId="0" applyNumberFormat="1" applyFont="1" applyBorder="1"/>
    <xf numFmtId="3" fontId="25" fillId="0" borderId="0" xfId="0" applyNumberFormat="1" applyFont="1"/>
    <xf numFmtId="0" fontId="27" fillId="0" borderId="0" xfId="42" applyFont="1" applyFill="1" applyProtection="1">
      <protection locked="0"/>
    </xf>
    <xf numFmtId="3" fontId="25" fillId="0" borderId="11" xfId="0" applyNumberFormat="1" applyFont="1" applyBorder="1"/>
    <xf numFmtId="3" fontId="25" fillId="33" borderId="0" xfId="0" applyNumberFormat="1" applyFont="1" applyFill="1" applyAlignment="1">
      <alignment horizontal="right"/>
    </xf>
    <xf numFmtId="3" fontId="25" fillId="33" borderId="0" xfId="0" applyNumberFormat="1" applyFont="1" applyFill="1"/>
    <xf numFmtId="14" fontId="25" fillId="0" borderId="0" xfId="0" applyNumberFormat="1" applyFont="1" applyAlignment="1">
      <alignment horizontal="left"/>
    </xf>
    <xf numFmtId="14" fontId="22" fillId="0" borderId="0" xfId="0" applyNumberFormat="1" applyFont="1" applyFill="1" applyAlignment="1">
      <alignment horizontal="center"/>
    </xf>
    <xf numFmtId="0" fontId="22" fillId="0" borderId="0" xfId="0" applyFont="1" applyFill="1"/>
    <xf numFmtId="0" fontId="22" fillId="0" borderId="0" xfId="0" applyFont="1" applyFill="1" applyAlignment="1">
      <alignment horizontal="center"/>
    </xf>
    <xf numFmtId="49" fontId="21" fillId="0" borderId="0" xfId="0" applyNumberFormat="1" applyFont="1" applyFill="1" applyBorder="1" applyAlignment="1">
      <alignment horizontal="center"/>
    </xf>
    <xf numFmtId="49" fontId="21" fillId="0" borderId="0" xfId="0" applyNumberFormat="1" applyFont="1" applyFill="1" applyBorder="1"/>
    <xf numFmtId="49" fontId="21" fillId="0" borderId="10" xfId="0" applyNumberFormat="1" applyFont="1" applyFill="1" applyBorder="1" applyAlignment="1">
      <alignment horizontal="center"/>
    </xf>
    <xf numFmtId="49" fontId="21" fillId="0" borderId="10" xfId="0" applyNumberFormat="1" applyFont="1" applyFill="1" applyBorder="1"/>
    <xf numFmtId="49" fontId="20" fillId="0" borderId="0" xfId="0" applyNumberFormat="1" applyFont="1" applyFill="1" applyBorder="1" applyAlignment="1">
      <alignment horizontal="center"/>
    </xf>
    <xf numFmtId="49" fontId="20" fillId="0" borderId="0" xfId="0" applyNumberFormat="1" applyFont="1" applyFill="1" applyBorder="1"/>
    <xf numFmtId="167" fontId="22" fillId="0" borderId="0" xfId="0" applyNumberFormat="1" applyFont="1" applyFill="1"/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/>
    <xf numFmtId="0" fontId="24" fillId="0" borderId="0" xfId="0" applyFont="1" applyFill="1" applyBorder="1" applyAlignment="1">
      <alignment horizontal="center"/>
    </xf>
    <xf numFmtId="0" fontId="24" fillId="0" borderId="10" xfId="0" applyFont="1" applyFill="1" applyBorder="1" applyAlignment="1">
      <alignment horizontal="center"/>
    </xf>
    <xf numFmtId="167" fontId="22" fillId="0" borderId="11" xfId="0" applyNumberFormat="1" applyFont="1" applyFill="1" applyBorder="1"/>
    <xf numFmtId="0" fontId="22" fillId="0" borderId="11" xfId="0" applyFont="1" applyFill="1" applyBorder="1"/>
    <xf numFmtId="0" fontId="26" fillId="0" borderId="0" xfId="0" applyFont="1" applyAlignment="1">
      <alignment horizontal="center"/>
    </xf>
    <xf numFmtId="167" fontId="22" fillId="0" borderId="0" xfId="0" applyNumberFormat="1" applyFont="1"/>
    <xf numFmtId="0" fontId="22" fillId="0" borderId="10" xfId="0" applyFont="1" applyFill="1" applyBorder="1" applyAlignment="1">
      <alignment horizontal="center"/>
    </xf>
    <xf numFmtId="0" fontId="22" fillId="0" borderId="0" xfId="0" applyFont="1" applyFill="1" applyAlignment="1">
      <alignment horizontal="center"/>
    </xf>
    <xf numFmtId="167" fontId="22" fillId="0" borderId="11" xfId="0" applyNumberFormat="1" applyFont="1" applyBorder="1"/>
    <xf numFmtId="0" fontId="22" fillId="0" borderId="11" xfId="0" applyFont="1" applyBorder="1"/>
    <xf numFmtId="0" fontId="24" fillId="0" borderId="0" xfId="0" applyFont="1" applyFill="1" applyAlignment="1">
      <alignment horizontal="center"/>
    </xf>
    <xf numFmtId="0" fontId="22" fillId="0" borderId="0" xfId="0" applyFont="1" applyBorder="1"/>
    <xf numFmtId="0" fontId="0" fillId="0" borderId="0" xfId="0" applyBorder="1"/>
    <xf numFmtId="0" fontId="22" fillId="0" borderId="0" xfId="0" applyFont="1" applyAlignment="1">
      <alignment horizontal="center"/>
    </xf>
    <xf numFmtId="0" fontId="22" fillId="35" borderId="0" xfId="0" applyFont="1" applyFill="1" applyBorder="1"/>
    <xf numFmtId="0" fontId="24" fillId="35" borderId="0" xfId="0" applyFont="1" applyFill="1" applyBorder="1" applyAlignment="1">
      <alignment horizontal="center"/>
    </xf>
    <xf numFmtId="0" fontId="0" fillId="35" borderId="0" xfId="0" applyFill="1" applyBorder="1"/>
    <xf numFmtId="0" fontId="24" fillId="0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67" fontId="22" fillId="33" borderId="0" xfId="0" applyNumberFormat="1" applyFont="1" applyFill="1" applyAlignment="1">
      <alignment horizontal="right"/>
    </xf>
  </cellXfs>
  <cellStyles count="61">
    <cellStyle name="20% - Accent1" xfId="19" builtinId="30" customBuiltin="1"/>
    <cellStyle name="20% - Accent1 2" xfId="49"/>
    <cellStyle name="20% - Accent2" xfId="23" builtinId="34" customBuiltin="1"/>
    <cellStyle name="20% - Accent2 2" xfId="51"/>
    <cellStyle name="20% - Accent3" xfId="27" builtinId="38" customBuiltin="1"/>
    <cellStyle name="20% - Accent3 2" xfId="53"/>
    <cellStyle name="20% - Accent4" xfId="31" builtinId="42" customBuiltin="1"/>
    <cellStyle name="20% - Accent4 2" xfId="55"/>
    <cellStyle name="20% - Accent5" xfId="35" builtinId="46" customBuiltin="1"/>
    <cellStyle name="20% - Accent5 2" xfId="57"/>
    <cellStyle name="20% - Accent6" xfId="39" builtinId="50" customBuiltin="1"/>
    <cellStyle name="20% - Accent6 2" xfId="59"/>
    <cellStyle name="40% - Accent1" xfId="20" builtinId="31" customBuiltin="1"/>
    <cellStyle name="40% - Accent1 2" xfId="50"/>
    <cellStyle name="40% - Accent2" xfId="24" builtinId="35" customBuiltin="1"/>
    <cellStyle name="40% - Accent2 2" xfId="52"/>
    <cellStyle name="40% - Accent3" xfId="28" builtinId="39" customBuiltin="1"/>
    <cellStyle name="40% - Accent3 2" xfId="54"/>
    <cellStyle name="40% - Accent4" xfId="32" builtinId="43" customBuiltin="1"/>
    <cellStyle name="40% - Accent4 2" xfId="56"/>
    <cellStyle name="40% - Accent5" xfId="36" builtinId="47" customBuiltin="1"/>
    <cellStyle name="40% - Accent5 2" xfId="58"/>
    <cellStyle name="40% - Accent6" xfId="40" builtinId="51" customBuiltin="1"/>
    <cellStyle name="40% - Accent6 2" xfId="60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/>
    <cellStyle name="Currency 2" xfId="44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6"/>
    <cellStyle name="Normal 4" xfId="42"/>
    <cellStyle name="Note 2" xfId="47"/>
    <cellStyle name="Note 3" xfId="48"/>
    <cellStyle name="Output" xfId="11" builtinId="21" customBuiltin="1"/>
    <cellStyle name="Percent 2" xfId="4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"/>
  <cols>
    <col min="1" max="1" width="9.140625" style="23"/>
    <col min="2" max="2" width="22" style="4" customWidth="1"/>
    <col min="3" max="3" width="15.140625" style="4" customWidth="1"/>
    <col min="4" max="6" width="15" style="4" customWidth="1"/>
    <col min="7" max="16384" width="9.140625" style="4"/>
  </cols>
  <sheetData>
    <row r="1" spans="1:6">
      <c r="A1" s="1">
        <v>40387</v>
      </c>
      <c r="B1" s="2"/>
      <c r="C1" s="2"/>
      <c r="D1" s="3" t="s">
        <v>0</v>
      </c>
      <c r="E1" s="3" t="s">
        <v>1</v>
      </c>
      <c r="F1" s="3" t="s">
        <v>2</v>
      </c>
    </row>
    <row r="2" spans="1:6">
      <c r="A2" s="5"/>
      <c r="B2" s="2"/>
      <c r="C2" s="2"/>
      <c r="D2" s="2"/>
      <c r="E2" s="2"/>
      <c r="F2" s="2"/>
    </row>
    <row r="3" spans="1:6">
      <c r="A3" s="6"/>
      <c r="B3" s="7"/>
      <c r="C3" s="7"/>
      <c r="D3" s="6" t="s">
        <v>4</v>
      </c>
      <c r="E3" s="6" t="s">
        <v>5</v>
      </c>
      <c r="F3" s="6" t="s">
        <v>6</v>
      </c>
    </row>
    <row r="4" spans="1:6">
      <c r="A4" s="6"/>
      <c r="B4" s="7"/>
      <c r="C4" s="7"/>
      <c r="D4" s="6"/>
      <c r="E4" s="6" t="s">
        <v>7</v>
      </c>
      <c r="F4" s="6" t="s">
        <v>8</v>
      </c>
    </row>
    <row r="5" spans="1:6" ht="12.75" thickBot="1">
      <c r="A5" s="8" t="s">
        <v>9</v>
      </c>
      <c r="B5" s="9" t="s">
        <v>10</v>
      </c>
      <c r="C5" s="9" t="s">
        <v>3</v>
      </c>
      <c r="D5" s="10" t="s">
        <v>11</v>
      </c>
      <c r="E5" s="10" t="s">
        <v>11</v>
      </c>
      <c r="F5" s="8" t="s">
        <v>12</v>
      </c>
    </row>
    <row r="6" spans="1:6">
      <c r="A6" s="11" t="s">
        <v>13</v>
      </c>
      <c r="B6" s="24" t="s">
        <v>433</v>
      </c>
      <c r="C6" s="12" t="s">
        <v>14</v>
      </c>
      <c r="D6" s="13">
        <v>1038.3</v>
      </c>
      <c r="E6" s="14">
        <v>508.5</v>
      </c>
      <c r="F6" s="14">
        <f>E6-D6</f>
        <v>-529.79999999999995</v>
      </c>
    </row>
    <row r="7" spans="1:6">
      <c r="A7" s="11" t="s">
        <v>15</v>
      </c>
      <c r="B7" s="24" t="s">
        <v>434</v>
      </c>
      <c r="C7" s="12" t="s">
        <v>16</v>
      </c>
      <c r="D7" s="13">
        <v>659</v>
      </c>
      <c r="E7" s="14">
        <v>658.7</v>
      </c>
      <c r="F7" s="14">
        <f>E7-D7</f>
        <v>-0.29999999999995453</v>
      </c>
    </row>
    <row r="8" spans="1:6">
      <c r="A8" s="11" t="s">
        <v>17</v>
      </c>
      <c r="B8" s="24" t="s">
        <v>435</v>
      </c>
      <c r="C8" s="12" t="s">
        <v>18</v>
      </c>
      <c r="D8" s="13">
        <v>154.5</v>
      </c>
      <c r="E8" s="14">
        <v>137</v>
      </c>
      <c r="F8" s="14">
        <f>E8-D8</f>
        <v>-17.5</v>
      </c>
    </row>
    <row r="9" spans="1:6">
      <c r="A9" s="11" t="s">
        <v>19</v>
      </c>
      <c r="B9" s="24" t="s">
        <v>436</v>
      </c>
      <c r="C9" s="12" t="s">
        <v>20</v>
      </c>
      <c r="D9" s="13">
        <v>141</v>
      </c>
      <c r="E9" s="35" t="s">
        <v>21</v>
      </c>
      <c r="F9" s="35" t="s">
        <v>21</v>
      </c>
    </row>
    <row r="10" spans="1:6">
      <c r="A10" s="11" t="s">
        <v>22</v>
      </c>
      <c r="B10" s="24" t="s">
        <v>437</v>
      </c>
      <c r="C10" s="12" t="s">
        <v>23</v>
      </c>
      <c r="D10" s="15">
        <v>386.8</v>
      </c>
      <c r="E10" s="14">
        <v>312.2</v>
      </c>
      <c r="F10" s="14">
        <f>E10-D10</f>
        <v>-74.600000000000023</v>
      </c>
    </row>
    <row r="11" spans="1:6">
      <c r="A11" s="11" t="s">
        <v>24</v>
      </c>
      <c r="B11" s="24" t="s">
        <v>438</v>
      </c>
      <c r="C11" s="12" t="s">
        <v>25</v>
      </c>
      <c r="D11" s="35" t="s">
        <v>21</v>
      </c>
      <c r="E11" s="14">
        <v>164</v>
      </c>
      <c r="F11" s="35" t="s">
        <v>21</v>
      </c>
    </row>
    <row r="12" spans="1:6">
      <c r="A12" s="11" t="s">
        <v>26</v>
      </c>
      <c r="B12" s="24" t="s">
        <v>439</v>
      </c>
      <c r="C12" s="12" t="s">
        <v>20</v>
      </c>
      <c r="D12" s="35" t="s">
        <v>21</v>
      </c>
      <c r="E12" s="14">
        <v>292</v>
      </c>
      <c r="F12" s="35" t="s">
        <v>21</v>
      </c>
    </row>
    <row r="13" spans="1:6">
      <c r="A13" s="11" t="s">
        <v>27</v>
      </c>
      <c r="B13" s="24" t="s">
        <v>440</v>
      </c>
      <c r="C13" s="12" t="s">
        <v>28</v>
      </c>
      <c r="D13" s="35" t="s">
        <v>21</v>
      </c>
      <c r="E13" s="14">
        <v>396.5</v>
      </c>
      <c r="F13" s="35" t="s">
        <v>21</v>
      </c>
    </row>
    <row r="14" spans="1:6">
      <c r="A14" s="11" t="s">
        <v>29</v>
      </c>
      <c r="B14" s="24" t="s">
        <v>441</v>
      </c>
      <c r="C14" s="12" t="s">
        <v>30</v>
      </c>
      <c r="D14" s="35" t="s">
        <v>21</v>
      </c>
      <c r="E14" s="14">
        <v>471.8</v>
      </c>
      <c r="F14" s="35" t="s">
        <v>21</v>
      </c>
    </row>
    <row r="15" spans="1:6">
      <c r="A15" s="11" t="s">
        <v>31</v>
      </c>
      <c r="B15" s="24" t="s">
        <v>442</v>
      </c>
      <c r="C15" s="12" t="s">
        <v>32</v>
      </c>
      <c r="D15" s="35" t="s">
        <v>21</v>
      </c>
      <c r="E15" s="16">
        <v>236.5</v>
      </c>
      <c r="F15" s="35" t="s">
        <v>21</v>
      </c>
    </row>
    <row r="16" spans="1:6">
      <c r="A16" s="11" t="s">
        <v>33</v>
      </c>
      <c r="B16" s="24" t="s">
        <v>443</v>
      </c>
      <c r="C16" s="12" t="s">
        <v>34</v>
      </c>
      <c r="D16" s="35" t="s">
        <v>21</v>
      </c>
      <c r="E16" s="16">
        <v>373.1</v>
      </c>
      <c r="F16" s="35" t="s">
        <v>21</v>
      </c>
    </row>
    <row r="17" spans="1:6">
      <c r="A17" s="11" t="s">
        <v>35</v>
      </c>
      <c r="B17" s="24" t="s">
        <v>444</v>
      </c>
      <c r="C17" s="12" t="s">
        <v>36</v>
      </c>
      <c r="D17" s="13">
        <v>284</v>
      </c>
      <c r="E17" s="14">
        <v>211.8</v>
      </c>
      <c r="F17" s="14">
        <f t="shared" ref="F17:F36" si="0">E17-D17</f>
        <v>-72.199999999999989</v>
      </c>
    </row>
    <row r="18" spans="1:6">
      <c r="A18" s="11" t="s">
        <v>37</v>
      </c>
      <c r="B18" s="24" t="s">
        <v>445</v>
      </c>
      <c r="C18" s="12" t="s">
        <v>38</v>
      </c>
      <c r="D18" s="17">
        <v>3601</v>
      </c>
      <c r="E18" s="14">
        <v>3771.6</v>
      </c>
      <c r="F18" s="14">
        <f t="shared" si="0"/>
        <v>170.59999999999991</v>
      </c>
    </row>
    <row r="19" spans="1:6">
      <c r="A19" s="11" t="s">
        <v>39</v>
      </c>
      <c r="B19" s="24" t="s">
        <v>446</v>
      </c>
      <c r="C19" s="12" t="s">
        <v>38</v>
      </c>
      <c r="D19" s="13">
        <v>1277</v>
      </c>
      <c r="E19" s="14">
        <v>1630.5</v>
      </c>
      <c r="F19" s="14">
        <f t="shared" si="0"/>
        <v>353.5</v>
      </c>
    </row>
    <row r="20" spans="1:6">
      <c r="A20" s="11" t="s">
        <v>40</v>
      </c>
      <c r="B20" s="24" t="s">
        <v>447</v>
      </c>
      <c r="C20" s="12" t="s">
        <v>38</v>
      </c>
      <c r="D20" s="13">
        <v>2166</v>
      </c>
      <c r="E20" s="14">
        <v>2358.8000000000002</v>
      </c>
      <c r="F20" s="14">
        <f t="shared" si="0"/>
        <v>192.80000000000018</v>
      </c>
    </row>
    <row r="21" spans="1:6">
      <c r="A21" s="11" t="s">
        <v>41</v>
      </c>
      <c r="B21" s="24" t="s">
        <v>448</v>
      </c>
      <c r="C21" s="12" t="s">
        <v>42</v>
      </c>
      <c r="D21" s="13">
        <v>714.6</v>
      </c>
      <c r="E21" s="14">
        <v>537</v>
      </c>
      <c r="F21" s="14">
        <f t="shared" si="0"/>
        <v>-177.60000000000002</v>
      </c>
    </row>
    <row r="22" spans="1:6">
      <c r="A22" s="11" t="s">
        <v>43</v>
      </c>
      <c r="B22" s="24" t="s">
        <v>449</v>
      </c>
      <c r="C22" s="12" t="s">
        <v>42</v>
      </c>
      <c r="D22" s="13">
        <v>529.4</v>
      </c>
      <c r="E22" s="14">
        <v>524</v>
      </c>
      <c r="F22" s="14">
        <f t="shared" si="0"/>
        <v>-5.3999999999999773</v>
      </c>
    </row>
    <row r="23" spans="1:6">
      <c r="A23" s="11" t="s">
        <v>44</v>
      </c>
      <c r="B23" s="24" t="s">
        <v>450</v>
      </c>
      <c r="C23" s="12" t="s">
        <v>45</v>
      </c>
      <c r="D23" s="13">
        <v>1799</v>
      </c>
      <c r="E23" s="14">
        <v>2065</v>
      </c>
      <c r="F23" s="14">
        <f t="shared" si="0"/>
        <v>266</v>
      </c>
    </row>
    <row r="24" spans="1:6">
      <c r="A24" s="11" t="s">
        <v>46</v>
      </c>
      <c r="B24" s="24" t="s">
        <v>451</v>
      </c>
      <c r="C24" s="12" t="s">
        <v>47</v>
      </c>
      <c r="D24" s="13">
        <v>386.5</v>
      </c>
      <c r="E24" s="14">
        <v>411.2</v>
      </c>
      <c r="F24" s="14">
        <f t="shared" si="0"/>
        <v>24.699999999999989</v>
      </c>
    </row>
    <row r="25" spans="1:6">
      <c r="A25" s="11" t="s">
        <v>48</v>
      </c>
      <c r="B25" s="24" t="s">
        <v>452</v>
      </c>
      <c r="C25" s="12" t="s">
        <v>49</v>
      </c>
      <c r="D25" s="13">
        <v>240.9</v>
      </c>
      <c r="E25" s="14">
        <v>187.8</v>
      </c>
      <c r="F25" s="14">
        <f t="shared" si="0"/>
        <v>-53.099999999999994</v>
      </c>
    </row>
    <row r="26" spans="1:6">
      <c r="A26" s="11" t="s">
        <v>50</v>
      </c>
      <c r="B26" s="24" t="s">
        <v>453</v>
      </c>
      <c r="C26" s="12" t="s">
        <v>49</v>
      </c>
      <c r="D26" s="13">
        <v>1016.9</v>
      </c>
      <c r="E26" s="14">
        <v>985.7</v>
      </c>
      <c r="F26" s="14">
        <f t="shared" si="0"/>
        <v>-31.199999999999932</v>
      </c>
    </row>
    <row r="27" spans="1:6">
      <c r="A27" s="11" t="s">
        <v>51</v>
      </c>
      <c r="B27" s="24" t="s">
        <v>52</v>
      </c>
      <c r="C27" s="12" t="s">
        <v>52</v>
      </c>
      <c r="D27" s="13">
        <v>679.2</v>
      </c>
      <c r="E27" s="14">
        <v>688.9</v>
      </c>
      <c r="F27" s="14">
        <f t="shared" si="0"/>
        <v>9.6999999999999318</v>
      </c>
    </row>
    <row r="28" spans="1:6">
      <c r="A28" s="11" t="s">
        <v>53</v>
      </c>
      <c r="B28" s="24" t="s">
        <v>454</v>
      </c>
      <c r="C28" s="12" t="s">
        <v>52</v>
      </c>
      <c r="D28" s="13">
        <v>182.5</v>
      </c>
      <c r="E28" s="14">
        <v>195</v>
      </c>
      <c r="F28" s="14">
        <f t="shared" si="0"/>
        <v>12.5</v>
      </c>
    </row>
    <row r="29" spans="1:6">
      <c r="A29" s="11" t="s">
        <v>54</v>
      </c>
      <c r="B29" s="24" t="s">
        <v>455</v>
      </c>
      <c r="C29" s="12" t="s">
        <v>52</v>
      </c>
      <c r="D29" s="13">
        <v>71</v>
      </c>
      <c r="E29" s="14">
        <v>38</v>
      </c>
      <c r="F29" s="14">
        <f t="shared" si="0"/>
        <v>-33</v>
      </c>
    </row>
    <row r="30" spans="1:6">
      <c r="A30" s="11" t="s">
        <v>55</v>
      </c>
      <c r="B30" s="24" t="s">
        <v>456</v>
      </c>
      <c r="C30" s="12" t="s">
        <v>56</v>
      </c>
      <c r="D30" s="13">
        <v>1720.6</v>
      </c>
      <c r="E30" s="14">
        <v>1610.4</v>
      </c>
      <c r="F30" s="14">
        <f t="shared" si="0"/>
        <v>-110.19999999999982</v>
      </c>
    </row>
    <row r="31" spans="1:6">
      <c r="A31" s="11" t="s">
        <v>57</v>
      </c>
      <c r="B31" s="24" t="s">
        <v>457</v>
      </c>
      <c r="C31" s="12" t="s">
        <v>58</v>
      </c>
      <c r="D31" s="13">
        <v>682.3</v>
      </c>
      <c r="E31" s="14">
        <v>628.5</v>
      </c>
      <c r="F31" s="14">
        <f t="shared" si="0"/>
        <v>-53.799999999999955</v>
      </c>
    </row>
    <row r="32" spans="1:6">
      <c r="A32" s="11" t="s">
        <v>59</v>
      </c>
      <c r="B32" s="24" t="s">
        <v>458</v>
      </c>
      <c r="C32" s="12" t="s">
        <v>58</v>
      </c>
      <c r="D32" s="13">
        <v>307.39999999999998</v>
      </c>
      <c r="E32" s="14">
        <v>246.9</v>
      </c>
      <c r="F32" s="14">
        <f t="shared" si="0"/>
        <v>-60.499999999999972</v>
      </c>
    </row>
    <row r="33" spans="1:6">
      <c r="A33" s="11" t="s">
        <v>60</v>
      </c>
      <c r="B33" s="24" t="s">
        <v>459</v>
      </c>
      <c r="C33" s="12" t="s">
        <v>61</v>
      </c>
      <c r="D33" s="13">
        <v>216</v>
      </c>
      <c r="E33" s="14">
        <v>199.5</v>
      </c>
      <c r="F33" s="14">
        <f t="shared" si="0"/>
        <v>-16.5</v>
      </c>
    </row>
    <row r="34" spans="1:6">
      <c r="A34" s="11" t="s">
        <v>62</v>
      </c>
      <c r="B34" s="24" t="s">
        <v>460</v>
      </c>
      <c r="C34" s="12" t="s">
        <v>61</v>
      </c>
      <c r="D34" s="13">
        <v>644.5</v>
      </c>
      <c r="E34" s="14">
        <v>633.9</v>
      </c>
      <c r="F34" s="14">
        <f t="shared" si="0"/>
        <v>-10.600000000000023</v>
      </c>
    </row>
    <row r="35" spans="1:6">
      <c r="A35" s="11" t="s">
        <v>63</v>
      </c>
      <c r="B35" s="24" t="s">
        <v>461</v>
      </c>
      <c r="C35" s="12" t="s">
        <v>64</v>
      </c>
      <c r="D35" s="13">
        <v>265.60000000000002</v>
      </c>
      <c r="E35" s="14">
        <v>261.10000000000002</v>
      </c>
      <c r="F35" s="14">
        <f t="shared" si="0"/>
        <v>-4.5</v>
      </c>
    </row>
    <row r="36" spans="1:6">
      <c r="A36" s="11" t="s">
        <v>65</v>
      </c>
      <c r="B36" s="24" t="s">
        <v>462</v>
      </c>
      <c r="C36" s="12" t="s">
        <v>64</v>
      </c>
      <c r="D36" s="13">
        <v>227.5</v>
      </c>
      <c r="E36" s="14">
        <v>221</v>
      </c>
      <c r="F36" s="14">
        <f t="shared" si="0"/>
        <v>-6.5</v>
      </c>
    </row>
    <row r="37" spans="1:6">
      <c r="A37" s="11" t="s">
        <v>66</v>
      </c>
      <c r="B37" s="24" t="s">
        <v>463</v>
      </c>
      <c r="C37" s="12" t="s">
        <v>28</v>
      </c>
      <c r="D37" s="13">
        <v>120</v>
      </c>
      <c r="E37" s="35" t="s">
        <v>21</v>
      </c>
      <c r="F37" s="35" t="s">
        <v>21</v>
      </c>
    </row>
    <row r="38" spans="1:6">
      <c r="A38" s="11" t="s">
        <v>67</v>
      </c>
      <c r="B38" s="24" t="s">
        <v>28</v>
      </c>
      <c r="C38" s="12" t="s">
        <v>28</v>
      </c>
      <c r="D38" s="13">
        <v>346.5</v>
      </c>
      <c r="E38" s="35" t="s">
        <v>21</v>
      </c>
      <c r="F38" s="35" t="s">
        <v>21</v>
      </c>
    </row>
    <row r="39" spans="1:6">
      <c r="A39" s="11" t="s">
        <v>68</v>
      </c>
      <c r="B39" s="24" t="s">
        <v>464</v>
      </c>
      <c r="C39" s="12" t="s">
        <v>28</v>
      </c>
      <c r="D39" s="13">
        <v>377.5</v>
      </c>
      <c r="E39" s="14">
        <v>329.7</v>
      </c>
      <c r="F39" s="14">
        <f t="shared" ref="F39:F52" si="1">E39-D39</f>
        <v>-47.800000000000011</v>
      </c>
    </row>
    <row r="40" spans="1:6">
      <c r="A40" s="11" t="s">
        <v>69</v>
      </c>
      <c r="B40" s="24" t="s">
        <v>465</v>
      </c>
      <c r="C40" s="12" t="s">
        <v>28</v>
      </c>
      <c r="D40" s="13">
        <v>320.89999999999998</v>
      </c>
      <c r="E40" s="14">
        <v>278.5</v>
      </c>
      <c r="F40" s="14">
        <f t="shared" si="1"/>
        <v>-42.399999999999977</v>
      </c>
    </row>
    <row r="41" spans="1:6">
      <c r="A41" s="11" t="s">
        <v>70</v>
      </c>
      <c r="B41" s="24" t="s">
        <v>466</v>
      </c>
      <c r="C41" s="12" t="s">
        <v>71</v>
      </c>
      <c r="D41" s="13">
        <v>157.5</v>
      </c>
      <c r="E41" s="14">
        <v>161</v>
      </c>
      <c r="F41" s="14">
        <f t="shared" si="1"/>
        <v>3.5</v>
      </c>
    </row>
    <row r="42" spans="1:6">
      <c r="A42" s="11" t="s">
        <v>72</v>
      </c>
      <c r="B42" s="24" t="s">
        <v>71</v>
      </c>
      <c r="C42" s="12" t="s">
        <v>71</v>
      </c>
      <c r="D42" s="13">
        <v>503.7</v>
      </c>
      <c r="E42" s="14">
        <v>475.7</v>
      </c>
      <c r="F42" s="14">
        <f t="shared" si="1"/>
        <v>-28</v>
      </c>
    </row>
    <row r="43" spans="1:6">
      <c r="A43" s="11" t="s">
        <v>73</v>
      </c>
      <c r="B43" s="24" t="s">
        <v>467</v>
      </c>
      <c r="C43" s="12" t="s">
        <v>74</v>
      </c>
      <c r="D43" s="13">
        <v>292.5</v>
      </c>
      <c r="E43" s="14">
        <v>264.5</v>
      </c>
      <c r="F43" s="14">
        <f t="shared" si="1"/>
        <v>-28</v>
      </c>
    </row>
    <row r="44" spans="1:6">
      <c r="A44" s="11" t="s">
        <v>75</v>
      </c>
      <c r="B44" s="24" t="s">
        <v>468</v>
      </c>
      <c r="C44" s="12" t="s">
        <v>74</v>
      </c>
      <c r="D44" s="13">
        <v>99</v>
      </c>
      <c r="E44" s="14">
        <v>74.5</v>
      </c>
      <c r="F44" s="14">
        <f t="shared" si="1"/>
        <v>-24.5</v>
      </c>
    </row>
    <row r="45" spans="1:6">
      <c r="A45" s="11" t="s">
        <v>76</v>
      </c>
      <c r="B45" s="24" t="s">
        <v>469</v>
      </c>
      <c r="C45" s="12" t="s">
        <v>77</v>
      </c>
      <c r="D45" s="13">
        <v>18080.2</v>
      </c>
      <c r="E45" s="14">
        <v>20308</v>
      </c>
      <c r="F45" s="14">
        <f t="shared" si="1"/>
        <v>2227.7999999999993</v>
      </c>
    </row>
    <row r="46" spans="1:6">
      <c r="A46" s="11" t="s">
        <v>78</v>
      </c>
      <c r="B46" s="24" t="s">
        <v>470</v>
      </c>
      <c r="C46" s="12" t="s">
        <v>77</v>
      </c>
      <c r="D46" s="13">
        <v>1533.9</v>
      </c>
      <c r="E46" s="14">
        <v>2828.3</v>
      </c>
      <c r="F46" s="14">
        <f t="shared" si="1"/>
        <v>1294.4000000000001</v>
      </c>
    </row>
    <row r="47" spans="1:6">
      <c r="A47" s="11" t="s">
        <v>79</v>
      </c>
      <c r="B47" s="24" t="s">
        <v>471</v>
      </c>
      <c r="C47" s="12" t="s">
        <v>77</v>
      </c>
      <c r="D47" s="13">
        <v>3233.1</v>
      </c>
      <c r="E47" s="14">
        <v>4549.8999999999996</v>
      </c>
      <c r="F47" s="14">
        <f t="shared" si="1"/>
        <v>1316.7999999999997</v>
      </c>
    </row>
    <row r="48" spans="1:6">
      <c r="A48" s="11" t="s">
        <v>80</v>
      </c>
      <c r="B48" s="24" t="s">
        <v>472</v>
      </c>
      <c r="C48" s="12" t="s">
        <v>77</v>
      </c>
      <c r="D48" s="13">
        <v>4258.3999999999996</v>
      </c>
      <c r="E48" s="14">
        <v>6214.7</v>
      </c>
      <c r="F48" s="14">
        <f t="shared" si="1"/>
        <v>1956.3000000000002</v>
      </c>
    </row>
    <row r="49" spans="1:6">
      <c r="A49" s="11" t="s">
        <v>81</v>
      </c>
      <c r="B49" s="24" t="s">
        <v>473</v>
      </c>
      <c r="C49" s="12" t="s">
        <v>77</v>
      </c>
      <c r="D49" s="13">
        <v>21735.4</v>
      </c>
      <c r="E49" s="14">
        <v>25478.400000000001</v>
      </c>
      <c r="F49" s="14">
        <f t="shared" si="1"/>
        <v>3743</v>
      </c>
    </row>
    <row r="50" spans="1:6">
      <c r="A50" s="11" t="s">
        <v>82</v>
      </c>
      <c r="B50" s="24" t="s">
        <v>474</v>
      </c>
      <c r="C50" s="12" t="s">
        <v>83</v>
      </c>
      <c r="D50" s="13">
        <v>1964</v>
      </c>
      <c r="E50" s="14">
        <v>1890.8</v>
      </c>
      <c r="F50" s="14">
        <f t="shared" si="1"/>
        <v>-73.200000000000045</v>
      </c>
    </row>
    <row r="51" spans="1:6">
      <c r="A51" s="11" t="s">
        <v>84</v>
      </c>
      <c r="B51" s="24" t="s">
        <v>475</v>
      </c>
      <c r="C51" s="12" t="s">
        <v>83</v>
      </c>
      <c r="D51" s="13">
        <v>461</v>
      </c>
      <c r="E51" s="14">
        <v>437.6</v>
      </c>
      <c r="F51" s="14">
        <f t="shared" si="1"/>
        <v>-23.399999999999977</v>
      </c>
    </row>
    <row r="52" spans="1:6">
      <c r="A52" s="11" t="s">
        <v>85</v>
      </c>
      <c r="B52" s="24" t="s">
        <v>476</v>
      </c>
      <c r="C52" s="12" t="s">
        <v>86</v>
      </c>
      <c r="D52" s="13">
        <v>477</v>
      </c>
      <c r="E52" s="14">
        <v>433</v>
      </c>
      <c r="F52" s="14">
        <f t="shared" si="1"/>
        <v>-44</v>
      </c>
    </row>
    <row r="53" spans="1:6">
      <c r="A53" s="11" t="s">
        <v>87</v>
      </c>
      <c r="B53" s="24" t="s">
        <v>477</v>
      </c>
      <c r="C53" s="12" t="s">
        <v>86</v>
      </c>
      <c r="D53" s="13">
        <v>193.5</v>
      </c>
      <c r="E53" s="35" t="s">
        <v>21</v>
      </c>
      <c r="F53" s="35" t="s">
        <v>21</v>
      </c>
    </row>
    <row r="54" spans="1:6">
      <c r="A54" s="11" t="s">
        <v>88</v>
      </c>
      <c r="B54" s="24" t="s">
        <v>478</v>
      </c>
      <c r="C54" s="12" t="s">
        <v>89</v>
      </c>
      <c r="D54" s="13">
        <v>555.6</v>
      </c>
      <c r="E54" s="14">
        <v>619.20000000000005</v>
      </c>
      <c r="F54" s="14">
        <f t="shared" ref="F54:F90" si="2">E54-D54</f>
        <v>63.600000000000023</v>
      </c>
    </row>
    <row r="55" spans="1:6">
      <c r="A55" s="11" t="s">
        <v>90</v>
      </c>
      <c r="B55" s="24" t="s">
        <v>479</v>
      </c>
      <c r="C55" s="12" t="s">
        <v>89</v>
      </c>
      <c r="D55" s="13">
        <v>630.5</v>
      </c>
      <c r="E55" s="14">
        <v>606.5</v>
      </c>
      <c r="F55" s="14">
        <f t="shared" si="2"/>
        <v>-24</v>
      </c>
    </row>
    <row r="56" spans="1:6">
      <c r="A56" s="11" t="s">
        <v>91</v>
      </c>
      <c r="B56" s="24" t="s">
        <v>92</v>
      </c>
      <c r="C56" s="12" t="s">
        <v>92</v>
      </c>
      <c r="D56" s="13">
        <v>227.2</v>
      </c>
      <c r="E56" s="14">
        <v>198.5</v>
      </c>
      <c r="F56" s="14">
        <f t="shared" si="2"/>
        <v>-28.699999999999989</v>
      </c>
    </row>
    <row r="57" spans="1:6">
      <c r="A57" s="11" t="s">
        <v>93</v>
      </c>
      <c r="B57" s="24" t="s">
        <v>480</v>
      </c>
      <c r="C57" s="12" t="s">
        <v>92</v>
      </c>
      <c r="D57" s="13">
        <v>128</v>
      </c>
      <c r="E57" s="14">
        <v>103</v>
      </c>
      <c r="F57" s="14">
        <f t="shared" si="2"/>
        <v>-25</v>
      </c>
    </row>
    <row r="58" spans="1:6">
      <c r="A58" s="11" t="s">
        <v>94</v>
      </c>
      <c r="B58" s="24" t="s">
        <v>481</v>
      </c>
      <c r="C58" s="12" t="s">
        <v>95</v>
      </c>
      <c r="D58" s="13">
        <v>567.70000000000005</v>
      </c>
      <c r="E58" s="14">
        <v>526</v>
      </c>
      <c r="F58" s="14">
        <f t="shared" si="2"/>
        <v>-41.700000000000045</v>
      </c>
    </row>
    <row r="59" spans="1:6">
      <c r="A59" s="11" t="s">
        <v>96</v>
      </c>
      <c r="B59" s="24" t="s">
        <v>482</v>
      </c>
      <c r="C59" s="12" t="s">
        <v>95</v>
      </c>
      <c r="D59" s="13">
        <v>845.5</v>
      </c>
      <c r="E59" s="14">
        <v>823</v>
      </c>
      <c r="F59" s="14">
        <f t="shared" si="2"/>
        <v>-22.5</v>
      </c>
    </row>
    <row r="60" spans="1:6">
      <c r="A60" s="11" t="s">
        <v>97</v>
      </c>
      <c r="B60" s="24" t="s">
        <v>483</v>
      </c>
      <c r="C60" s="12" t="s">
        <v>95</v>
      </c>
      <c r="D60" s="13">
        <v>291</v>
      </c>
      <c r="E60" s="14">
        <v>246.5</v>
      </c>
      <c r="F60" s="14">
        <f t="shared" si="2"/>
        <v>-44.5</v>
      </c>
    </row>
    <row r="61" spans="1:6">
      <c r="A61" s="11" t="s">
        <v>98</v>
      </c>
      <c r="B61" s="24" t="s">
        <v>484</v>
      </c>
      <c r="C61" s="12" t="s">
        <v>99</v>
      </c>
      <c r="D61" s="13">
        <v>541</v>
      </c>
      <c r="E61" s="14">
        <v>561.5</v>
      </c>
      <c r="F61" s="14">
        <f t="shared" si="2"/>
        <v>20.5</v>
      </c>
    </row>
    <row r="62" spans="1:6">
      <c r="A62" s="11" t="s">
        <v>100</v>
      </c>
      <c r="B62" s="24" t="s">
        <v>306</v>
      </c>
      <c r="C62" s="12" t="s">
        <v>99</v>
      </c>
      <c r="D62" s="13">
        <v>813</v>
      </c>
      <c r="E62" s="14">
        <v>657</v>
      </c>
      <c r="F62" s="14">
        <f t="shared" si="2"/>
        <v>-156</v>
      </c>
    </row>
    <row r="63" spans="1:6">
      <c r="A63" s="11" t="s">
        <v>101</v>
      </c>
      <c r="B63" s="24" t="s">
        <v>485</v>
      </c>
      <c r="C63" s="12" t="s">
        <v>99</v>
      </c>
      <c r="D63" s="13">
        <v>1054</v>
      </c>
      <c r="E63" s="14">
        <v>1008.8</v>
      </c>
      <c r="F63" s="14">
        <f t="shared" si="2"/>
        <v>-45.200000000000045</v>
      </c>
    </row>
    <row r="64" spans="1:6">
      <c r="A64" s="11" t="s">
        <v>102</v>
      </c>
      <c r="B64" s="24" t="s">
        <v>486</v>
      </c>
      <c r="C64" s="12" t="s">
        <v>99</v>
      </c>
      <c r="D64" s="13">
        <v>726.5</v>
      </c>
      <c r="E64" s="14">
        <v>850</v>
      </c>
      <c r="F64" s="14">
        <f t="shared" si="2"/>
        <v>123.5</v>
      </c>
    </row>
    <row r="65" spans="1:6">
      <c r="A65" s="11" t="s">
        <v>103</v>
      </c>
      <c r="B65" s="24" t="s">
        <v>487</v>
      </c>
      <c r="C65" s="12" t="s">
        <v>99</v>
      </c>
      <c r="D65" s="13">
        <v>2456.1999999999998</v>
      </c>
      <c r="E65" s="14">
        <v>2700.2</v>
      </c>
      <c r="F65" s="14">
        <f t="shared" si="2"/>
        <v>244</v>
      </c>
    </row>
    <row r="66" spans="1:6">
      <c r="A66" s="11" t="s">
        <v>104</v>
      </c>
      <c r="B66" s="24" t="s">
        <v>488</v>
      </c>
      <c r="C66" s="12" t="s">
        <v>105</v>
      </c>
      <c r="D66" s="13">
        <v>629</v>
      </c>
      <c r="E66" s="14">
        <v>506.6</v>
      </c>
      <c r="F66" s="14">
        <f t="shared" si="2"/>
        <v>-122.39999999999998</v>
      </c>
    </row>
    <row r="67" spans="1:6">
      <c r="A67" s="11" t="s">
        <v>106</v>
      </c>
      <c r="B67" s="24" t="s">
        <v>489</v>
      </c>
      <c r="C67" s="12" t="s">
        <v>105</v>
      </c>
      <c r="D67" s="13">
        <v>600.5</v>
      </c>
      <c r="E67" s="14">
        <v>498.3</v>
      </c>
      <c r="F67" s="14">
        <f t="shared" si="2"/>
        <v>-102.19999999999999</v>
      </c>
    </row>
    <row r="68" spans="1:6">
      <c r="A68" s="11" t="s">
        <v>107</v>
      </c>
      <c r="B68" s="24" t="s">
        <v>490</v>
      </c>
      <c r="C68" s="12" t="s">
        <v>105</v>
      </c>
      <c r="D68" s="13">
        <v>4646.5</v>
      </c>
      <c r="E68" s="14">
        <v>4328.1000000000004</v>
      </c>
      <c r="F68" s="14">
        <f t="shared" si="2"/>
        <v>-318.39999999999964</v>
      </c>
    </row>
    <row r="69" spans="1:6">
      <c r="A69" s="11" t="s">
        <v>108</v>
      </c>
      <c r="B69" s="24" t="s">
        <v>491</v>
      </c>
      <c r="C69" s="12" t="s">
        <v>109</v>
      </c>
      <c r="D69" s="13">
        <v>609</v>
      </c>
      <c r="E69" s="14">
        <v>454.5</v>
      </c>
      <c r="F69" s="14">
        <f t="shared" si="2"/>
        <v>-154.5</v>
      </c>
    </row>
    <row r="70" spans="1:6">
      <c r="A70" s="11" t="s">
        <v>110</v>
      </c>
      <c r="B70" s="24" t="s">
        <v>492</v>
      </c>
      <c r="C70" s="12" t="s">
        <v>109</v>
      </c>
      <c r="D70" s="13">
        <v>276</v>
      </c>
      <c r="E70" s="14">
        <v>227.5</v>
      </c>
      <c r="F70" s="14">
        <f t="shared" si="2"/>
        <v>-48.5</v>
      </c>
    </row>
    <row r="71" spans="1:6">
      <c r="A71" s="11" t="s">
        <v>111</v>
      </c>
      <c r="B71" s="24" t="s">
        <v>493</v>
      </c>
      <c r="C71" s="12" t="s">
        <v>112</v>
      </c>
      <c r="D71" s="13">
        <v>365.5</v>
      </c>
      <c r="E71" s="14">
        <v>338.5</v>
      </c>
      <c r="F71" s="14">
        <f t="shared" si="2"/>
        <v>-27</v>
      </c>
    </row>
    <row r="72" spans="1:6">
      <c r="A72" s="11" t="s">
        <v>113</v>
      </c>
      <c r="B72" s="24" t="s">
        <v>494</v>
      </c>
      <c r="C72" s="12" t="s">
        <v>112</v>
      </c>
      <c r="D72" s="13">
        <v>1442.4</v>
      </c>
      <c r="E72" s="14">
        <v>1300.9000000000001</v>
      </c>
      <c r="F72" s="14">
        <f t="shared" si="2"/>
        <v>-141.5</v>
      </c>
    </row>
    <row r="73" spans="1:6">
      <c r="A73" s="11" t="s">
        <v>114</v>
      </c>
      <c r="B73" s="24" t="s">
        <v>495</v>
      </c>
      <c r="C73" s="12" t="s">
        <v>112</v>
      </c>
      <c r="D73" s="13">
        <v>523.1</v>
      </c>
      <c r="E73" s="14">
        <v>528.5</v>
      </c>
      <c r="F73" s="14">
        <f t="shared" si="2"/>
        <v>5.3999999999999773</v>
      </c>
    </row>
    <row r="74" spans="1:6">
      <c r="A74" s="11" t="s">
        <v>115</v>
      </c>
      <c r="B74" s="24" t="s">
        <v>380</v>
      </c>
      <c r="C74" s="12" t="s">
        <v>116</v>
      </c>
      <c r="D74" s="13">
        <v>45440.800000000003</v>
      </c>
      <c r="E74" s="14">
        <v>46225</v>
      </c>
      <c r="F74" s="14">
        <f t="shared" si="2"/>
        <v>784.19999999999709</v>
      </c>
    </row>
    <row r="75" spans="1:6">
      <c r="A75" s="11" t="s">
        <v>117</v>
      </c>
      <c r="B75" s="24" t="s">
        <v>496</v>
      </c>
      <c r="C75" s="12" t="s">
        <v>116</v>
      </c>
      <c r="D75" s="13">
        <v>6419.9</v>
      </c>
      <c r="E75" s="14">
        <v>6254.9</v>
      </c>
      <c r="F75" s="14">
        <f t="shared" si="2"/>
        <v>-165</v>
      </c>
    </row>
    <row r="76" spans="1:6">
      <c r="A76" s="11" t="s">
        <v>118</v>
      </c>
      <c r="B76" s="24" t="s">
        <v>497</v>
      </c>
      <c r="C76" s="12" t="s">
        <v>116</v>
      </c>
      <c r="D76" s="13">
        <v>4402.8</v>
      </c>
      <c r="E76" s="14">
        <v>4782.3999999999996</v>
      </c>
      <c r="F76" s="14">
        <f t="shared" si="2"/>
        <v>379.59999999999945</v>
      </c>
    </row>
    <row r="77" spans="1:6">
      <c r="A77" s="11" t="s">
        <v>119</v>
      </c>
      <c r="B77" s="24" t="s">
        <v>498</v>
      </c>
      <c r="C77" s="12" t="s">
        <v>116</v>
      </c>
      <c r="D77" s="13">
        <v>2290.9</v>
      </c>
      <c r="E77" s="14">
        <v>2553.6999999999998</v>
      </c>
      <c r="F77" s="14">
        <f t="shared" si="2"/>
        <v>262.79999999999973</v>
      </c>
    </row>
    <row r="78" spans="1:6">
      <c r="A78" s="11" t="s">
        <v>120</v>
      </c>
      <c r="B78" s="24" t="s">
        <v>499</v>
      </c>
      <c r="C78" s="12" t="s">
        <v>116</v>
      </c>
      <c r="D78" s="13">
        <v>1859.1</v>
      </c>
      <c r="E78" s="14">
        <v>1850</v>
      </c>
      <c r="F78" s="14">
        <f t="shared" si="2"/>
        <v>-9.0999999999999091</v>
      </c>
    </row>
    <row r="79" spans="1:6">
      <c r="A79" s="11" t="s">
        <v>121</v>
      </c>
      <c r="B79" s="24" t="s">
        <v>500</v>
      </c>
      <c r="C79" s="12" t="s">
        <v>116</v>
      </c>
      <c r="D79" s="13">
        <v>1214.3</v>
      </c>
      <c r="E79" s="14">
        <v>1273.4000000000001</v>
      </c>
      <c r="F79" s="14">
        <f t="shared" si="2"/>
        <v>59.100000000000136</v>
      </c>
    </row>
    <row r="80" spans="1:6">
      <c r="A80" s="11" t="s">
        <v>122</v>
      </c>
      <c r="B80" s="24" t="s">
        <v>501</v>
      </c>
      <c r="C80" s="12" t="s">
        <v>116</v>
      </c>
      <c r="D80" s="13">
        <v>3891.8</v>
      </c>
      <c r="E80" s="14">
        <v>4887</v>
      </c>
      <c r="F80" s="14">
        <f t="shared" si="2"/>
        <v>995.19999999999982</v>
      </c>
    </row>
    <row r="81" spans="1:6">
      <c r="A81" s="11" t="s">
        <v>123</v>
      </c>
      <c r="B81" s="24" t="s">
        <v>502</v>
      </c>
      <c r="C81" s="12" t="s">
        <v>116</v>
      </c>
      <c r="D81" s="13">
        <v>5600.6</v>
      </c>
      <c r="E81" s="14">
        <v>6378.9</v>
      </c>
      <c r="F81" s="14">
        <f t="shared" si="2"/>
        <v>778.29999999999927</v>
      </c>
    </row>
    <row r="82" spans="1:6">
      <c r="A82" s="11" t="s">
        <v>124</v>
      </c>
      <c r="B82" s="24" t="s">
        <v>503</v>
      </c>
      <c r="C82" s="12" t="s">
        <v>116</v>
      </c>
      <c r="D82" s="13">
        <v>1985.7</v>
      </c>
      <c r="E82" s="14">
        <v>1945.7</v>
      </c>
      <c r="F82" s="14">
        <f t="shared" si="2"/>
        <v>-40</v>
      </c>
    </row>
    <row r="83" spans="1:6">
      <c r="A83" s="11" t="s">
        <v>125</v>
      </c>
      <c r="B83" s="24" t="s">
        <v>504</v>
      </c>
      <c r="C83" s="12" t="s">
        <v>116</v>
      </c>
      <c r="D83" s="13">
        <v>740.4</v>
      </c>
      <c r="E83" s="14">
        <v>782.8</v>
      </c>
      <c r="F83" s="14">
        <f t="shared" si="2"/>
        <v>42.399999999999977</v>
      </c>
    </row>
    <row r="84" spans="1:6">
      <c r="A84" s="11" t="s">
        <v>126</v>
      </c>
      <c r="B84" s="24" t="s">
        <v>505</v>
      </c>
      <c r="C84" s="12" t="s">
        <v>127</v>
      </c>
      <c r="D84" s="13">
        <v>149.1</v>
      </c>
      <c r="E84" s="14">
        <v>147.5</v>
      </c>
      <c r="F84" s="14">
        <f t="shared" si="2"/>
        <v>-1.5999999999999943</v>
      </c>
    </row>
    <row r="85" spans="1:6">
      <c r="A85" s="11" t="s">
        <v>128</v>
      </c>
      <c r="B85" s="24" t="s">
        <v>506</v>
      </c>
      <c r="C85" s="12" t="s">
        <v>127</v>
      </c>
      <c r="D85" s="13">
        <v>374.9</v>
      </c>
      <c r="E85" s="14">
        <v>356.6</v>
      </c>
      <c r="F85" s="14">
        <f t="shared" si="2"/>
        <v>-18.299999999999955</v>
      </c>
    </row>
    <row r="86" spans="1:6">
      <c r="A86" s="11" t="s">
        <v>129</v>
      </c>
      <c r="B86" s="24" t="s">
        <v>507</v>
      </c>
      <c r="C86" s="12" t="s">
        <v>127</v>
      </c>
      <c r="D86" s="13">
        <v>366.8</v>
      </c>
      <c r="E86" s="14">
        <v>288.3</v>
      </c>
      <c r="F86" s="14">
        <f t="shared" si="2"/>
        <v>-78.5</v>
      </c>
    </row>
    <row r="87" spans="1:6">
      <c r="A87" s="11" t="s">
        <v>130</v>
      </c>
      <c r="B87" s="24" t="s">
        <v>508</v>
      </c>
      <c r="C87" s="12" t="s">
        <v>131</v>
      </c>
      <c r="D87" s="13">
        <v>365.4</v>
      </c>
      <c r="E87" s="14">
        <v>357.3</v>
      </c>
      <c r="F87" s="14">
        <f t="shared" si="2"/>
        <v>-8.0999999999999659</v>
      </c>
    </row>
    <row r="88" spans="1:6">
      <c r="A88" s="11" t="s">
        <v>132</v>
      </c>
      <c r="B88" s="24" t="s">
        <v>509</v>
      </c>
      <c r="C88" s="12" t="s">
        <v>131</v>
      </c>
      <c r="D88" s="13">
        <v>736.7</v>
      </c>
      <c r="E88" s="14">
        <v>746.9</v>
      </c>
      <c r="F88" s="14">
        <f t="shared" si="2"/>
        <v>10.199999999999932</v>
      </c>
    </row>
    <row r="89" spans="1:6">
      <c r="A89" s="11" t="s">
        <v>133</v>
      </c>
      <c r="B89" s="24" t="s">
        <v>510</v>
      </c>
      <c r="C89" s="12" t="s">
        <v>134</v>
      </c>
      <c r="D89" s="13">
        <v>432.3</v>
      </c>
      <c r="E89" s="14">
        <v>413.4</v>
      </c>
      <c r="F89" s="14">
        <f t="shared" si="2"/>
        <v>-18.900000000000034</v>
      </c>
    </row>
    <row r="90" spans="1:6">
      <c r="A90" s="11" t="s">
        <v>135</v>
      </c>
      <c r="B90" s="24" t="s">
        <v>511</v>
      </c>
      <c r="C90" s="12" t="s">
        <v>134</v>
      </c>
      <c r="D90" s="13">
        <v>90.1</v>
      </c>
      <c r="E90" s="14">
        <v>82.5</v>
      </c>
      <c r="F90" s="14">
        <f t="shared" si="2"/>
        <v>-7.5999999999999943</v>
      </c>
    </row>
    <row r="91" spans="1:6">
      <c r="A91" s="11" t="s">
        <v>136</v>
      </c>
      <c r="B91" s="24" t="s">
        <v>512</v>
      </c>
      <c r="C91" s="12" t="s">
        <v>20</v>
      </c>
      <c r="D91" s="13">
        <v>217</v>
      </c>
      <c r="E91" s="35" t="s">
        <v>21</v>
      </c>
      <c r="F91" s="35" t="s">
        <v>21</v>
      </c>
    </row>
    <row r="92" spans="1:6">
      <c r="A92" s="11" t="s">
        <v>137</v>
      </c>
      <c r="B92" s="24" t="s">
        <v>20</v>
      </c>
      <c r="C92" s="12" t="s">
        <v>20</v>
      </c>
      <c r="D92" s="13">
        <v>172.2</v>
      </c>
      <c r="E92" s="35" t="s">
        <v>21</v>
      </c>
      <c r="F92" s="35" t="s">
        <v>21</v>
      </c>
    </row>
    <row r="93" spans="1:6">
      <c r="A93" s="11" t="s">
        <v>138</v>
      </c>
      <c r="B93" s="24" t="s">
        <v>513</v>
      </c>
      <c r="C93" s="12" t="s">
        <v>139</v>
      </c>
      <c r="D93" s="13">
        <v>416.6</v>
      </c>
      <c r="E93" s="14">
        <v>363.1</v>
      </c>
      <c r="F93" s="14">
        <f t="shared" ref="F93:F106" si="3">E93-D93</f>
        <v>-53.5</v>
      </c>
    </row>
    <row r="94" spans="1:6">
      <c r="A94" s="11" t="s">
        <v>140</v>
      </c>
      <c r="B94" s="24" t="s">
        <v>514</v>
      </c>
      <c r="C94" s="12" t="s">
        <v>141</v>
      </c>
      <c r="D94" s="13">
        <v>451.5</v>
      </c>
      <c r="E94" s="14">
        <v>336</v>
      </c>
      <c r="F94" s="14">
        <f t="shared" si="3"/>
        <v>-115.5</v>
      </c>
    </row>
    <row r="95" spans="1:6">
      <c r="A95" s="11" t="s">
        <v>142</v>
      </c>
      <c r="B95" s="24" t="s">
        <v>515</v>
      </c>
      <c r="C95" s="12" t="s">
        <v>141</v>
      </c>
      <c r="D95" s="13">
        <v>197.5</v>
      </c>
      <c r="E95" s="14">
        <v>190.6</v>
      </c>
      <c r="F95" s="14">
        <f t="shared" si="3"/>
        <v>-6.9000000000000057</v>
      </c>
    </row>
    <row r="96" spans="1:6">
      <c r="A96" s="11" t="s">
        <v>143</v>
      </c>
      <c r="B96" s="24" t="s">
        <v>516</v>
      </c>
      <c r="C96" s="12" t="s">
        <v>144</v>
      </c>
      <c r="D96" s="13">
        <v>458.4</v>
      </c>
      <c r="E96" s="14">
        <v>405.1</v>
      </c>
      <c r="F96" s="14">
        <f t="shared" si="3"/>
        <v>-53.299999999999955</v>
      </c>
    </row>
    <row r="97" spans="1:6">
      <c r="A97" s="11" t="s">
        <v>145</v>
      </c>
      <c r="B97" s="24" t="s">
        <v>517</v>
      </c>
      <c r="C97" s="12" t="s">
        <v>146</v>
      </c>
      <c r="D97" s="13">
        <v>178.1</v>
      </c>
      <c r="E97" s="14">
        <v>144</v>
      </c>
      <c r="F97" s="14">
        <f t="shared" si="3"/>
        <v>-34.099999999999994</v>
      </c>
    </row>
    <row r="98" spans="1:6">
      <c r="A98" s="11" t="s">
        <v>147</v>
      </c>
      <c r="B98" s="24" t="s">
        <v>146</v>
      </c>
      <c r="C98" s="12" t="s">
        <v>146</v>
      </c>
      <c r="D98" s="13">
        <v>424</v>
      </c>
      <c r="E98" s="14">
        <v>367.5</v>
      </c>
      <c r="F98" s="14">
        <f t="shared" si="3"/>
        <v>-56.5</v>
      </c>
    </row>
    <row r="99" spans="1:6">
      <c r="A99" s="11" t="s">
        <v>148</v>
      </c>
      <c r="B99" s="24" t="s">
        <v>518</v>
      </c>
      <c r="C99" s="12" t="s">
        <v>149</v>
      </c>
      <c r="D99" s="13">
        <v>921</v>
      </c>
      <c r="E99" s="14">
        <v>700.5</v>
      </c>
      <c r="F99" s="14">
        <f t="shared" si="3"/>
        <v>-220.5</v>
      </c>
    </row>
    <row r="100" spans="1:6">
      <c r="A100" s="11" t="s">
        <v>150</v>
      </c>
      <c r="B100" s="24" t="s">
        <v>519</v>
      </c>
      <c r="C100" s="12" t="s">
        <v>149</v>
      </c>
      <c r="D100" s="13">
        <v>629.6</v>
      </c>
      <c r="E100" s="14">
        <v>531.5</v>
      </c>
      <c r="F100" s="14">
        <f t="shared" si="3"/>
        <v>-98.100000000000023</v>
      </c>
    </row>
    <row r="101" spans="1:6">
      <c r="A101" s="11" t="s">
        <v>151</v>
      </c>
      <c r="B101" s="24" t="s">
        <v>520</v>
      </c>
      <c r="C101" s="12" t="s">
        <v>149</v>
      </c>
      <c r="D101" s="13">
        <v>778</v>
      </c>
      <c r="E101" s="14">
        <v>842.7</v>
      </c>
      <c r="F101" s="14">
        <f t="shared" si="3"/>
        <v>64.700000000000045</v>
      </c>
    </row>
    <row r="102" spans="1:6">
      <c r="A102" s="11" t="s">
        <v>152</v>
      </c>
      <c r="B102" s="24" t="s">
        <v>89</v>
      </c>
      <c r="C102" s="12" t="s">
        <v>149</v>
      </c>
      <c r="D102" s="13">
        <v>2375.1</v>
      </c>
      <c r="E102" s="14">
        <v>2439.8000000000002</v>
      </c>
      <c r="F102" s="14">
        <f t="shared" si="3"/>
        <v>64.700000000000273</v>
      </c>
    </row>
    <row r="103" spans="1:6">
      <c r="A103" s="11" t="s">
        <v>153</v>
      </c>
      <c r="B103" s="24" t="s">
        <v>521</v>
      </c>
      <c r="C103" s="12" t="s">
        <v>154</v>
      </c>
      <c r="D103" s="13">
        <v>132.5</v>
      </c>
      <c r="E103" s="14">
        <v>73.8</v>
      </c>
      <c r="F103" s="14">
        <f t="shared" si="3"/>
        <v>-58.7</v>
      </c>
    </row>
    <row r="104" spans="1:6">
      <c r="A104" s="11" t="s">
        <v>155</v>
      </c>
      <c r="B104" s="24" t="s">
        <v>522</v>
      </c>
      <c r="C104" s="12" t="s">
        <v>154</v>
      </c>
      <c r="D104" s="13">
        <v>186.5</v>
      </c>
      <c r="E104" s="14">
        <v>102</v>
      </c>
      <c r="F104" s="14">
        <f t="shared" si="3"/>
        <v>-84.5</v>
      </c>
    </row>
    <row r="105" spans="1:6">
      <c r="A105" s="11" t="s">
        <v>156</v>
      </c>
      <c r="B105" s="24" t="s">
        <v>523</v>
      </c>
      <c r="C105" s="12" t="s">
        <v>154</v>
      </c>
      <c r="D105" s="13">
        <v>351.5</v>
      </c>
      <c r="E105" s="14">
        <v>266.5</v>
      </c>
      <c r="F105" s="14">
        <f t="shared" si="3"/>
        <v>-85</v>
      </c>
    </row>
    <row r="106" spans="1:6">
      <c r="A106" s="11" t="s">
        <v>157</v>
      </c>
      <c r="B106" s="24" t="s">
        <v>524</v>
      </c>
      <c r="C106" s="12" t="s">
        <v>158</v>
      </c>
      <c r="D106" s="13">
        <v>442</v>
      </c>
      <c r="E106" s="14">
        <v>358</v>
      </c>
      <c r="F106" s="14">
        <f t="shared" si="3"/>
        <v>-84</v>
      </c>
    </row>
    <row r="107" spans="1:6">
      <c r="A107" s="11" t="s">
        <v>159</v>
      </c>
      <c r="B107" s="24" t="s">
        <v>525</v>
      </c>
      <c r="C107" s="12" t="s">
        <v>158</v>
      </c>
      <c r="D107" s="13">
        <v>60.5</v>
      </c>
      <c r="E107" s="35" t="s">
        <v>21</v>
      </c>
      <c r="F107" s="35" t="s">
        <v>21</v>
      </c>
    </row>
    <row r="108" spans="1:6">
      <c r="A108" s="11" t="s">
        <v>160</v>
      </c>
      <c r="B108" s="24" t="s">
        <v>526</v>
      </c>
      <c r="C108" s="12" t="s">
        <v>18</v>
      </c>
      <c r="D108" s="13">
        <v>353.5</v>
      </c>
      <c r="E108" s="14">
        <v>286.3</v>
      </c>
      <c r="F108" s="14">
        <f>E108-D108</f>
        <v>-67.199999999999989</v>
      </c>
    </row>
    <row r="109" spans="1:6">
      <c r="A109" s="11" t="s">
        <v>161</v>
      </c>
      <c r="B109" s="24" t="s">
        <v>162</v>
      </c>
      <c r="C109" s="12" t="s">
        <v>162</v>
      </c>
      <c r="D109" s="13">
        <v>368</v>
      </c>
      <c r="E109" s="14">
        <v>340</v>
      </c>
      <c r="F109" s="14">
        <f>E109-D109</f>
        <v>-28</v>
      </c>
    </row>
    <row r="110" spans="1:6">
      <c r="A110" s="11" t="s">
        <v>163</v>
      </c>
      <c r="B110" s="24" t="s">
        <v>527</v>
      </c>
      <c r="C110" s="12" t="s">
        <v>162</v>
      </c>
      <c r="D110" s="13">
        <v>157</v>
      </c>
      <c r="E110" s="14">
        <v>138.4</v>
      </c>
      <c r="F110" s="14">
        <f>E110-D110</f>
        <v>-18.599999999999994</v>
      </c>
    </row>
    <row r="111" spans="1:6">
      <c r="A111" s="11" t="s">
        <v>164</v>
      </c>
      <c r="B111" s="24" t="s">
        <v>528</v>
      </c>
      <c r="C111" s="12" t="s">
        <v>165</v>
      </c>
      <c r="D111" s="13">
        <v>294</v>
      </c>
      <c r="E111" s="14">
        <v>317.10000000000002</v>
      </c>
      <c r="F111" s="14">
        <f>E111-D111</f>
        <v>23.100000000000023</v>
      </c>
    </row>
    <row r="112" spans="1:6">
      <c r="A112" s="11" t="s">
        <v>166</v>
      </c>
      <c r="B112" s="24" t="s">
        <v>529</v>
      </c>
      <c r="C112" s="12" t="s">
        <v>25</v>
      </c>
      <c r="D112" s="13">
        <v>33</v>
      </c>
      <c r="E112" s="35" t="s">
        <v>21</v>
      </c>
      <c r="F112" s="35" t="s">
        <v>21</v>
      </c>
    </row>
    <row r="113" spans="1:6">
      <c r="A113" s="11" t="s">
        <v>167</v>
      </c>
      <c r="B113" s="24" t="s">
        <v>530</v>
      </c>
      <c r="C113" s="12" t="s">
        <v>25</v>
      </c>
      <c r="D113" s="13">
        <v>112.5</v>
      </c>
      <c r="E113" s="35" t="s">
        <v>21</v>
      </c>
      <c r="F113" s="35" t="s">
        <v>21</v>
      </c>
    </row>
    <row r="114" spans="1:6">
      <c r="A114" s="11" t="s">
        <v>168</v>
      </c>
      <c r="B114" s="24" t="s">
        <v>531</v>
      </c>
      <c r="C114" s="12" t="s">
        <v>25</v>
      </c>
      <c r="D114" s="13">
        <v>265.89999999999998</v>
      </c>
      <c r="E114" s="14">
        <v>291</v>
      </c>
      <c r="F114" s="14">
        <f>E114-D114</f>
        <v>25.100000000000023</v>
      </c>
    </row>
    <row r="115" spans="1:6">
      <c r="A115" s="11" t="s">
        <v>169</v>
      </c>
      <c r="B115" s="24" t="s">
        <v>532</v>
      </c>
      <c r="C115" s="12" t="s">
        <v>25</v>
      </c>
      <c r="D115" s="13">
        <v>75.5</v>
      </c>
      <c r="E115" s="35" t="s">
        <v>21</v>
      </c>
      <c r="F115" s="35" t="s">
        <v>21</v>
      </c>
    </row>
    <row r="116" spans="1:6">
      <c r="A116" s="11" t="s">
        <v>170</v>
      </c>
      <c r="B116" s="24" t="s">
        <v>533</v>
      </c>
      <c r="C116" s="12" t="s">
        <v>171</v>
      </c>
      <c r="D116" s="13">
        <v>7203.7</v>
      </c>
      <c r="E116" s="14">
        <v>7036</v>
      </c>
      <c r="F116" s="14">
        <f t="shared" ref="F116:F131" si="4">E116-D116</f>
        <v>-167.69999999999982</v>
      </c>
    </row>
    <row r="117" spans="1:6">
      <c r="A117" s="11" t="s">
        <v>172</v>
      </c>
      <c r="B117" s="24" t="s">
        <v>534</v>
      </c>
      <c r="C117" s="12" t="s">
        <v>171</v>
      </c>
      <c r="D117" s="13">
        <v>671.9</v>
      </c>
      <c r="E117" s="14">
        <v>690.8</v>
      </c>
      <c r="F117" s="14">
        <f t="shared" si="4"/>
        <v>18.899999999999977</v>
      </c>
    </row>
    <row r="118" spans="1:6">
      <c r="A118" s="11" t="s">
        <v>173</v>
      </c>
      <c r="B118" s="24" t="s">
        <v>535</v>
      </c>
      <c r="C118" s="12" t="s">
        <v>171</v>
      </c>
      <c r="D118" s="13">
        <v>447.5</v>
      </c>
      <c r="E118" s="14">
        <v>466</v>
      </c>
      <c r="F118" s="14">
        <f t="shared" si="4"/>
        <v>18.5</v>
      </c>
    </row>
    <row r="119" spans="1:6">
      <c r="A119" s="11" t="s">
        <v>174</v>
      </c>
      <c r="B119" s="24" t="s">
        <v>536</v>
      </c>
      <c r="C119" s="12" t="s">
        <v>175</v>
      </c>
      <c r="D119" s="13">
        <v>4627.8</v>
      </c>
      <c r="E119" s="14">
        <v>4653.5</v>
      </c>
      <c r="F119" s="14">
        <f t="shared" si="4"/>
        <v>25.699999999999818</v>
      </c>
    </row>
    <row r="120" spans="1:6">
      <c r="A120" s="11" t="s">
        <v>176</v>
      </c>
      <c r="B120" s="24" t="s">
        <v>537</v>
      </c>
      <c r="C120" s="12" t="s">
        <v>175</v>
      </c>
      <c r="D120" s="13">
        <v>1104</v>
      </c>
      <c r="E120" s="14">
        <v>1140.7</v>
      </c>
      <c r="F120" s="14">
        <f t="shared" si="4"/>
        <v>36.700000000000045</v>
      </c>
    </row>
    <row r="121" spans="1:6">
      <c r="A121" s="11" t="s">
        <v>177</v>
      </c>
      <c r="B121" s="24" t="s">
        <v>538</v>
      </c>
      <c r="C121" s="12" t="s">
        <v>175</v>
      </c>
      <c r="D121" s="13">
        <v>381</v>
      </c>
      <c r="E121" s="14">
        <v>304.60000000000002</v>
      </c>
      <c r="F121" s="14">
        <f t="shared" si="4"/>
        <v>-76.399999999999977</v>
      </c>
    </row>
    <row r="122" spans="1:6">
      <c r="A122" s="11" t="s">
        <v>178</v>
      </c>
      <c r="B122" s="24" t="s">
        <v>539</v>
      </c>
      <c r="C122" s="12" t="s">
        <v>175</v>
      </c>
      <c r="D122" s="13">
        <v>312</v>
      </c>
      <c r="E122" s="14">
        <v>258.39999999999998</v>
      </c>
      <c r="F122" s="14">
        <f t="shared" si="4"/>
        <v>-53.600000000000023</v>
      </c>
    </row>
    <row r="123" spans="1:6">
      <c r="A123" s="11" t="s">
        <v>179</v>
      </c>
      <c r="B123" s="24" t="s">
        <v>540</v>
      </c>
      <c r="C123" s="12" t="s">
        <v>175</v>
      </c>
      <c r="D123" s="13">
        <v>1102</v>
      </c>
      <c r="E123" s="14">
        <v>997.9</v>
      </c>
      <c r="F123" s="14">
        <f t="shared" si="4"/>
        <v>-104.10000000000002</v>
      </c>
    </row>
    <row r="124" spans="1:6">
      <c r="A124" s="11" t="s">
        <v>180</v>
      </c>
      <c r="B124" s="24" t="s">
        <v>541</v>
      </c>
      <c r="C124" s="12" t="s">
        <v>175</v>
      </c>
      <c r="D124" s="13">
        <v>2126.3000000000002</v>
      </c>
      <c r="E124" s="14">
        <v>2140.3000000000002</v>
      </c>
      <c r="F124" s="14">
        <f t="shared" si="4"/>
        <v>14</v>
      </c>
    </row>
    <row r="125" spans="1:6">
      <c r="A125" s="11" t="s">
        <v>181</v>
      </c>
      <c r="B125" s="24" t="s">
        <v>542</v>
      </c>
      <c r="C125" s="12" t="s">
        <v>182</v>
      </c>
      <c r="D125" s="13">
        <v>143</v>
      </c>
      <c r="E125" s="14">
        <v>98</v>
      </c>
      <c r="F125" s="14">
        <f t="shared" si="4"/>
        <v>-45</v>
      </c>
    </row>
    <row r="126" spans="1:6">
      <c r="A126" s="11" t="s">
        <v>183</v>
      </c>
      <c r="B126" s="24" t="s">
        <v>543</v>
      </c>
      <c r="C126" s="12" t="s">
        <v>182</v>
      </c>
      <c r="D126" s="13">
        <v>1005.1</v>
      </c>
      <c r="E126" s="14">
        <v>916.5</v>
      </c>
      <c r="F126" s="14">
        <f t="shared" si="4"/>
        <v>-88.600000000000023</v>
      </c>
    </row>
    <row r="127" spans="1:6">
      <c r="A127" s="11" t="s">
        <v>184</v>
      </c>
      <c r="B127" s="24" t="s">
        <v>544</v>
      </c>
      <c r="C127" s="12" t="s">
        <v>182</v>
      </c>
      <c r="D127" s="13">
        <v>190.5</v>
      </c>
      <c r="E127" s="14">
        <v>204.5</v>
      </c>
      <c r="F127" s="14">
        <f t="shared" si="4"/>
        <v>14</v>
      </c>
    </row>
    <row r="128" spans="1:6">
      <c r="A128" s="11" t="s">
        <v>185</v>
      </c>
      <c r="B128" s="24" t="s">
        <v>545</v>
      </c>
      <c r="C128" s="12" t="s">
        <v>186</v>
      </c>
      <c r="D128" s="13">
        <v>1311.1</v>
      </c>
      <c r="E128" s="14">
        <v>1305.5</v>
      </c>
      <c r="F128" s="14">
        <f t="shared" si="4"/>
        <v>-5.5999999999999091</v>
      </c>
    </row>
    <row r="129" spans="1:6">
      <c r="A129" s="11" t="s">
        <v>187</v>
      </c>
      <c r="B129" s="24" t="s">
        <v>546</v>
      </c>
      <c r="C129" s="12" t="s">
        <v>186</v>
      </c>
      <c r="D129" s="13">
        <v>1042</v>
      </c>
      <c r="E129" s="14">
        <v>1121.5999999999999</v>
      </c>
      <c r="F129" s="14">
        <f t="shared" si="4"/>
        <v>79.599999999999909</v>
      </c>
    </row>
    <row r="130" spans="1:6">
      <c r="A130" s="11" t="s">
        <v>188</v>
      </c>
      <c r="B130" s="24" t="s">
        <v>547</v>
      </c>
      <c r="C130" s="12" t="s">
        <v>186</v>
      </c>
      <c r="D130" s="13">
        <v>362</v>
      </c>
      <c r="E130" s="14">
        <v>320.5</v>
      </c>
      <c r="F130" s="14">
        <f t="shared" si="4"/>
        <v>-41.5</v>
      </c>
    </row>
    <row r="131" spans="1:6">
      <c r="A131" s="11" t="s">
        <v>189</v>
      </c>
      <c r="B131" s="24" t="s">
        <v>548</v>
      </c>
      <c r="C131" s="12" t="s">
        <v>186</v>
      </c>
      <c r="D131" s="13">
        <v>728</v>
      </c>
      <c r="E131" s="14">
        <v>845.1</v>
      </c>
      <c r="F131" s="14">
        <f t="shared" si="4"/>
        <v>117.10000000000002</v>
      </c>
    </row>
    <row r="132" spans="1:6">
      <c r="A132" s="11" t="s">
        <v>190</v>
      </c>
      <c r="B132" s="24" t="s">
        <v>549</v>
      </c>
      <c r="C132" s="12" t="s">
        <v>32</v>
      </c>
      <c r="D132" s="13">
        <v>148</v>
      </c>
      <c r="E132" s="35" t="s">
        <v>21</v>
      </c>
      <c r="F132" s="35" t="s">
        <v>21</v>
      </c>
    </row>
    <row r="133" spans="1:6">
      <c r="A133" s="11" t="s">
        <v>191</v>
      </c>
      <c r="B133" s="24" t="s">
        <v>550</v>
      </c>
      <c r="C133" s="12" t="s">
        <v>32</v>
      </c>
      <c r="D133" s="13">
        <v>622.5</v>
      </c>
      <c r="E133" s="14">
        <v>628.1</v>
      </c>
      <c r="F133" s="14">
        <f t="shared" ref="F133:F164" si="5">E133-D133</f>
        <v>5.6000000000000227</v>
      </c>
    </row>
    <row r="134" spans="1:6">
      <c r="A134" s="11" t="s">
        <v>192</v>
      </c>
      <c r="B134" s="24" t="s">
        <v>134</v>
      </c>
      <c r="C134" s="12" t="s">
        <v>32</v>
      </c>
      <c r="D134" s="13">
        <v>192.5</v>
      </c>
      <c r="E134" s="14">
        <v>183.5</v>
      </c>
      <c r="F134" s="14">
        <f t="shared" si="5"/>
        <v>-9</v>
      </c>
    </row>
    <row r="135" spans="1:6">
      <c r="A135" s="11" t="s">
        <v>193</v>
      </c>
      <c r="B135" s="24" t="s">
        <v>194</v>
      </c>
      <c r="C135" s="12" t="s">
        <v>194</v>
      </c>
      <c r="D135" s="13">
        <v>625</v>
      </c>
      <c r="E135" s="14">
        <v>622</v>
      </c>
      <c r="F135" s="14">
        <f t="shared" si="5"/>
        <v>-3</v>
      </c>
    </row>
    <row r="136" spans="1:6">
      <c r="A136" s="11" t="s">
        <v>195</v>
      </c>
      <c r="B136" s="24" t="s">
        <v>551</v>
      </c>
      <c r="C136" s="12" t="s">
        <v>194</v>
      </c>
      <c r="D136" s="13">
        <v>465.5</v>
      </c>
      <c r="E136" s="14">
        <v>410.3</v>
      </c>
      <c r="F136" s="14">
        <f t="shared" si="5"/>
        <v>-55.199999999999989</v>
      </c>
    </row>
    <row r="137" spans="1:6">
      <c r="A137" s="11" t="s">
        <v>196</v>
      </c>
      <c r="B137" s="24" t="s">
        <v>552</v>
      </c>
      <c r="C137" s="12" t="s">
        <v>197</v>
      </c>
      <c r="D137" s="13">
        <v>458.7</v>
      </c>
      <c r="E137" s="14">
        <v>470</v>
      </c>
      <c r="F137" s="14">
        <f t="shared" si="5"/>
        <v>11.300000000000011</v>
      </c>
    </row>
    <row r="138" spans="1:6">
      <c r="A138" s="11" t="s">
        <v>198</v>
      </c>
      <c r="B138" s="24" t="s">
        <v>553</v>
      </c>
      <c r="C138" s="12" t="s">
        <v>197</v>
      </c>
      <c r="D138" s="13">
        <v>489.5</v>
      </c>
      <c r="E138" s="14">
        <v>500.5</v>
      </c>
      <c r="F138" s="14">
        <f t="shared" si="5"/>
        <v>11</v>
      </c>
    </row>
    <row r="139" spans="1:6">
      <c r="A139" s="11" t="s">
        <v>199</v>
      </c>
      <c r="B139" s="24" t="s">
        <v>200</v>
      </c>
      <c r="C139" s="12" t="s">
        <v>200</v>
      </c>
      <c r="D139" s="13">
        <v>1165.4000000000001</v>
      </c>
      <c r="E139" s="14">
        <v>988.7</v>
      </c>
      <c r="F139" s="14">
        <f t="shared" si="5"/>
        <v>-176.70000000000005</v>
      </c>
    </row>
    <row r="140" spans="1:6">
      <c r="A140" s="11" t="s">
        <v>201</v>
      </c>
      <c r="B140" s="24" t="s">
        <v>554</v>
      </c>
      <c r="C140" s="12" t="s">
        <v>200</v>
      </c>
      <c r="D140" s="13">
        <v>254</v>
      </c>
      <c r="E140" s="14">
        <v>171.6</v>
      </c>
      <c r="F140" s="14">
        <f t="shared" si="5"/>
        <v>-82.4</v>
      </c>
    </row>
    <row r="141" spans="1:6">
      <c r="A141" s="11" t="s">
        <v>202</v>
      </c>
      <c r="B141" s="24" t="s">
        <v>555</v>
      </c>
      <c r="C141" s="12" t="s">
        <v>203</v>
      </c>
      <c r="D141" s="17">
        <v>1109.2</v>
      </c>
      <c r="E141" s="14">
        <v>1067.7</v>
      </c>
      <c r="F141" s="14">
        <f t="shared" si="5"/>
        <v>-41.5</v>
      </c>
    </row>
    <row r="142" spans="1:6">
      <c r="A142" s="11" t="s">
        <v>204</v>
      </c>
      <c r="B142" s="24" t="s">
        <v>556</v>
      </c>
      <c r="C142" s="12" t="s">
        <v>203</v>
      </c>
      <c r="D142" s="13">
        <v>233.7</v>
      </c>
      <c r="E142" s="14">
        <v>255.6</v>
      </c>
      <c r="F142" s="14">
        <f t="shared" si="5"/>
        <v>21.900000000000006</v>
      </c>
    </row>
    <row r="143" spans="1:6">
      <c r="A143" s="11" t="s">
        <v>205</v>
      </c>
      <c r="B143" s="24" t="s">
        <v>557</v>
      </c>
      <c r="C143" s="12" t="s">
        <v>206</v>
      </c>
      <c r="D143" s="13">
        <v>423.5</v>
      </c>
      <c r="E143" s="14">
        <v>376.5</v>
      </c>
      <c r="F143" s="14">
        <f t="shared" si="5"/>
        <v>-47</v>
      </c>
    </row>
    <row r="144" spans="1:6">
      <c r="A144" s="11" t="s">
        <v>207</v>
      </c>
      <c r="B144" s="24" t="s">
        <v>558</v>
      </c>
      <c r="C144" s="12" t="s">
        <v>206</v>
      </c>
      <c r="D144" s="13">
        <v>1104.7</v>
      </c>
      <c r="E144" s="14">
        <v>1058</v>
      </c>
      <c r="F144" s="14">
        <f t="shared" si="5"/>
        <v>-46.700000000000045</v>
      </c>
    </row>
    <row r="145" spans="1:6">
      <c r="A145" s="11" t="s">
        <v>208</v>
      </c>
      <c r="B145" s="24" t="s">
        <v>559</v>
      </c>
      <c r="C145" s="12" t="s">
        <v>206</v>
      </c>
      <c r="D145" s="13">
        <v>904.4</v>
      </c>
      <c r="E145" s="14">
        <v>908.2</v>
      </c>
      <c r="F145" s="14">
        <f t="shared" si="5"/>
        <v>3.8000000000000682</v>
      </c>
    </row>
    <row r="146" spans="1:6">
      <c r="A146" s="11" t="s">
        <v>209</v>
      </c>
      <c r="B146" s="24" t="s">
        <v>560</v>
      </c>
      <c r="C146" s="12" t="s">
        <v>210</v>
      </c>
      <c r="D146" s="13">
        <v>430.5</v>
      </c>
      <c r="E146" s="14">
        <v>414.3</v>
      </c>
      <c r="F146" s="14">
        <f t="shared" si="5"/>
        <v>-16.199999999999989</v>
      </c>
    </row>
    <row r="147" spans="1:6">
      <c r="A147" s="11" t="s">
        <v>211</v>
      </c>
      <c r="B147" s="24" t="s">
        <v>561</v>
      </c>
      <c r="C147" s="12" t="s">
        <v>210</v>
      </c>
      <c r="D147" s="13">
        <v>492.5</v>
      </c>
      <c r="E147" s="14">
        <v>482.5</v>
      </c>
      <c r="F147" s="14">
        <f t="shared" si="5"/>
        <v>-10</v>
      </c>
    </row>
    <row r="148" spans="1:6">
      <c r="A148" s="11" t="s">
        <v>212</v>
      </c>
      <c r="B148" s="24" t="s">
        <v>562</v>
      </c>
      <c r="C148" s="12" t="s">
        <v>210</v>
      </c>
      <c r="D148" s="13">
        <v>945.1</v>
      </c>
      <c r="E148" s="14">
        <v>893.8</v>
      </c>
      <c r="F148" s="14">
        <f t="shared" si="5"/>
        <v>-51.300000000000068</v>
      </c>
    </row>
    <row r="149" spans="1:6">
      <c r="A149" s="11" t="s">
        <v>213</v>
      </c>
      <c r="B149" s="24" t="s">
        <v>563</v>
      </c>
      <c r="C149" s="12" t="s">
        <v>210</v>
      </c>
      <c r="D149" s="13">
        <v>652.4</v>
      </c>
      <c r="E149" s="14">
        <v>539.1</v>
      </c>
      <c r="F149" s="14">
        <f t="shared" si="5"/>
        <v>-113.29999999999995</v>
      </c>
    </row>
    <row r="150" spans="1:6">
      <c r="A150" s="11" t="s">
        <v>214</v>
      </c>
      <c r="B150" s="24" t="s">
        <v>564</v>
      </c>
      <c r="C150" s="12" t="s">
        <v>210</v>
      </c>
      <c r="D150" s="13">
        <v>547.1</v>
      </c>
      <c r="E150" s="14">
        <v>491.5</v>
      </c>
      <c r="F150" s="14">
        <f t="shared" si="5"/>
        <v>-55.600000000000023</v>
      </c>
    </row>
    <row r="151" spans="1:6">
      <c r="A151" s="11" t="s">
        <v>215</v>
      </c>
      <c r="B151" s="24" t="s">
        <v>565</v>
      </c>
      <c r="C151" s="12" t="s">
        <v>210</v>
      </c>
      <c r="D151" s="13">
        <v>981</v>
      </c>
      <c r="E151" s="14">
        <v>954.5</v>
      </c>
      <c r="F151" s="14">
        <f t="shared" si="5"/>
        <v>-26.5</v>
      </c>
    </row>
    <row r="152" spans="1:6">
      <c r="A152" s="11" t="s">
        <v>216</v>
      </c>
      <c r="B152" s="24" t="s">
        <v>566</v>
      </c>
      <c r="C152" s="12" t="s">
        <v>217</v>
      </c>
      <c r="D152" s="13">
        <v>397.5</v>
      </c>
      <c r="E152" s="14">
        <v>323</v>
      </c>
      <c r="F152" s="14">
        <f t="shared" si="5"/>
        <v>-74.5</v>
      </c>
    </row>
    <row r="153" spans="1:6">
      <c r="A153" s="11" t="s">
        <v>218</v>
      </c>
      <c r="B153" s="24" t="s">
        <v>567</v>
      </c>
      <c r="C153" s="12" t="s">
        <v>219</v>
      </c>
      <c r="D153" s="13">
        <v>3269.7</v>
      </c>
      <c r="E153" s="14">
        <v>3546.5</v>
      </c>
      <c r="F153" s="14">
        <f t="shared" si="5"/>
        <v>276.80000000000018</v>
      </c>
    </row>
    <row r="154" spans="1:6">
      <c r="A154" s="11" t="s">
        <v>220</v>
      </c>
      <c r="B154" s="24" t="s">
        <v>568</v>
      </c>
      <c r="C154" s="12" t="s">
        <v>217</v>
      </c>
      <c r="D154" s="13">
        <v>595.9</v>
      </c>
      <c r="E154" s="14">
        <v>519.1</v>
      </c>
      <c r="F154" s="14">
        <f t="shared" si="5"/>
        <v>-76.799999999999955</v>
      </c>
    </row>
    <row r="155" spans="1:6">
      <c r="A155" s="11" t="s">
        <v>221</v>
      </c>
      <c r="B155" s="24" t="s">
        <v>569</v>
      </c>
      <c r="C155" s="12" t="s">
        <v>222</v>
      </c>
      <c r="D155" s="13">
        <v>312.7</v>
      </c>
      <c r="E155" s="14">
        <v>357.5</v>
      </c>
      <c r="F155" s="14">
        <f t="shared" si="5"/>
        <v>44.800000000000011</v>
      </c>
    </row>
    <row r="156" spans="1:6">
      <c r="A156" s="11" t="s">
        <v>223</v>
      </c>
      <c r="B156" s="24" t="s">
        <v>570</v>
      </c>
      <c r="C156" s="12" t="s">
        <v>224</v>
      </c>
      <c r="D156" s="13">
        <v>1296.8</v>
      </c>
      <c r="E156" s="14">
        <v>1336.4</v>
      </c>
      <c r="F156" s="14">
        <f t="shared" si="5"/>
        <v>39.600000000000136</v>
      </c>
    </row>
    <row r="157" spans="1:6">
      <c r="A157" s="11" t="s">
        <v>225</v>
      </c>
      <c r="B157" s="24" t="s">
        <v>226</v>
      </c>
      <c r="C157" s="12" t="s">
        <v>226</v>
      </c>
      <c r="D157" s="13">
        <v>316</v>
      </c>
      <c r="E157" s="14">
        <v>268.8</v>
      </c>
      <c r="F157" s="14">
        <f t="shared" si="5"/>
        <v>-47.199999999999989</v>
      </c>
    </row>
    <row r="158" spans="1:6">
      <c r="A158" s="11" t="s">
        <v>227</v>
      </c>
      <c r="B158" s="24" t="s">
        <v>571</v>
      </c>
      <c r="C158" s="12" t="s">
        <v>226</v>
      </c>
      <c r="D158" s="13">
        <v>412.2</v>
      </c>
      <c r="E158" s="14">
        <v>327.5</v>
      </c>
      <c r="F158" s="14">
        <f t="shared" si="5"/>
        <v>-84.699999999999989</v>
      </c>
    </row>
    <row r="159" spans="1:6">
      <c r="A159" s="11" t="s">
        <v>228</v>
      </c>
      <c r="B159" s="24" t="s">
        <v>572</v>
      </c>
      <c r="C159" s="12" t="s">
        <v>226</v>
      </c>
      <c r="D159" s="13">
        <v>304.2</v>
      </c>
      <c r="E159" s="14">
        <v>264.10000000000002</v>
      </c>
      <c r="F159" s="14">
        <f t="shared" si="5"/>
        <v>-40.099999999999966</v>
      </c>
    </row>
    <row r="160" spans="1:6">
      <c r="A160" s="11" t="s">
        <v>229</v>
      </c>
      <c r="B160" s="24" t="s">
        <v>573</v>
      </c>
      <c r="C160" s="12" t="s">
        <v>230</v>
      </c>
      <c r="D160" s="13">
        <v>981.8</v>
      </c>
      <c r="E160" s="14">
        <v>899.5</v>
      </c>
      <c r="F160" s="14">
        <f t="shared" si="5"/>
        <v>-82.299999999999955</v>
      </c>
    </row>
    <row r="161" spans="1:6">
      <c r="A161" s="11" t="s">
        <v>231</v>
      </c>
      <c r="B161" s="24" t="s">
        <v>574</v>
      </c>
      <c r="C161" s="12" t="s">
        <v>232</v>
      </c>
      <c r="D161" s="13">
        <v>1700.1</v>
      </c>
      <c r="E161" s="14">
        <v>1648.3</v>
      </c>
      <c r="F161" s="14">
        <f t="shared" si="5"/>
        <v>-51.799999999999955</v>
      </c>
    </row>
    <row r="162" spans="1:6">
      <c r="A162" s="11" t="s">
        <v>233</v>
      </c>
      <c r="B162" s="24" t="s">
        <v>575</v>
      </c>
      <c r="C162" s="12" t="s">
        <v>234</v>
      </c>
      <c r="D162" s="13">
        <v>315.3</v>
      </c>
      <c r="E162" s="14">
        <v>210.5</v>
      </c>
      <c r="F162" s="14">
        <f t="shared" si="5"/>
        <v>-104.80000000000001</v>
      </c>
    </row>
    <row r="163" spans="1:6">
      <c r="A163" s="11" t="s">
        <v>235</v>
      </c>
      <c r="B163" s="24" t="s">
        <v>576</v>
      </c>
      <c r="C163" s="12" t="s">
        <v>234</v>
      </c>
      <c r="D163" s="13">
        <v>505.1</v>
      </c>
      <c r="E163" s="14">
        <v>406.7</v>
      </c>
      <c r="F163" s="14">
        <f t="shared" si="5"/>
        <v>-98.400000000000034</v>
      </c>
    </row>
    <row r="164" spans="1:6">
      <c r="A164" s="11" t="s">
        <v>236</v>
      </c>
      <c r="B164" s="24" t="s">
        <v>577</v>
      </c>
      <c r="C164" s="12" t="s">
        <v>232</v>
      </c>
      <c r="D164" s="17">
        <v>564.6</v>
      </c>
      <c r="E164" s="14">
        <v>518.79999999999995</v>
      </c>
      <c r="F164" s="14">
        <f t="shared" si="5"/>
        <v>-45.800000000000068</v>
      </c>
    </row>
    <row r="165" spans="1:6">
      <c r="A165" s="11" t="s">
        <v>237</v>
      </c>
      <c r="B165" s="24" t="s">
        <v>578</v>
      </c>
      <c r="C165" s="12" t="s">
        <v>232</v>
      </c>
      <c r="D165" s="13">
        <v>812.5</v>
      </c>
      <c r="E165" s="14">
        <v>656.5</v>
      </c>
      <c r="F165" s="14">
        <f t="shared" ref="F165:F196" si="6">E165-D165</f>
        <v>-156</v>
      </c>
    </row>
    <row r="166" spans="1:6">
      <c r="A166" s="11" t="s">
        <v>238</v>
      </c>
      <c r="B166" s="24" t="s">
        <v>579</v>
      </c>
      <c r="C166" s="12" t="s">
        <v>232</v>
      </c>
      <c r="D166" s="13">
        <v>385.7</v>
      </c>
      <c r="E166" s="14">
        <v>333.5</v>
      </c>
      <c r="F166" s="14">
        <f t="shared" si="6"/>
        <v>-52.199999999999989</v>
      </c>
    </row>
    <row r="167" spans="1:6">
      <c r="A167" s="11" t="s">
        <v>239</v>
      </c>
      <c r="B167" s="24" t="s">
        <v>580</v>
      </c>
      <c r="C167" s="12" t="s">
        <v>232</v>
      </c>
      <c r="D167" s="13">
        <v>212</v>
      </c>
      <c r="E167" s="14">
        <v>179.5</v>
      </c>
      <c r="F167" s="14">
        <f t="shared" si="6"/>
        <v>-32.5</v>
      </c>
    </row>
    <row r="168" spans="1:6">
      <c r="A168" s="11" t="s">
        <v>240</v>
      </c>
      <c r="B168" s="24" t="s">
        <v>581</v>
      </c>
      <c r="C168" s="12" t="s">
        <v>232</v>
      </c>
      <c r="D168" s="13">
        <v>283.7</v>
      </c>
      <c r="E168" s="14">
        <v>234</v>
      </c>
      <c r="F168" s="14">
        <f t="shared" si="6"/>
        <v>-49.699999999999989</v>
      </c>
    </row>
    <row r="169" spans="1:6">
      <c r="A169" s="11" t="s">
        <v>241</v>
      </c>
      <c r="B169" s="24" t="s">
        <v>582</v>
      </c>
      <c r="C169" s="12" t="s">
        <v>242</v>
      </c>
      <c r="D169" s="13">
        <v>951.3</v>
      </c>
      <c r="E169" s="14">
        <v>833.6</v>
      </c>
      <c r="F169" s="14">
        <f t="shared" si="6"/>
        <v>-117.69999999999993</v>
      </c>
    </row>
    <row r="170" spans="1:6">
      <c r="A170" s="11" t="s">
        <v>243</v>
      </c>
      <c r="B170" s="24" t="s">
        <v>583</v>
      </c>
      <c r="C170" s="12" t="s">
        <v>217</v>
      </c>
      <c r="D170" s="13">
        <v>954</v>
      </c>
      <c r="E170" s="14">
        <v>943.4</v>
      </c>
      <c r="F170" s="14">
        <f t="shared" si="6"/>
        <v>-10.600000000000023</v>
      </c>
    </row>
    <row r="171" spans="1:6">
      <c r="A171" s="11" t="s">
        <v>244</v>
      </c>
      <c r="B171" s="24" t="s">
        <v>584</v>
      </c>
      <c r="C171" s="12" t="s">
        <v>245</v>
      </c>
      <c r="D171" s="13">
        <v>863.8</v>
      </c>
      <c r="E171" s="14">
        <v>939.8</v>
      </c>
      <c r="F171" s="14">
        <f t="shared" si="6"/>
        <v>76</v>
      </c>
    </row>
    <row r="172" spans="1:6">
      <c r="A172" s="11" t="s">
        <v>246</v>
      </c>
      <c r="B172" s="24" t="s">
        <v>585</v>
      </c>
      <c r="C172" s="12" t="s">
        <v>247</v>
      </c>
      <c r="D172" s="13">
        <v>792</v>
      </c>
      <c r="E172" s="14">
        <v>719.2</v>
      </c>
      <c r="F172" s="14">
        <f t="shared" si="6"/>
        <v>-72.799999999999955</v>
      </c>
    </row>
    <row r="173" spans="1:6">
      <c r="A173" s="11" t="s">
        <v>248</v>
      </c>
      <c r="B173" s="24" t="s">
        <v>586</v>
      </c>
      <c r="C173" s="12" t="s">
        <v>249</v>
      </c>
      <c r="D173" s="13">
        <v>1069.2</v>
      </c>
      <c r="E173" s="14">
        <v>1100.9000000000001</v>
      </c>
      <c r="F173" s="14">
        <f t="shared" si="6"/>
        <v>31.700000000000045</v>
      </c>
    </row>
    <row r="174" spans="1:6">
      <c r="A174" s="11" t="s">
        <v>250</v>
      </c>
      <c r="B174" s="24" t="s">
        <v>251</v>
      </c>
      <c r="C174" s="12" t="s">
        <v>251</v>
      </c>
      <c r="D174" s="13">
        <v>527.1</v>
      </c>
      <c r="E174" s="14">
        <v>398.3</v>
      </c>
      <c r="F174" s="14">
        <f t="shared" si="6"/>
        <v>-128.80000000000001</v>
      </c>
    </row>
    <row r="175" spans="1:6">
      <c r="A175" s="11" t="s">
        <v>252</v>
      </c>
      <c r="B175" s="24" t="s">
        <v>587</v>
      </c>
      <c r="C175" s="12" t="s">
        <v>253</v>
      </c>
      <c r="D175" s="13">
        <v>1168.5</v>
      </c>
      <c r="E175" s="14">
        <v>1137</v>
      </c>
      <c r="F175" s="14">
        <f t="shared" si="6"/>
        <v>-31.5</v>
      </c>
    </row>
    <row r="176" spans="1:6">
      <c r="A176" s="11" t="s">
        <v>254</v>
      </c>
      <c r="B176" s="24" t="s">
        <v>588</v>
      </c>
      <c r="C176" s="12" t="s">
        <v>253</v>
      </c>
      <c r="D176" s="13">
        <v>2056.6999999999998</v>
      </c>
      <c r="E176" s="14">
        <v>2028.1</v>
      </c>
      <c r="F176" s="14">
        <f t="shared" si="6"/>
        <v>-28.599999999999909</v>
      </c>
    </row>
    <row r="177" spans="1:6">
      <c r="A177" s="11" t="s">
        <v>255</v>
      </c>
      <c r="B177" s="24" t="s">
        <v>589</v>
      </c>
      <c r="C177" s="12" t="s">
        <v>256</v>
      </c>
      <c r="D177" s="13">
        <v>254.2</v>
      </c>
      <c r="E177" s="14">
        <v>237.7</v>
      </c>
      <c r="F177" s="14">
        <f t="shared" si="6"/>
        <v>-16.5</v>
      </c>
    </row>
    <row r="178" spans="1:6">
      <c r="A178" s="11" t="s">
        <v>257</v>
      </c>
      <c r="B178" s="24" t="s">
        <v>590</v>
      </c>
      <c r="C178" s="12" t="s">
        <v>16</v>
      </c>
      <c r="D178" s="13">
        <v>237.2</v>
      </c>
      <c r="E178" s="14">
        <v>234.3</v>
      </c>
      <c r="F178" s="14">
        <f t="shared" si="6"/>
        <v>-2.8999999999999773</v>
      </c>
    </row>
    <row r="179" spans="1:6">
      <c r="A179" s="11" t="s">
        <v>258</v>
      </c>
      <c r="B179" s="24" t="s">
        <v>591</v>
      </c>
      <c r="C179" s="12" t="s">
        <v>219</v>
      </c>
      <c r="D179" s="13">
        <v>719.3</v>
      </c>
      <c r="E179" s="14">
        <v>742.9</v>
      </c>
      <c r="F179" s="14">
        <f t="shared" si="6"/>
        <v>23.600000000000023</v>
      </c>
    </row>
    <row r="180" spans="1:6">
      <c r="A180" s="11" t="s">
        <v>259</v>
      </c>
      <c r="B180" s="24" t="s">
        <v>592</v>
      </c>
      <c r="C180" s="12" t="s">
        <v>256</v>
      </c>
      <c r="D180" s="13">
        <v>3472</v>
      </c>
      <c r="E180" s="14">
        <v>3401.6</v>
      </c>
      <c r="F180" s="14">
        <f t="shared" si="6"/>
        <v>-70.400000000000091</v>
      </c>
    </row>
    <row r="181" spans="1:6">
      <c r="A181" s="11" t="s">
        <v>260</v>
      </c>
      <c r="B181" s="24" t="s">
        <v>593</v>
      </c>
      <c r="C181" s="12" t="s">
        <v>261</v>
      </c>
      <c r="D181" s="13">
        <v>470.6</v>
      </c>
      <c r="E181" s="14">
        <v>478.5</v>
      </c>
      <c r="F181" s="14">
        <f t="shared" si="6"/>
        <v>7.8999999999999773</v>
      </c>
    </row>
    <row r="182" spans="1:6">
      <c r="A182" s="11" t="s">
        <v>262</v>
      </c>
      <c r="B182" s="24" t="s">
        <v>594</v>
      </c>
      <c r="C182" s="12" t="s">
        <v>42</v>
      </c>
      <c r="D182" s="13">
        <v>1481.5</v>
      </c>
      <c r="E182" s="14">
        <v>1628.2</v>
      </c>
      <c r="F182" s="14">
        <f t="shared" si="6"/>
        <v>146.70000000000005</v>
      </c>
    </row>
    <row r="183" spans="1:6">
      <c r="A183" s="11" t="s">
        <v>263</v>
      </c>
      <c r="B183" s="24" t="s">
        <v>595</v>
      </c>
      <c r="C183" s="12" t="s">
        <v>264</v>
      </c>
      <c r="D183" s="13">
        <v>504.4</v>
      </c>
      <c r="E183" s="14">
        <v>530.5</v>
      </c>
      <c r="F183" s="14">
        <f t="shared" si="6"/>
        <v>26.100000000000023</v>
      </c>
    </row>
    <row r="184" spans="1:6">
      <c r="A184" s="11" t="s">
        <v>265</v>
      </c>
      <c r="B184" s="24" t="s">
        <v>596</v>
      </c>
      <c r="C184" s="12" t="s">
        <v>266</v>
      </c>
      <c r="D184" s="13">
        <v>726.5</v>
      </c>
      <c r="E184" s="14">
        <v>664.6</v>
      </c>
      <c r="F184" s="14">
        <f t="shared" si="6"/>
        <v>-61.899999999999977</v>
      </c>
    </row>
    <row r="185" spans="1:6">
      <c r="A185" s="11" t="s">
        <v>267</v>
      </c>
      <c r="B185" s="24" t="s">
        <v>597</v>
      </c>
      <c r="C185" s="12" t="s">
        <v>268</v>
      </c>
      <c r="D185" s="13">
        <v>632.6</v>
      </c>
      <c r="E185" s="14">
        <v>698.5</v>
      </c>
      <c r="F185" s="14">
        <f t="shared" si="6"/>
        <v>65.899999999999977</v>
      </c>
    </row>
    <row r="186" spans="1:6">
      <c r="A186" s="11" t="s">
        <v>269</v>
      </c>
      <c r="B186" s="24" t="s">
        <v>598</v>
      </c>
      <c r="C186" s="12" t="s">
        <v>270</v>
      </c>
      <c r="D186" s="13">
        <v>1422.8</v>
      </c>
      <c r="E186" s="14">
        <v>1359.3</v>
      </c>
      <c r="F186" s="14">
        <f t="shared" si="6"/>
        <v>-63.5</v>
      </c>
    </row>
    <row r="187" spans="1:6">
      <c r="A187" s="11" t="s">
        <v>271</v>
      </c>
      <c r="B187" s="24" t="s">
        <v>599</v>
      </c>
      <c r="C187" s="12" t="s">
        <v>247</v>
      </c>
      <c r="D187" s="13">
        <v>558.79999999999995</v>
      </c>
      <c r="E187" s="14">
        <v>529.1</v>
      </c>
      <c r="F187" s="14">
        <f t="shared" si="6"/>
        <v>-29.699999999999932</v>
      </c>
    </row>
    <row r="188" spans="1:6">
      <c r="A188" s="11" t="s">
        <v>272</v>
      </c>
      <c r="B188" s="24" t="s">
        <v>600</v>
      </c>
      <c r="C188" s="12" t="s">
        <v>273</v>
      </c>
      <c r="D188" s="13">
        <v>342</v>
      </c>
      <c r="E188" s="14">
        <v>358</v>
      </c>
      <c r="F188" s="14">
        <f t="shared" si="6"/>
        <v>16</v>
      </c>
    </row>
    <row r="189" spans="1:6">
      <c r="A189" s="11" t="s">
        <v>274</v>
      </c>
      <c r="B189" s="24" t="s">
        <v>275</v>
      </c>
      <c r="C189" s="12" t="s">
        <v>275</v>
      </c>
      <c r="D189" s="17">
        <v>1148.5</v>
      </c>
      <c r="E189" s="14">
        <v>1115.2</v>
      </c>
      <c r="F189" s="14">
        <f t="shared" si="6"/>
        <v>-33.299999999999955</v>
      </c>
    </row>
    <row r="190" spans="1:6">
      <c r="A190" s="11" t="s">
        <v>276</v>
      </c>
      <c r="B190" s="24" t="s">
        <v>601</v>
      </c>
      <c r="C190" s="12" t="s">
        <v>268</v>
      </c>
      <c r="D190" s="13">
        <v>5110.6000000000004</v>
      </c>
      <c r="E190" s="14">
        <v>5953.8</v>
      </c>
      <c r="F190" s="14">
        <f t="shared" si="6"/>
        <v>843.19999999999982</v>
      </c>
    </row>
    <row r="191" spans="1:6">
      <c r="A191" s="11" t="s">
        <v>277</v>
      </c>
      <c r="B191" s="24" t="s">
        <v>469</v>
      </c>
      <c r="C191" s="12" t="s">
        <v>268</v>
      </c>
      <c r="D191" s="13">
        <v>242</v>
      </c>
      <c r="E191" s="14">
        <v>217.5</v>
      </c>
      <c r="F191" s="14">
        <f t="shared" si="6"/>
        <v>-24.5</v>
      </c>
    </row>
    <row r="192" spans="1:6">
      <c r="A192" s="11" t="s">
        <v>278</v>
      </c>
      <c r="B192" s="24" t="s">
        <v>602</v>
      </c>
      <c r="C192" s="12" t="s">
        <v>42</v>
      </c>
      <c r="D192" s="13">
        <v>3386.2</v>
      </c>
      <c r="E192" s="14">
        <v>4699.5</v>
      </c>
      <c r="F192" s="14">
        <f t="shared" si="6"/>
        <v>1313.3000000000002</v>
      </c>
    </row>
    <row r="193" spans="1:6">
      <c r="A193" s="11" t="s">
        <v>279</v>
      </c>
      <c r="B193" s="24" t="s">
        <v>603</v>
      </c>
      <c r="C193" s="12" t="s">
        <v>280</v>
      </c>
      <c r="D193" s="13">
        <v>266.89999999999998</v>
      </c>
      <c r="E193" s="14">
        <v>230.2</v>
      </c>
      <c r="F193" s="14">
        <f t="shared" si="6"/>
        <v>-36.699999999999989</v>
      </c>
    </row>
    <row r="194" spans="1:6">
      <c r="A194" s="11" t="s">
        <v>281</v>
      </c>
      <c r="B194" s="24" t="s">
        <v>604</v>
      </c>
      <c r="C194" s="12" t="s">
        <v>282</v>
      </c>
      <c r="D194" s="13">
        <v>252.5</v>
      </c>
      <c r="E194" s="14">
        <v>182.7</v>
      </c>
      <c r="F194" s="14">
        <f t="shared" si="6"/>
        <v>-69.800000000000011</v>
      </c>
    </row>
    <row r="195" spans="1:6">
      <c r="A195" s="11" t="s">
        <v>283</v>
      </c>
      <c r="B195" s="24" t="s">
        <v>284</v>
      </c>
      <c r="C195" s="12" t="s">
        <v>284</v>
      </c>
      <c r="D195" s="13">
        <v>352.9</v>
      </c>
      <c r="E195" s="14">
        <v>392.6</v>
      </c>
      <c r="F195" s="14">
        <f t="shared" si="6"/>
        <v>39.700000000000045</v>
      </c>
    </row>
    <row r="196" spans="1:6">
      <c r="A196" s="11" t="s">
        <v>285</v>
      </c>
      <c r="B196" s="24" t="s">
        <v>605</v>
      </c>
      <c r="C196" s="12" t="s">
        <v>280</v>
      </c>
      <c r="D196" s="13">
        <v>688.6</v>
      </c>
      <c r="E196" s="14">
        <v>609</v>
      </c>
      <c r="F196" s="14">
        <f t="shared" si="6"/>
        <v>-79.600000000000023</v>
      </c>
    </row>
    <row r="197" spans="1:6">
      <c r="A197" s="11" t="s">
        <v>286</v>
      </c>
      <c r="B197" s="24" t="s">
        <v>408</v>
      </c>
      <c r="C197" s="12" t="s">
        <v>280</v>
      </c>
      <c r="D197" s="13">
        <v>125</v>
      </c>
      <c r="E197" s="14">
        <v>93.5</v>
      </c>
      <c r="F197" s="14">
        <f t="shared" ref="F197:F228" si="7">E197-D197</f>
        <v>-31.5</v>
      </c>
    </row>
    <row r="198" spans="1:6">
      <c r="A198" s="11" t="s">
        <v>287</v>
      </c>
      <c r="B198" s="24" t="s">
        <v>288</v>
      </c>
      <c r="C198" s="12" t="s">
        <v>288</v>
      </c>
      <c r="D198" s="13">
        <v>401.9</v>
      </c>
      <c r="E198" s="14">
        <v>331.9</v>
      </c>
      <c r="F198" s="14">
        <f t="shared" si="7"/>
        <v>-70</v>
      </c>
    </row>
    <row r="199" spans="1:6">
      <c r="A199" s="11" t="s">
        <v>289</v>
      </c>
      <c r="B199" s="24" t="s">
        <v>606</v>
      </c>
      <c r="C199" s="12" t="s">
        <v>290</v>
      </c>
      <c r="D199" s="13">
        <v>407.7</v>
      </c>
      <c r="E199" s="14">
        <v>369</v>
      </c>
      <c r="F199" s="14">
        <f t="shared" si="7"/>
        <v>-38.699999999999989</v>
      </c>
    </row>
    <row r="200" spans="1:6">
      <c r="A200" s="11" t="s">
        <v>291</v>
      </c>
      <c r="B200" s="24" t="s">
        <v>607</v>
      </c>
      <c r="C200" s="12" t="s">
        <v>42</v>
      </c>
      <c r="D200" s="13">
        <v>1794.3</v>
      </c>
      <c r="E200" s="14">
        <v>1724.7</v>
      </c>
      <c r="F200" s="14">
        <f t="shared" si="7"/>
        <v>-69.599999999999909</v>
      </c>
    </row>
    <row r="201" spans="1:6">
      <c r="A201" s="11" t="s">
        <v>292</v>
      </c>
      <c r="B201" s="24" t="s">
        <v>608</v>
      </c>
      <c r="C201" s="12" t="s">
        <v>293</v>
      </c>
      <c r="D201" s="13">
        <v>346</v>
      </c>
      <c r="E201" s="14">
        <v>294.5</v>
      </c>
      <c r="F201" s="14">
        <f t="shared" si="7"/>
        <v>-51.5</v>
      </c>
    </row>
    <row r="202" spans="1:6">
      <c r="A202" s="11" t="s">
        <v>294</v>
      </c>
      <c r="B202" s="24" t="s">
        <v>609</v>
      </c>
      <c r="C202" s="12" t="s">
        <v>42</v>
      </c>
      <c r="D202" s="13">
        <v>860.1</v>
      </c>
      <c r="E202" s="14">
        <v>736.8</v>
      </c>
      <c r="F202" s="14">
        <f t="shared" si="7"/>
        <v>-123.30000000000007</v>
      </c>
    </row>
    <row r="203" spans="1:6">
      <c r="A203" s="11" t="s">
        <v>295</v>
      </c>
      <c r="B203" s="24" t="s">
        <v>610</v>
      </c>
      <c r="C203" s="12" t="s">
        <v>296</v>
      </c>
      <c r="D203" s="13">
        <v>258.5</v>
      </c>
      <c r="E203" s="14">
        <v>246</v>
      </c>
      <c r="F203" s="14">
        <f t="shared" si="7"/>
        <v>-12.5</v>
      </c>
    </row>
    <row r="204" spans="1:6">
      <c r="A204" s="11" t="s">
        <v>297</v>
      </c>
      <c r="B204" s="24" t="s">
        <v>611</v>
      </c>
      <c r="C204" s="12" t="s">
        <v>296</v>
      </c>
      <c r="D204" s="13">
        <v>430.4</v>
      </c>
      <c r="E204" s="14">
        <v>325.7</v>
      </c>
      <c r="F204" s="14">
        <f t="shared" si="7"/>
        <v>-104.69999999999999</v>
      </c>
    </row>
    <row r="205" spans="1:6">
      <c r="A205" s="11" t="s">
        <v>298</v>
      </c>
      <c r="B205" s="24" t="s">
        <v>612</v>
      </c>
      <c r="C205" s="12" t="s">
        <v>299</v>
      </c>
      <c r="D205" s="13">
        <v>151.1</v>
      </c>
      <c r="E205" s="14">
        <v>122.3</v>
      </c>
      <c r="F205" s="14">
        <f t="shared" si="7"/>
        <v>-28.799999999999997</v>
      </c>
    </row>
    <row r="206" spans="1:6">
      <c r="A206" s="11" t="s">
        <v>300</v>
      </c>
      <c r="B206" s="24" t="s">
        <v>613</v>
      </c>
      <c r="C206" s="12" t="s">
        <v>301</v>
      </c>
      <c r="D206" s="13">
        <v>921</v>
      </c>
      <c r="E206" s="14">
        <v>993.5</v>
      </c>
      <c r="F206" s="14">
        <f t="shared" si="7"/>
        <v>72.5</v>
      </c>
    </row>
    <row r="207" spans="1:6">
      <c r="A207" s="11" t="s">
        <v>302</v>
      </c>
      <c r="B207" s="24" t="s">
        <v>144</v>
      </c>
      <c r="C207" s="12" t="s">
        <v>264</v>
      </c>
      <c r="D207" s="13">
        <v>164.8</v>
      </c>
      <c r="E207" s="14">
        <v>138.5</v>
      </c>
      <c r="F207" s="14">
        <f t="shared" si="7"/>
        <v>-26.300000000000011</v>
      </c>
    </row>
    <row r="208" spans="1:6">
      <c r="A208" s="11" t="s">
        <v>303</v>
      </c>
      <c r="B208" s="24" t="s">
        <v>614</v>
      </c>
      <c r="C208" s="12" t="s">
        <v>42</v>
      </c>
      <c r="D208" s="13">
        <v>2060.6</v>
      </c>
      <c r="E208" s="14">
        <v>2179.5</v>
      </c>
      <c r="F208" s="14">
        <f t="shared" si="7"/>
        <v>118.90000000000009</v>
      </c>
    </row>
    <row r="209" spans="1:6">
      <c r="A209" s="11" t="s">
        <v>304</v>
      </c>
      <c r="B209" s="24" t="s">
        <v>615</v>
      </c>
      <c r="C209" s="12" t="s">
        <v>293</v>
      </c>
      <c r="D209" s="13">
        <v>229.5</v>
      </c>
      <c r="E209" s="14">
        <v>177</v>
      </c>
      <c r="F209" s="14">
        <f t="shared" si="7"/>
        <v>-52.5</v>
      </c>
    </row>
    <row r="210" spans="1:6">
      <c r="A210" s="11" t="s">
        <v>305</v>
      </c>
      <c r="B210" s="24" t="s">
        <v>616</v>
      </c>
      <c r="C210" s="12" t="s">
        <v>306</v>
      </c>
      <c r="D210" s="13">
        <v>803.2</v>
      </c>
      <c r="E210" s="14">
        <v>794.5</v>
      </c>
      <c r="F210" s="14">
        <f t="shared" si="7"/>
        <v>-8.7000000000000455</v>
      </c>
    </row>
    <row r="211" spans="1:6">
      <c r="A211" s="11" t="s">
        <v>307</v>
      </c>
      <c r="B211" s="24" t="s">
        <v>617</v>
      </c>
      <c r="C211" s="12" t="s">
        <v>264</v>
      </c>
      <c r="D211" s="13">
        <v>852.2</v>
      </c>
      <c r="E211" s="14">
        <v>799.4</v>
      </c>
      <c r="F211" s="14">
        <f t="shared" si="7"/>
        <v>-52.800000000000068</v>
      </c>
    </row>
    <row r="212" spans="1:6">
      <c r="A212" s="11" t="s">
        <v>308</v>
      </c>
      <c r="B212" s="24" t="s">
        <v>618</v>
      </c>
      <c r="C212" s="12" t="s">
        <v>34</v>
      </c>
      <c r="D212" s="13">
        <v>373</v>
      </c>
      <c r="E212" s="14">
        <v>409.5</v>
      </c>
      <c r="F212" s="14">
        <f t="shared" si="7"/>
        <v>36.5</v>
      </c>
    </row>
    <row r="213" spans="1:6">
      <c r="A213" s="11" t="s">
        <v>309</v>
      </c>
      <c r="B213" s="24" t="s">
        <v>619</v>
      </c>
      <c r="C213" s="12" t="s">
        <v>299</v>
      </c>
      <c r="D213" s="13">
        <v>986.3</v>
      </c>
      <c r="E213" s="14">
        <v>944.6</v>
      </c>
      <c r="F213" s="14">
        <f t="shared" si="7"/>
        <v>-41.699999999999932</v>
      </c>
    </row>
    <row r="214" spans="1:6">
      <c r="A214" s="11" t="s">
        <v>310</v>
      </c>
      <c r="B214" s="24" t="s">
        <v>296</v>
      </c>
      <c r="C214" s="12" t="s">
        <v>296</v>
      </c>
      <c r="D214" s="13">
        <v>634.4</v>
      </c>
      <c r="E214" s="14">
        <v>579.5</v>
      </c>
      <c r="F214" s="14">
        <f t="shared" si="7"/>
        <v>-54.899999999999977</v>
      </c>
    </row>
    <row r="215" spans="1:6">
      <c r="A215" s="11" t="s">
        <v>311</v>
      </c>
      <c r="B215" s="24" t="s">
        <v>266</v>
      </c>
      <c r="C215" s="12" t="s">
        <v>266</v>
      </c>
      <c r="D215" s="13">
        <v>1580.5</v>
      </c>
      <c r="E215" s="14">
        <v>1732.1</v>
      </c>
      <c r="F215" s="14">
        <f t="shared" si="7"/>
        <v>151.59999999999991</v>
      </c>
    </row>
    <row r="216" spans="1:6">
      <c r="A216" s="11" t="s">
        <v>312</v>
      </c>
      <c r="B216" s="24" t="s">
        <v>620</v>
      </c>
      <c r="C216" s="12" t="s">
        <v>296</v>
      </c>
      <c r="D216" s="13">
        <v>653</v>
      </c>
      <c r="E216" s="14">
        <v>587.1</v>
      </c>
      <c r="F216" s="14">
        <f t="shared" si="7"/>
        <v>-65.899999999999977</v>
      </c>
    </row>
    <row r="217" spans="1:6">
      <c r="A217" s="11" t="s">
        <v>313</v>
      </c>
      <c r="B217" s="24" t="s">
        <v>621</v>
      </c>
      <c r="C217" s="12" t="s">
        <v>296</v>
      </c>
      <c r="D217" s="13">
        <v>286.2</v>
      </c>
      <c r="E217" s="14">
        <v>257.5</v>
      </c>
      <c r="F217" s="14">
        <f t="shared" si="7"/>
        <v>-28.699999999999989</v>
      </c>
    </row>
    <row r="218" spans="1:6">
      <c r="A218" s="11" t="s">
        <v>314</v>
      </c>
      <c r="B218" s="24" t="s">
        <v>622</v>
      </c>
      <c r="C218" s="12" t="s">
        <v>315</v>
      </c>
      <c r="D218" s="13">
        <v>331.5</v>
      </c>
      <c r="E218" s="14">
        <v>286.7</v>
      </c>
      <c r="F218" s="14">
        <f t="shared" si="7"/>
        <v>-44.800000000000011</v>
      </c>
    </row>
    <row r="219" spans="1:6">
      <c r="A219" s="11" t="s">
        <v>316</v>
      </c>
      <c r="B219" s="24" t="s">
        <v>623</v>
      </c>
      <c r="C219" s="12" t="s">
        <v>14</v>
      </c>
      <c r="D219" s="13">
        <v>1843.6</v>
      </c>
      <c r="E219" s="14">
        <v>1810.9</v>
      </c>
      <c r="F219" s="14">
        <f t="shared" si="7"/>
        <v>-32.699999999999818</v>
      </c>
    </row>
    <row r="220" spans="1:6">
      <c r="A220" s="11" t="s">
        <v>317</v>
      </c>
      <c r="B220" s="24" t="s">
        <v>624</v>
      </c>
      <c r="C220" s="12" t="s">
        <v>318</v>
      </c>
      <c r="D220" s="13">
        <v>965.4</v>
      </c>
      <c r="E220" s="14">
        <v>835.9</v>
      </c>
      <c r="F220" s="14">
        <f t="shared" si="7"/>
        <v>-129.5</v>
      </c>
    </row>
    <row r="221" spans="1:6">
      <c r="A221" s="11" t="s">
        <v>319</v>
      </c>
      <c r="B221" s="24" t="s">
        <v>625</v>
      </c>
      <c r="C221" s="12" t="s">
        <v>253</v>
      </c>
      <c r="D221" s="13">
        <v>1366.2</v>
      </c>
      <c r="E221" s="14">
        <v>1674</v>
      </c>
      <c r="F221" s="14">
        <f t="shared" si="7"/>
        <v>307.79999999999995</v>
      </c>
    </row>
    <row r="222" spans="1:6">
      <c r="A222" s="11" t="s">
        <v>320</v>
      </c>
      <c r="B222" s="24" t="s">
        <v>626</v>
      </c>
      <c r="C222" s="12" t="s">
        <v>321</v>
      </c>
      <c r="D222" s="13">
        <v>913.9</v>
      </c>
      <c r="E222" s="14">
        <v>750.9</v>
      </c>
      <c r="F222" s="14">
        <f t="shared" si="7"/>
        <v>-163</v>
      </c>
    </row>
    <row r="223" spans="1:6">
      <c r="A223" s="11" t="s">
        <v>322</v>
      </c>
      <c r="B223" s="24" t="s">
        <v>301</v>
      </c>
      <c r="C223" s="12" t="s">
        <v>301</v>
      </c>
      <c r="D223" s="13">
        <v>2409.8000000000002</v>
      </c>
      <c r="E223" s="14">
        <v>2251.6</v>
      </c>
      <c r="F223" s="14">
        <f t="shared" si="7"/>
        <v>-158.20000000000027</v>
      </c>
    </row>
    <row r="224" spans="1:6">
      <c r="A224" s="11" t="s">
        <v>323</v>
      </c>
      <c r="B224" s="24" t="s">
        <v>627</v>
      </c>
      <c r="C224" s="12" t="s">
        <v>301</v>
      </c>
      <c r="D224" s="13">
        <v>412.8</v>
      </c>
      <c r="E224" s="14">
        <v>373.4</v>
      </c>
      <c r="F224" s="14">
        <f t="shared" si="7"/>
        <v>-39.400000000000034</v>
      </c>
    </row>
    <row r="225" spans="1:6">
      <c r="A225" s="11" t="s">
        <v>324</v>
      </c>
      <c r="B225" s="24" t="s">
        <v>628</v>
      </c>
      <c r="C225" s="12" t="s">
        <v>325</v>
      </c>
      <c r="D225" s="13">
        <v>736.6</v>
      </c>
      <c r="E225" s="14">
        <v>642.70000000000005</v>
      </c>
      <c r="F225" s="14">
        <f t="shared" si="7"/>
        <v>-93.899999999999977</v>
      </c>
    </row>
    <row r="226" spans="1:6">
      <c r="A226" s="11" t="s">
        <v>326</v>
      </c>
      <c r="B226" s="24" t="s">
        <v>629</v>
      </c>
      <c r="C226" s="12" t="s">
        <v>325</v>
      </c>
      <c r="D226" s="13">
        <v>450</v>
      </c>
      <c r="E226" s="14">
        <v>428</v>
      </c>
      <c r="F226" s="14">
        <f t="shared" si="7"/>
        <v>-22</v>
      </c>
    </row>
    <row r="227" spans="1:6">
      <c r="A227" s="11" t="s">
        <v>327</v>
      </c>
      <c r="B227" s="24" t="s">
        <v>630</v>
      </c>
      <c r="C227" s="12" t="s">
        <v>328</v>
      </c>
      <c r="D227" s="13">
        <v>306.39999999999998</v>
      </c>
      <c r="E227" s="14">
        <v>203.8</v>
      </c>
      <c r="F227" s="14">
        <f t="shared" si="7"/>
        <v>-102.59999999999997</v>
      </c>
    </row>
    <row r="228" spans="1:6">
      <c r="A228" s="11" t="s">
        <v>329</v>
      </c>
      <c r="B228" s="24" t="s">
        <v>631</v>
      </c>
      <c r="C228" s="12" t="s">
        <v>301</v>
      </c>
      <c r="D228" s="13">
        <v>414.5</v>
      </c>
      <c r="E228" s="14">
        <v>415</v>
      </c>
      <c r="F228" s="14">
        <f t="shared" si="7"/>
        <v>0.5</v>
      </c>
    </row>
    <row r="229" spans="1:6">
      <c r="A229" s="11" t="s">
        <v>330</v>
      </c>
      <c r="B229" s="24" t="s">
        <v>632</v>
      </c>
      <c r="C229" s="12" t="s">
        <v>328</v>
      </c>
      <c r="D229" s="13">
        <v>153.6</v>
      </c>
      <c r="E229" s="14">
        <v>222</v>
      </c>
      <c r="F229" s="14">
        <f t="shared" ref="F229" si="8">E229-D229</f>
        <v>68.400000000000006</v>
      </c>
    </row>
    <row r="230" spans="1:6">
      <c r="A230" s="11" t="s">
        <v>331</v>
      </c>
      <c r="B230" s="25" t="s">
        <v>633</v>
      </c>
      <c r="C230" s="12" t="s">
        <v>34</v>
      </c>
      <c r="D230" s="13">
        <v>268.5</v>
      </c>
      <c r="E230" s="35" t="s">
        <v>21</v>
      </c>
      <c r="F230" s="35" t="s">
        <v>21</v>
      </c>
    </row>
    <row r="231" spans="1:6">
      <c r="A231" s="11" t="s">
        <v>332</v>
      </c>
      <c r="B231" s="24" t="s">
        <v>634</v>
      </c>
      <c r="C231" s="12" t="s">
        <v>30</v>
      </c>
      <c r="D231" s="13">
        <v>260</v>
      </c>
      <c r="E231" s="14">
        <v>247</v>
      </c>
      <c r="F231" s="14">
        <f>E231-D231</f>
        <v>-13</v>
      </c>
    </row>
    <row r="232" spans="1:6">
      <c r="A232" s="11" t="s">
        <v>333</v>
      </c>
      <c r="B232" s="25" t="s">
        <v>635</v>
      </c>
      <c r="C232" s="12" t="s">
        <v>30</v>
      </c>
      <c r="D232" s="13">
        <v>471.5</v>
      </c>
      <c r="E232" s="35" t="s">
        <v>21</v>
      </c>
      <c r="F232" s="35" t="s">
        <v>21</v>
      </c>
    </row>
    <row r="233" spans="1:6">
      <c r="A233" s="11" t="s">
        <v>334</v>
      </c>
      <c r="B233" s="24" t="s">
        <v>636</v>
      </c>
      <c r="C233" s="12" t="s">
        <v>234</v>
      </c>
      <c r="D233" s="13">
        <v>3059.9</v>
      </c>
      <c r="E233" s="14">
        <v>3038.7</v>
      </c>
      <c r="F233" s="14">
        <f>E233-D233</f>
        <v>-21.200000000000273</v>
      </c>
    </row>
    <row r="234" spans="1:6">
      <c r="A234" s="11" t="s">
        <v>335</v>
      </c>
      <c r="B234" s="24" t="s">
        <v>637</v>
      </c>
      <c r="C234" s="12" t="s">
        <v>34</v>
      </c>
      <c r="D234" s="13">
        <v>383.7</v>
      </c>
      <c r="E234" s="14">
        <v>347</v>
      </c>
      <c r="F234" s="14">
        <f>E234-D234</f>
        <v>-36.699999999999989</v>
      </c>
    </row>
    <row r="235" spans="1:6">
      <c r="A235" s="11" t="s">
        <v>336</v>
      </c>
      <c r="B235" s="24" t="s">
        <v>638</v>
      </c>
      <c r="C235" s="12" t="s">
        <v>318</v>
      </c>
      <c r="D235" s="13">
        <v>630.1</v>
      </c>
      <c r="E235" s="14">
        <v>617.20000000000005</v>
      </c>
      <c r="F235" s="14">
        <f>E235-D235</f>
        <v>-12.899999999999977</v>
      </c>
    </row>
    <row r="236" spans="1:6">
      <c r="A236" s="11" t="s">
        <v>337</v>
      </c>
      <c r="B236" s="24" t="s">
        <v>639</v>
      </c>
      <c r="C236" s="12" t="s">
        <v>234</v>
      </c>
      <c r="D236" s="17">
        <v>652.5</v>
      </c>
      <c r="E236" s="14">
        <v>622.4</v>
      </c>
      <c r="F236" s="14">
        <f>E236-D236</f>
        <v>-30.100000000000023</v>
      </c>
    </row>
    <row r="237" spans="1:6">
      <c r="A237" s="11" t="s">
        <v>338</v>
      </c>
      <c r="B237" s="24" t="s">
        <v>640</v>
      </c>
      <c r="C237" s="12" t="s">
        <v>284</v>
      </c>
      <c r="D237" s="13">
        <v>276.60000000000002</v>
      </c>
      <c r="E237" s="14">
        <v>257</v>
      </c>
      <c r="F237" s="14">
        <f>E237-D237</f>
        <v>-19.600000000000023</v>
      </c>
    </row>
    <row r="238" spans="1:6">
      <c r="A238" s="11" t="s">
        <v>339</v>
      </c>
      <c r="B238" s="25" t="s">
        <v>641</v>
      </c>
      <c r="C238" s="12" t="s">
        <v>34</v>
      </c>
      <c r="D238" s="13">
        <v>215</v>
      </c>
      <c r="E238" s="35" t="s">
        <v>21</v>
      </c>
      <c r="F238" s="35" t="s">
        <v>21</v>
      </c>
    </row>
    <row r="239" spans="1:6">
      <c r="A239" s="11" t="s">
        <v>340</v>
      </c>
      <c r="B239" s="24" t="s">
        <v>642</v>
      </c>
      <c r="C239" s="12" t="s">
        <v>325</v>
      </c>
      <c r="D239" s="13">
        <v>1238</v>
      </c>
      <c r="E239" s="14">
        <v>1061.4000000000001</v>
      </c>
      <c r="F239" s="14">
        <f t="shared" ref="F239:F259" si="9">E239-D239</f>
        <v>-176.59999999999991</v>
      </c>
    </row>
    <row r="240" spans="1:6">
      <c r="A240" s="11" t="s">
        <v>341</v>
      </c>
      <c r="B240" s="24" t="s">
        <v>643</v>
      </c>
      <c r="C240" s="12" t="s">
        <v>290</v>
      </c>
      <c r="D240" s="13">
        <v>1411.6</v>
      </c>
      <c r="E240" s="14">
        <v>1526.7</v>
      </c>
      <c r="F240" s="14">
        <f t="shared" si="9"/>
        <v>115.10000000000014</v>
      </c>
    </row>
    <row r="241" spans="1:6">
      <c r="A241" s="11" t="s">
        <v>342</v>
      </c>
      <c r="B241" s="24" t="s">
        <v>644</v>
      </c>
      <c r="C241" s="12" t="s">
        <v>343</v>
      </c>
      <c r="D241" s="13">
        <v>908.9</v>
      </c>
      <c r="E241" s="14">
        <v>829.7</v>
      </c>
      <c r="F241" s="14">
        <f t="shared" si="9"/>
        <v>-79.199999999999932</v>
      </c>
    </row>
    <row r="242" spans="1:6">
      <c r="A242" s="11" t="s">
        <v>344</v>
      </c>
      <c r="B242" s="24" t="s">
        <v>645</v>
      </c>
      <c r="C242" s="12" t="s">
        <v>219</v>
      </c>
      <c r="D242" s="13">
        <v>4939</v>
      </c>
      <c r="E242" s="14">
        <v>5408.5</v>
      </c>
      <c r="F242" s="14">
        <f t="shared" si="9"/>
        <v>469.5</v>
      </c>
    </row>
    <row r="243" spans="1:6">
      <c r="A243" s="11" t="s">
        <v>345</v>
      </c>
      <c r="B243" s="24" t="s">
        <v>646</v>
      </c>
      <c r="C243" s="12" t="s">
        <v>275</v>
      </c>
      <c r="D243" s="13">
        <v>444.3</v>
      </c>
      <c r="E243" s="14">
        <v>342.4</v>
      </c>
      <c r="F243" s="14">
        <f t="shared" si="9"/>
        <v>-101.90000000000003</v>
      </c>
    </row>
    <row r="244" spans="1:6">
      <c r="A244" s="11" t="s">
        <v>346</v>
      </c>
      <c r="B244" s="24" t="s">
        <v>116</v>
      </c>
      <c r="C244" s="12" t="s">
        <v>256</v>
      </c>
      <c r="D244" s="13">
        <v>505.9</v>
      </c>
      <c r="E244" s="14">
        <v>554.5</v>
      </c>
      <c r="F244" s="14">
        <f t="shared" si="9"/>
        <v>48.600000000000023</v>
      </c>
    </row>
    <row r="245" spans="1:6">
      <c r="A245" s="11" t="s">
        <v>347</v>
      </c>
      <c r="B245" s="24" t="s">
        <v>647</v>
      </c>
      <c r="C245" s="12" t="s">
        <v>256</v>
      </c>
      <c r="D245" s="13">
        <v>700.8</v>
      </c>
      <c r="E245" s="14">
        <v>785.1</v>
      </c>
      <c r="F245" s="14">
        <f t="shared" si="9"/>
        <v>84.300000000000068</v>
      </c>
    </row>
    <row r="246" spans="1:6">
      <c r="A246" s="11" t="s">
        <v>348</v>
      </c>
      <c r="B246" s="24" t="s">
        <v>648</v>
      </c>
      <c r="C246" s="12" t="s">
        <v>349</v>
      </c>
      <c r="D246" s="13">
        <v>937.4</v>
      </c>
      <c r="E246" s="14">
        <v>924.6</v>
      </c>
      <c r="F246" s="14">
        <f t="shared" si="9"/>
        <v>-12.799999999999955</v>
      </c>
    </row>
    <row r="247" spans="1:6">
      <c r="A247" s="11" t="s">
        <v>350</v>
      </c>
      <c r="B247" s="24" t="s">
        <v>649</v>
      </c>
      <c r="C247" s="12" t="s">
        <v>349</v>
      </c>
      <c r="D247" s="13">
        <v>479.9</v>
      </c>
      <c r="E247" s="14">
        <v>436.1</v>
      </c>
      <c r="F247" s="14">
        <f t="shared" si="9"/>
        <v>-43.799999999999955</v>
      </c>
    </row>
    <row r="248" spans="1:6">
      <c r="A248" s="11" t="s">
        <v>351</v>
      </c>
      <c r="B248" s="24" t="s">
        <v>650</v>
      </c>
      <c r="C248" s="12" t="s">
        <v>273</v>
      </c>
      <c r="D248" s="13">
        <v>5580.9</v>
      </c>
      <c r="E248" s="14">
        <v>5808.5</v>
      </c>
      <c r="F248" s="14">
        <f t="shared" si="9"/>
        <v>227.60000000000036</v>
      </c>
    </row>
    <row r="249" spans="1:6">
      <c r="A249" s="11" t="s">
        <v>352</v>
      </c>
      <c r="B249" s="24" t="s">
        <v>651</v>
      </c>
      <c r="C249" s="12" t="s">
        <v>264</v>
      </c>
      <c r="D249" s="13">
        <v>271.60000000000002</v>
      </c>
      <c r="E249" s="14">
        <v>316.5</v>
      </c>
      <c r="F249" s="14">
        <f t="shared" si="9"/>
        <v>44.899999999999977</v>
      </c>
    </row>
    <row r="250" spans="1:6">
      <c r="A250" s="11" t="s">
        <v>353</v>
      </c>
      <c r="B250" s="24" t="s">
        <v>652</v>
      </c>
      <c r="C250" s="12" t="s">
        <v>343</v>
      </c>
      <c r="D250" s="13">
        <v>1885.5</v>
      </c>
      <c r="E250" s="14">
        <v>1815.2</v>
      </c>
      <c r="F250" s="14">
        <f t="shared" si="9"/>
        <v>-70.299999999999955</v>
      </c>
    </row>
    <row r="251" spans="1:6">
      <c r="A251" s="11" t="s">
        <v>354</v>
      </c>
      <c r="B251" s="24" t="s">
        <v>653</v>
      </c>
      <c r="C251" s="12" t="s">
        <v>343</v>
      </c>
      <c r="D251" s="13">
        <v>1959.4</v>
      </c>
      <c r="E251" s="14">
        <v>1837.7</v>
      </c>
      <c r="F251" s="14">
        <f t="shared" si="9"/>
        <v>-121.70000000000005</v>
      </c>
    </row>
    <row r="252" spans="1:6">
      <c r="A252" s="11" t="s">
        <v>355</v>
      </c>
      <c r="B252" s="24" t="s">
        <v>654</v>
      </c>
      <c r="C252" s="12" t="s">
        <v>343</v>
      </c>
      <c r="D252" s="13">
        <v>602.29999999999995</v>
      </c>
      <c r="E252" s="14">
        <v>885.1</v>
      </c>
      <c r="F252" s="14">
        <f t="shared" si="9"/>
        <v>282.80000000000007</v>
      </c>
    </row>
    <row r="253" spans="1:6">
      <c r="A253" s="11" t="s">
        <v>356</v>
      </c>
      <c r="B253" s="24" t="s">
        <v>655</v>
      </c>
      <c r="C253" s="12" t="s">
        <v>301</v>
      </c>
      <c r="D253" s="13">
        <v>439</v>
      </c>
      <c r="E253" s="14">
        <v>456</v>
      </c>
      <c r="F253" s="14">
        <f t="shared" si="9"/>
        <v>17</v>
      </c>
    </row>
    <row r="254" spans="1:6">
      <c r="A254" s="11" t="s">
        <v>357</v>
      </c>
      <c r="B254" s="24" t="s">
        <v>656</v>
      </c>
      <c r="C254" s="12" t="s">
        <v>45</v>
      </c>
      <c r="D254" s="13">
        <v>698.8</v>
      </c>
      <c r="E254" s="14">
        <v>698.7</v>
      </c>
      <c r="F254" s="14">
        <f t="shared" si="9"/>
        <v>-9.9999999999909051E-2</v>
      </c>
    </row>
    <row r="255" spans="1:6">
      <c r="A255" s="11" t="s">
        <v>358</v>
      </c>
      <c r="B255" s="24" t="s">
        <v>657</v>
      </c>
      <c r="C255" s="12" t="s">
        <v>219</v>
      </c>
      <c r="D255" s="13">
        <v>3331</v>
      </c>
      <c r="E255" s="14">
        <v>3403</v>
      </c>
      <c r="F255" s="14">
        <f t="shared" si="9"/>
        <v>72</v>
      </c>
    </row>
    <row r="256" spans="1:6">
      <c r="A256" s="11" t="s">
        <v>359</v>
      </c>
      <c r="B256" s="24" t="s">
        <v>360</v>
      </c>
      <c r="C256" s="12" t="s">
        <v>349</v>
      </c>
      <c r="D256" s="13">
        <v>238.5</v>
      </c>
      <c r="E256" s="14">
        <v>186.5</v>
      </c>
      <c r="F256" s="14">
        <f t="shared" si="9"/>
        <v>-52</v>
      </c>
    </row>
    <row r="257" spans="1:6">
      <c r="A257" s="11" t="s">
        <v>361</v>
      </c>
      <c r="B257" s="24" t="s">
        <v>658</v>
      </c>
      <c r="C257" s="12" t="s">
        <v>362</v>
      </c>
      <c r="D257" s="13">
        <v>482.8</v>
      </c>
      <c r="E257" s="14">
        <v>462.5</v>
      </c>
      <c r="F257" s="14">
        <f t="shared" si="9"/>
        <v>-20.300000000000011</v>
      </c>
    </row>
    <row r="258" spans="1:6">
      <c r="A258" s="11" t="s">
        <v>363</v>
      </c>
      <c r="B258" s="24" t="s">
        <v>45</v>
      </c>
      <c r="C258" s="12" t="s">
        <v>45</v>
      </c>
      <c r="D258" s="13">
        <v>4005.2</v>
      </c>
      <c r="E258" s="14">
        <v>3823</v>
      </c>
      <c r="F258" s="14">
        <f t="shared" si="9"/>
        <v>-182.19999999999982</v>
      </c>
    </row>
    <row r="259" spans="1:6">
      <c r="A259" s="11" t="s">
        <v>364</v>
      </c>
      <c r="B259" s="24" t="s">
        <v>659</v>
      </c>
      <c r="C259" s="12" t="s">
        <v>325</v>
      </c>
      <c r="D259" s="13">
        <v>355</v>
      </c>
      <c r="E259" s="14">
        <v>317</v>
      </c>
      <c r="F259" s="14">
        <f t="shared" si="9"/>
        <v>-38</v>
      </c>
    </row>
    <row r="260" spans="1:6">
      <c r="A260" s="11" t="s">
        <v>365</v>
      </c>
      <c r="B260" s="25" t="s">
        <v>660</v>
      </c>
      <c r="C260" s="12" t="s">
        <v>30</v>
      </c>
      <c r="D260" s="13">
        <v>124</v>
      </c>
      <c r="E260" s="35" t="s">
        <v>21</v>
      </c>
      <c r="F260" s="35" t="s">
        <v>21</v>
      </c>
    </row>
    <row r="261" spans="1:6">
      <c r="A261" s="11" t="s">
        <v>366</v>
      </c>
      <c r="B261" s="24" t="s">
        <v>661</v>
      </c>
      <c r="C261" s="12" t="s">
        <v>325</v>
      </c>
      <c r="D261" s="13">
        <v>267</v>
      </c>
      <c r="E261" s="16">
        <v>266</v>
      </c>
      <c r="F261" s="14">
        <f t="shared" ref="F261:F292" si="10">E261-D261</f>
        <v>-1</v>
      </c>
    </row>
    <row r="262" spans="1:6">
      <c r="A262" s="11" t="s">
        <v>367</v>
      </c>
      <c r="B262" s="24" t="s">
        <v>662</v>
      </c>
      <c r="C262" s="12" t="s">
        <v>245</v>
      </c>
      <c r="D262" s="13">
        <v>7040.5</v>
      </c>
      <c r="E262" s="14">
        <v>6930.3</v>
      </c>
      <c r="F262" s="14">
        <f t="shared" si="10"/>
        <v>-110.19999999999982</v>
      </c>
    </row>
    <row r="263" spans="1:6">
      <c r="A263" s="11" t="s">
        <v>368</v>
      </c>
      <c r="B263" s="24" t="s">
        <v>663</v>
      </c>
      <c r="C263" s="12" t="s">
        <v>45</v>
      </c>
      <c r="D263" s="13">
        <v>2024</v>
      </c>
      <c r="E263" s="14">
        <v>2121.6</v>
      </c>
      <c r="F263" s="14">
        <f t="shared" si="10"/>
        <v>97.599999999999909</v>
      </c>
    </row>
    <row r="264" spans="1:6">
      <c r="A264" s="11" t="s">
        <v>369</v>
      </c>
      <c r="B264" s="24" t="s">
        <v>664</v>
      </c>
      <c r="C264" s="12" t="s">
        <v>273</v>
      </c>
      <c r="D264" s="13">
        <v>266.5</v>
      </c>
      <c r="E264" s="14">
        <v>244.7</v>
      </c>
      <c r="F264" s="14">
        <f t="shared" si="10"/>
        <v>-21.800000000000011</v>
      </c>
    </row>
    <row r="265" spans="1:6">
      <c r="A265" s="11" t="s">
        <v>370</v>
      </c>
      <c r="B265" s="24" t="s">
        <v>665</v>
      </c>
      <c r="C265" s="12" t="s">
        <v>256</v>
      </c>
      <c r="D265" s="13">
        <v>794.1</v>
      </c>
      <c r="E265" s="14">
        <v>812</v>
      </c>
      <c r="F265" s="14">
        <f t="shared" si="10"/>
        <v>17.899999999999977</v>
      </c>
    </row>
    <row r="266" spans="1:6">
      <c r="A266" s="11" t="s">
        <v>371</v>
      </c>
      <c r="B266" s="24" t="s">
        <v>666</v>
      </c>
      <c r="C266" s="12" t="s">
        <v>282</v>
      </c>
      <c r="D266" s="13">
        <v>773.8</v>
      </c>
      <c r="E266" s="14">
        <v>717.2</v>
      </c>
      <c r="F266" s="14">
        <f t="shared" si="10"/>
        <v>-56.599999999999909</v>
      </c>
    </row>
    <row r="267" spans="1:6">
      <c r="A267" s="11" t="s">
        <v>372</v>
      </c>
      <c r="B267" s="24" t="s">
        <v>667</v>
      </c>
      <c r="C267" s="12" t="s">
        <v>373</v>
      </c>
      <c r="D267" s="13">
        <v>343.3</v>
      </c>
      <c r="E267" s="14">
        <v>347</v>
      </c>
      <c r="F267" s="14">
        <f t="shared" si="10"/>
        <v>3.6999999999999886</v>
      </c>
    </row>
    <row r="268" spans="1:6">
      <c r="A268" s="11" t="s">
        <v>374</v>
      </c>
      <c r="B268" s="24" t="s">
        <v>668</v>
      </c>
      <c r="C268" s="12" t="s">
        <v>373</v>
      </c>
      <c r="D268" s="13">
        <v>367.5</v>
      </c>
      <c r="E268" s="14">
        <v>362.5</v>
      </c>
      <c r="F268" s="14">
        <f t="shared" si="10"/>
        <v>-5</v>
      </c>
    </row>
    <row r="269" spans="1:6">
      <c r="A269" s="11" t="s">
        <v>375</v>
      </c>
      <c r="B269" s="24" t="s">
        <v>669</v>
      </c>
      <c r="C269" s="12" t="s">
        <v>45</v>
      </c>
      <c r="D269" s="13">
        <v>1518.7</v>
      </c>
      <c r="E269" s="14">
        <v>1860.9</v>
      </c>
      <c r="F269" s="14">
        <f t="shared" si="10"/>
        <v>342.20000000000005</v>
      </c>
    </row>
    <row r="270" spans="1:6">
      <c r="A270" s="11" t="s">
        <v>376</v>
      </c>
      <c r="B270" s="24" t="s">
        <v>670</v>
      </c>
      <c r="C270" s="12" t="s">
        <v>373</v>
      </c>
      <c r="D270" s="13">
        <v>2514.4</v>
      </c>
      <c r="E270" s="14">
        <v>2348.6</v>
      </c>
      <c r="F270" s="14">
        <f t="shared" si="10"/>
        <v>-165.80000000000018</v>
      </c>
    </row>
    <row r="271" spans="1:6">
      <c r="A271" s="11" t="s">
        <v>377</v>
      </c>
      <c r="B271" s="24" t="s">
        <v>671</v>
      </c>
      <c r="C271" s="12" t="s">
        <v>378</v>
      </c>
      <c r="D271" s="13">
        <v>898.1</v>
      </c>
      <c r="E271" s="14">
        <v>868.7</v>
      </c>
      <c r="F271" s="14">
        <f t="shared" si="10"/>
        <v>-29.399999999999977</v>
      </c>
    </row>
    <row r="272" spans="1:6">
      <c r="A272" s="11" t="s">
        <v>379</v>
      </c>
      <c r="B272" s="24" t="s">
        <v>672</v>
      </c>
      <c r="C272" s="12" t="s">
        <v>380</v>
      </c>
      <c r="D272" s="13">
        <v>477.1</v>
      </c>
      <c r="E272" s="14">
        <v>427.5</v>
      </c>
      <c r="F272" s="14">
        <f t="shared" si="10"/>
        <v>-49.600000000000023</v>
      </c>
    </row>
    <row r="273" spans="1:6">
      <c r="A273" s="11" t="s">
        <v>381</v>
      </c>
      <c r="B273" s="24" t="s">
        <v>673</v>
      </c>
      <c r="C273" s="12" t="s">
        <v>382</v>
      </c>
      <c r="D273" s="13">
        <v>110.5</v>
      </c>
      <c r="E273" s="14">
        <v>92.5</v>
      </c>
      <c r="F273" s="14">
        <f t="shared" si="10"/>
        <v>-18</v>
      </c>
    </row>
    <row r="274" spans="1:6">
      <c r="A274" s="11" t="s">
        <v>383</v>
      </c>
      <c r="B274" s="24" t="s">
        <v>674</v>
      </c>
      <c r="C274" s="12" t="s">
        <v>45</v>
      </c>
      <c r="D274" s="13">
        <v>2018.5</v>
      </c>
      <c r="E274" s="14">
        <v>2501.4</v>
      </c>
      <c r="F274" s="14">
        <f t="shared" si="10"/>
        <v>482.90000000000009</v>
      </c>
    </row>
    <row r="275" spans="1:6">
      <c r="A275" s="11" t="s">
        <v>384</v>
      </c>
      <c r="B275" s="24" t="s">
        <v>675</v>
      </c>
      <c r="C275" s="12" t="s">
        <v>373</v>
      </c>
      <c r="D275" s="13">
        <v>2836.1</v>
      </c>
      <c r="E275" s="14">
        <v>2628.9</v>
      </c>
      <c r="F275" s="14">
        <f t="shared" si="10"/>
        <v>-207.19999999999982</v>
      </c>
    </row>
    <row r="276" spans="1:6">
      <c r="A276" s="11" t="s">
        <v>385</v>
      </c>
      <c r="B276" s="24" t="s">
        <v>676</v>
      </c>
      <c r="C276" s="12" t="s">
        <v>373</v>
      </c>
      <c r="D276" s="13">
        <v>208.8</v>
      </c>
      <c r="E276" s="14">
        <v>151.19999999999999</v>
      </c>
      <c r="F276" s="14">
        <f t="shared" si="10"/>
        <v>-57.600000000000023</v>
      </c>
    </row>
    <row r="277" spans="1:6">
      <c r="A277" s="11" t="s">
        <v>386</v>
      </c>
      <c r="B277" s="24" t="s">
        <v>677</v>
      </c>
      <c r="C277" s="12" t="s">
        <v>290</v>
      </c>
      <c r="D277" s="13">
        <v>1002.2</v>
      </c>
      <c r="E277" s="14">
        <v>969.7</v>
      </c>
      <c r="F277" s="14">
        <f t="shared" si="10"/>
        <v>-32.5</v>
      </c>
    </row>
    <row r="278" spans="1:6">
      <c r="A278" s="11" t="s">
        <v>387</v>
      </c>
      <c r="B278" s="24" t="s">
        <v>678</v>
      </c>
      <c r="C278" s="12" t="s">
        <v>328</v>
      </c>
      <c r="D278" s="13">
        <v>172</v>
      </c>
      <c r="E278" s="14">
        <v>141.80000000000001</v>
      </c>
      <c r="F278" s="14">
        <f t="shared" si="10"/>
        <v>-30.199999999999989</v>
      </c>
    </row>
    <row r="279" spans="1:6">
      <c r="A279" s="11" t="s">
        <v>388</v>
      </c>
      <c r="B279" s="24" t="s">
        <v>679</v>
      </c>
      <c r="C279" s="12" t="s">
        <v>389</v>
      </c>
      <c r="D279" s="13">
        <v>6011.9</v>
      </c>
      <c r="E279" s="14">
        <v>7803.4</v>
      </c>
      <c r="F279" s="14">
        <f t="shared" si="10"/>
        <v>1791.5</v>
      </c>
    </row>
    <row r="280" spans="1:6">
      <c r="A280" s="11" t="s">
        <v>390</v>
      </c>
      <c r="B280" s="24" t="s">
        <v>680</v>
      </c>
      <c r="C280" s="12" t="s">
        <v>16</v>
      </c>
      <c r="D280" s="13">
        <v>127</v>
      </c>
      <c r="E280" s="14">
        <v>120</v>
      </c>
      <c r="F280" s="14">
        <f t="shared" si="10"/>
        <v>-7</v>
      </c>
    </row>
    <row r="281" spans="1:6">
      <c r="A281" s="11" t="s">
        <v>391</v>
      </c>
      <c r="B281" s="24" t="s">
        <v>681</v>
      </c>
      <c r="C281" s="12" t="s">
        <v>16</v>
      </c>
      <c r="D281" s="13">
        <v>258.5</v>
      </c>
      <c r="E281" s="14">
        <v>229</v>
      </c>
      <c r="F281" s="14">
        <f t="shared" si="10"/>
        <v>-29.5</v>
      </c>
    </row>
    <row r="282" spans="1:6">
      <c r="A282" s="11" t="s">
        <v>392</v>
      </c>
      <c r="B282" s="24" t="s">
        <v>682</v>
      </c>
      <c r="C282" s="12" t="s">
        <v>249</v>
      </c>
      <c r="D282" s="13">
        <v>241.5</v>
      </c>
      <c r="E282" s="14">
        <v>224.5</v>
      </c>
      <c r="F282" s="14">
        <f t="shared" si="10"/>
        <v>-17</v>
      </c>
    </row>
    <row r="283" spans="1:6">
      <c r="A283" s="11" t="s">
        <v>393</v>
      </c>
      <c r="B283" s="24" t="s">
        <v>683</v>
      </c>
      <c r="C283" s="12" t="s">
        <v>394</v>
      </c>
      <c r="D283" s="13">
        <v>4237.8999999999996</v>
      </c>
      <c r="E283" s="14">
        <v>4363</v>
      </c>
      <c r="F283" s="14">
        <f t="shared" si="10"/>
        <v>125.10000000000036</v>
      </c>
    </row>
    <row r="284" spans="1:6">
      <c r="A284" s="11" t="s">
        <v>395</v>
      </c>
      <c r="B284" s="24" t="s">
        <v>684</v>
      </c>
      <c r="C284" s="12" t="s">
        <v>290</v>
      </c>
      <c r="D284" s="13">
        <v>419.5</v>
      </c>
      <c r="E284" s="14">
        <v>419.3</v>
      </c>
      <c r="F284" s="14">
        <f t="shared" si="10"/>
        <v>-0.19999999999998863</v>
      </c>
    </row>
    <row r="285" spans="1:6">
      <c r="A285" s="11" t="s">
        <v>396</v>
      </c>
      <c r="B285" s="24" t="s">
        <v>685</v>
      </c>
      <c r="C285" s="12" t="s">
        <v>382</v>
      </c>
      <c r="D285" s="13">
        <v>250.6</v>
      </c>
      <c r="E285" s="14">
        <v>243.5</v>
      </c>
      <c r="F285" s="14">
        <f t="shared" si="10"/>
        <v>-7.0999999999999943</v>
      </c>
    </row>
    <row r="286" spans="1:6">
      <c r="A286" s="11" t="s">
        <v>397</v>
      </c>
      <c r="B286" s="24" t="s">
        <v>686</v>
      </c>
      <c r="C286" s="12" t="s">
        <v>394</v>
      </c>
      <c r="D286" s="13">
        <v>732.5</v>
      </c>
      <c r="E286" s="14">
        <v>725</v>
      </c>
      <c r="F286" s="14">
        <f t="shared" si="10"/>
        <v>-7.5</v>
      </c>
    </row>
    <row r="287" spans="1:6">
      <c r="A287" s="11" t="s">
        <v>398</v>
      </c>
      <c r="B287" s="24" t="s">
        <v>687</v>
      </c>
      <c r="C287" s="12" t="s">
        <v>282</v>
      </c>
      <c r="D287" s="13">
        <v>727</v>
      </c>
      <c r="E287" s="14">
        <v>730</v>
      </c>
      <c r="F287" s="14">
        <f t="shared" si="10"/>
        <v>3</v>
      </c>
    </row>
    <row r="288" spans="1:6">
      <c r="A288" s="11" t="s">
        <v>399</v>
      </c>
      <c r="B288" s="24" t="s">
        <v>688</v>
      </c>
      <c r="C288" s="12" t="s">
        <v>34</v>
      </c>
      <c r="D288" s="13">
        <v>350</v>
      </c>
      <c r="E288" s="14">
        <v>300.2</v>
      </c>
      <c r="F288" s="14">
        <f t="shared" si="10"/>
        <v>-49.800000000000011</v>
      </c>
    </row>
    <row r="289" spans="1:6">
      <c r="A289" s="11" t="s">
        <v>400</v>
      </c>
      <c r="B289" s="24" t="s">
        <v>689</v>
      </c>
      <c r="C289" s="12" t="s">
        <v>290</v>
      </c>
      <c r="D289" s="13">
        <v>504.7</v>
      </c>
      <c r="E289" s="14">
        <v>510.1</v>
      </c>
      <c r="F289" s="14">
        <f t="shared" si="10"/>
        <v>5.4000000000000341</v>
      </c>
    </row>
    <row r="290" spans="1:6">
      <c r="A290" s="11" t="s">
        <v>401</v>
      </c>
      <c r="B290" s="24" t="s">
        <v>690</v>
      </c>
      <c r="C290" s="12" t="s">
        <v>247</v>
      </c>
      <c r="D290" s="13">
        <v>312.60000000000002</v>
      </c>
      <c r="E290" s="14">
        <v>294.60000000000002</v>
      </c>
      <c r="F290" s="14">
        <f t="shared" si="10"/>
        <v>-18</v>
      </c>
    </row>
    <row r="291" spans="1:6">
      <c r="A291" s="11" t="s">
        <v>402</v>
      </c>
      <c r="B291" s="24" t="s">
        <v>691</v>
      </c>
      <c r="C291" s="12" t="s">
        <v>284</v>
      </c>
      <c r="D291" s="13">
        <v>3023.7</v>
      </c>
      <c r="E291" s="14">
        <v>2839.3</v>
      </c>
      <c r="F291" s="14">
        <f t="shared" si="10"/>
        <v>-184.39999999999964</v>
      </c>
    </row>
    <row r="292" spans="1:6">
      <c r="A292" s="11" t="s">
        <v>403</v>
      </c>
      <c r="B292" s="24" t="s">
        <v>692</v>
      </c>
      <c r="C292" s="12" t="s">
        <v>42</v>
      </c>
      <c r="D292" s="13">
        <v>2082</v>
      </c>
      <c r="E292" s="14">
        <v>1993</v>
      </c>
      <c r="F292" s="14">
        <f t="shared" si="10"/>
        <v>-89</v>
      </c>
    </row>
    <row r="293" spans="1:6">
      <c r="A293" s="11" t="s">
        <v>404</v>
      </c>
      <c r="B293" s="24" t="s">
        <v>693</v>
      </c>
      <c r="C293" s="12" t="s">
        <v>224</v>
      </c>
      <c r="D293" s="13">
        <v>1200.5</v>
      </c>
      <c r="E293" s="14">
        <v>1454</v>
      </c>
      <c r="F293" s="14">
        <f t="shared" ref="F293:F313" si="11">E293-D293</f>
        <v>253.5</v>
      </c>
    </row>
    <row r="294" spans="1:6">
      <c r="A294" s="11" t="s">
        <v>405</v>
      </c>
      <c r="B294" s="24" t="s">
        <v>694</v>
      </c>
      <c r="C294" s="12" t="s">
        <v>42</v>
      </c>
      <c r="D294" s="13">
        <v>316.60000000000002</v>
      </c>
      <c r="E294" s="14">
        <v>284.5</v>
      </c>
      <c r="F294" s="14">
        <f t="shared" si="11"/>
        <v>-32.100000000000023</v>
      </c>
    </row>
    <row r="295" spans="1:6">
      <c r="A295" s="11" t="s">
        <v>406</v>
      </c>
      <c r="B295" s="24" t="s">
        <v>695</v>
      </c>
      <c r="C295" s="12" t="s">
        <v>306</v>
      </c>
      <c r="D295" s="13">
        <v>1275.0999999999999</v>
      </c>
      <c r="E295" s="14">
        <v>1113</v>
      </c>
      <c r="F295" s="14">
        <f t="shared" si="11"/>
        <v>-162.09999999999991</v>
      </c>
    </row>
    <row r="296" spans="1:6">
      <c r="A296" s="11" t="s">
        <v>407</v>
      </c>
      <c r="B296" s="24" t="s">
        <v>696</v>
      </c>
      <c r="C296" s="12" t="s">
        <v>408</v>
      </c>
      <c r="D296" s="13">
        <v>487</v>
      </c>
      <c r="E296" s="14">
        <v>489</v>
      </c>
      <c r="F296" s="14">
        <f t="shared" si="11"/>
        <v>2</v>
      </c>
    </row>
    <row r="297" spans="1:6">
      <c r="A297" s="11" t="s">
        <v>409</v>
      </c>
      <c r="B297" s="24" t="s">
        <v>697</v>
      </c>
      <c r="C297" s="12" t="s">
        <v>410</v>
      </c>
      <c r="D297" s="13">
        <v>890.8</v>
      </c>
      <c r="E297" s="14">
        <v>885</v>
      </c>
      <c r="F297" s="14">
        <f t="shared" si="11"/>
        <v>-5.7999999999999545</v>
      </c>
    </row>
    <row r="298" spans="1:6">
      <c r="A298" s="11" t="s">
        <v>411</v>
      </c>
      <c r="B298" s="24" t="s">
        <v>698</v>
      </c>
      <c r="C298" s="12" t="s">
        <v>410</v>
      </c>
      <c r="D298" s="13">
        <v>197.5</v>
      </c>
      <c r="E298" s="14">
        <v>146.1</v>
      </c>
      <c r="F298" s="14">
        <f t="shared" si="11"/>
        <v>-51.400000000000006</v>
      </c>
    </row>
    <row r="299" spans="1:6">
      <c r="A299" s="11" t="s">
        <v>412</v>
      </c>
      <c r="B299" s="24" t="s">
        <v>699</v>
      </c>
      <c r="C299" s="12" t="s">
        <v>224</v>
      </c>
      <c r="D299" s="13">
        <v>9596.7999999999993</v>
      </c>
      <c r="E299" s="14">
        <v>10604.9</v>
      </c>
      <c r="F299" s="14">
        <f t="shared" si="11"/>
        <v>1008.1000000000004</v>
      </c>
    </row>
    <row r="300" spans="1:6">
      <c r="A300" s="11" t="s">
        <v>413</v>
      </c>
      <c r="B300" s="24" t="s">
        <v>700</v>
      </c>
      <c r="C300" s="12" t="s">
        <v>247</v>
      </c>
      <c r="D300" s="13">
        <v>395</v>
      </c>
      <c r="E300" s="14">
        <v>367</v>
      </c>
      <c r="F300" s="14">
        <f t="shared" si="11"/>
        <v>-28</v>
      </c>
    </row>
    <row r="301" spans="1:6">
      <c r="A301" s="11" t="s">
        <v>414</v>
      </c>
      <c r="B301" s="24" t="s">
        <v>701</v>
      </c>
      <c r="C301" s="12" t="s">
        <v>306</v>
      </c>
      <c r="D301" s="13">
        <v>751.4</v>
      </c>
      <c r="E301" s="14">
        <v>756.5</v>
      </c>
      <c r="F301" s="14">
        <f t="shared" si="11"/>
        <v>5.1000000000000227</v>
      </c>
    </row>
    <row r="302" spans="1:6">
      <c r="A302" s="11" t="s">
        <v>415</v>
      </c>
      <c r="B302" s="24" t="s">
        <v>702</v>
      </c>
      <c r="C302" s="12" t="s">
        <v>38</v>
      </c>
      <c r="D302" s="13">
        <v>19435</v>
      </c>
      <c r="E302" s="14">
        <v>18735.7</v>
      </c>
      <c r="F302" s="14">
        <f t="shared" si="11"/>
        <v>-699.29999999999927</v>
      </c>
    </row>
    <row r="303" spans="1:6">
      <c r="A303" s="11" t="s">
        <v>416</v>
      </c>
      <c r="B303" s="24" t="s">
        <v>703</v>
      </c>
      <c r="C303" s="12" t="s">
        <v>219</v>
      </c>
      <c r="D303" s="13">
        <v>13342</v>
      </c>
      <c r="E303" s="14">
        <v>13219.4</v>
      </c>
      <c r="F303" s="14">
        <f t="shared" si="11"/>
        <v>-122.60000000000036</v>
      </c>
    </row>
    <row r="304" spans="1:6">
      <c r="A304" s="11" t="s">
        <v>417</v>
      </c>
      <c r="B304" s="24" t="s">
        <v>704</v>
      </c>
      <c r="C304" s="12" t="s">
        <v>222</v>
      </c>
      <c r="D304" s="13">
        <v>129</v>
      </c>
      <c r="E304" s="14">
        <v>109</v>
      </c>
      <c r="F304" s="14">
        <f t="shared" si="11"/>
        <v>-20</v>
      </c>
    </row>
    <row r="305" spans="1:6">
      <c r="A305" s="11" t="s">
        <v>418</v>
      </c>
      <c r="B305" s="24" t="s">
        <v>705</v>
      </c>
      <c r="C305" s="12" t="s">
        <v>419</v>
      </c>
      <c r="D305" s="13">
        <v>1525.7</v>
      </c>
      <c r="E305" s="14">
        <v>1235</v>
      </c>
      <c r="F305" s="14">
        <f t="shared" si="11"/>
        <v>-290.70000000000005</v>
      </c>
    </row>
    <row r="306" spans="1:6">
      <c r="A306" s="11" t="s">
        <v>420</v>
      </c>
      <c r="B306" s="24" t="s">
        <v>706</v>
      </c>
      <c r="C306" s="12" t="s">
        <v>419</v>
      </c>
      <c r="D306" s="13">
        <v>518.5</v>
      </c>
      <c r="E306" s="14">
        <v>465</v>
      </c>
      <c r="F306" s="14">
        <f t="shared" si="11"/>
        <v>-53.5</v>
      </c>
    </row>
    <row r="307" spans="1:6">
      <c r="A307" s="11" t="s">
        <v>421</v>
      </c>
      <c r="B307" s="24" t="s">
        <v>707</v>
      </c>
      <c r="C307" s="12" t="s">
        <v>419</v>
      </c>
      <c r="D307" s="13">
        <v>282</v>
      </c>
      <c r="E307" s="14">
        <v>496.6</v>
      </c>
      <c r="F307" s="14">
        <f t="shared" si="11"/>
        <v>214.60000000000002</v>
      </c>
    </row>
    <row r="308" spans="1:6">
      <c r="A308" s="11" t="s">
        <v>422</v>
      </c>
      <c r="B308" s="24" t="s">
        <v>708</v>
      </c>
      <c r="C308" s="12" t="s">
        <v>419</v>
      </c>
      <c r="D308" s="13">
        <v>1652</v>
      </c>
      <c r="E308" s="14">
        <v>1604.4</v>
      </c>
      <c r="F308" s="14">
        <f t="shared" si="11"/>
        <v>-47.599999999999909</v>
      </c>
    </row>
    <row r="309" spans="1:6">
      <c r="A309" s="11" t="s">
        <v>423</v>
      </c>
      <c r="B309" s="24" t="s">
        <v>709</v>
      </c>
      <c r="C309" s="12" t="s">
        <v>261</v>
      </c>
      <c r="D309" s="13">
        <v>388</v>
      </c>
      <c r="E309" s="14">
        <v>338.5</v>
      </c>
      <c r="F309" s="14">
        <f t="shared" si="11"/>
        <v>-49.5</v>
      </c>
    </row>
    <row r="310" spans="1:6">
      <c r="A310" s="11" t="s">
        <v>424</v>
      </c>
      <c r="B310" s="24" t="s">
        <v>710</v>
      </c>
      <c r="C310" s="12" t="s">
        <v>306</v>
      </c>
      <c r="D310" s="13">
        <v>844.3</v>
      </c>
      <c r="E310" s="14">
        <v>927</v>
      </c>
      <c r="F310" s="14">
        <f t="shared" si="11"/>
        <v>82.700000000000045</v>
      </c>
    </row>
    <row r="311" spans="1:6">
      <c r="A311" s="11" t="s">
        <v>425</v>
      </c>
      <c r="B311" s="24" t="s">
        <v>711</v>
      </c>
      <c r="C311" s="12" t="s">
        <v>232</v>
      </c>
      <c r="D311" s="13">
        <v>220.5</v>
      </c>
      <c r="E311" s="14">
        <v>222</v>
      </c>
      <c r="F311" s="14">
        <f t="shared" si="11"/>
        <v>1.5</v>
      </c>
    </row>
    <row r="312" spans="1:6">
      <c r="A312" s="11" t="s">
        <v>426</v>
      </c>
      <c r="B312" s="24" t="s">
        <v>712</v>
      </c>
      <c r="C312" s="12" t="s">
        <v>242</v>
      </c>
      <c r="D312" s="13">
        <v>133</v>
      </c>
      <c r="E312" s="14">
        <v>139</v>
      </c>
      <c r="F312" s="14">
        <f t="shared" si="11"/>
        <v>6</v>
      </c>
    </row>
    <row r="313" spans="1:6" ht="12.75" thickBot="1">
      <c r="A313" s="11" t="s">
        <v>427</v>
      </c>
      <c r="B313" s="24" t="s">
        <v>713</v>
      </c>
      <c r="C313" s="12" t="s">
        <v>77</v>
      </c>
      <c r="D313" s="18">
        <v>28218.6</v>
      </c>
      <c r="E313" s="19">
        <v>26548</v>
      </c>
      <c r="F313" s="19">
        <f t="shared" si="11"/>
        <v>-1670.5999999999985</v>
      </c>
    </row>
    <row r="314" spans="1:6" ht="12.75" thickTop="1">
      <c r="A314" s="11"/>
      <c r="B314" s="12"/>
      <c r="C314" s="12"/>
      <c r="D314" s="20"/>
      <c r="E314" s="2"/>
      <c r="F314" s="2"/>
    </row>
    <row r="315" spans="1:6">
      <c r="A315" s="5" t="s">
        <v>428</v>
      </c>
      <c r="B315" s="21"/>
      <c r="C315" s="2"/>
      <c r="D315" s="22">
        <f>SUM(D6:D313)</f>
        <v>443301.8</v>
      </c>
      <c r="E315" s="22">
        <f>SUM(E6:E313)</f>
        <v>453362.30000000016</v>
      </c>
      <c r="F315" s="22">
        <f>SUM(F6:F313)</f>
        <v>10825.299999999994</v>
      </c>
    </row>
  </sheetData>
  <sortState ref="A6:F313">
    <sortCondition ref="A6:A313"/>
  </sortState>
  <printOptions gridLines="1"/>
  <pageMargins left="0.45" right="0.45" top="0.5" bottom="0.5" header="0.3" footer="0.3"/>
  <pageSetup orientation="portrait" r:id="rId1"/>
  <headerFooter>
    <oddFooter>&amp;RSF1002.xls (FTE)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"/>
  <cols>
    <col min="1" max="1" width="9.140625" style="4" customWidth="1"/>
    <col min="2" max="2" width="22" style="4" customWidth="1"/>
    <col min="3" max="3" width="15.140625" style="4" customWidth="1"/>
    <col min="4" max="6" width="13.85546875" style="4" customWidth="1"/>
    <col min="7" max="16384" width="9.140625" style="4"/>
  </cols>
  <sheetData>
    <row r="1" spans="1:6">
      <c r="A1" s="50">
        <v>40387</v>
      </c>
      <c r="D1" s="49" t="s">
        <v>0</v>
      </c>
      <c r="E1" s="49" t="s">
        <v>1</v>
      </c>
      <c r="F1" s="49" t="s">
        <v>2</v>
      </c>
    </row>
    <row r="3" spans="1:6" ht="36.75" thickBot="1">
      <c r="A3" s="43" t="s">
        <v>429</v>
      </c>
      <c r="B3" s="45" t="s">
        <v>10</v>
      </c>
      <c r="C3" s="45" t="s">
        <v>430</v>
      </c>
      <c r="D3" s="55" t="s">
        <v>431</v>
      </c>
      <c r="E3" s="55" t="s">
        <v>432</v>
      </c>
      <c r="F3" s="56" t="s">
        <v>714</v>
      </c>
    </row>
    <row r="4" spans="1:6">
      <c r="A4" s="26" t="s">
        <v>13</v>
      </c>
      <c r="B4" s="24" t="s">
        <v>433</v>
      </c>
      <c r="C4" s="24" t="s">
        <v>14</v>
      </c>
      <c r="D4" s="27">
        <v>33549101</v>
      </c>
      <c r="E4" s="28">
        <v>50236674</v>
      </c>
      <c r="F4" s="27">
        <f>E4-D4</f>
        <v>16687573</v>
      </c>
    </row>
    <row r="5" spans="1:6">
      <c r="A5" s="26" t="s">
        <v>15</v>
      </c>
      <c r="B5" s="24" t="s">
        <v>434</v>
      </c>
      <c r="C5" s="24" t="s">
        <v>16</v>
      </c>
      <c r="D5" s="27">
        <v>31791150</v>
      </c>
      <c r="E5" s="28">
        <v>34668757</v>
      </c>
      <c r="F5" s="33">
        <f t="shared" ref="F5:F68" si="0">E5-D5</f>
        <v>2877607</v>
      </c>
    </row>
    <row r="6" spans="1:6">
      <c r="A6" s="26" t="s">
        <v>17</v>
      </c>
      <c r="B6" s="24" t="s">
        <v>435</v>
      </c>
      <c r="C6" s="24" t="s">
        <v>18</v>
      </c>
      <c r="D6" s="27">
        <v>17921548</v>
      </c>
      <c r="E6" s="28">
        <v>14737460</v>
      </c>
      <c r="F6" s="33">
        <f t="shared" si="0"/>
        <v>-3184088</v>
      </c>
    </row>
    <row r="7" spans="1:6">
      <c r="A7" s="29" t="s">
        <v>19</v>
      </c>
      <c r="B7" s="24" t="s">
        <v>436</v>
      </c>
      <c r="C7" s="24" t="s">
        <v>20</v>
      </c>
      <c r="D7" s="27">
        <v>14061955</v>
      </c>
      <c r="E7" s="34" t="s">
        <v>21</v>
      </c>
      <c r="F7" s="34" t="s">
        <v>21</v>
      </c>
    </row>
    <row r="8" spans="1:6">
      <c r="A8" s="26" t="s">
        <v>22</v>
      </c>
      <c r="B8" s="24" t="s">
        <v>437</v>
      </c>
      <c r="C8" s="24" t="s">
        <v>23</v>
      </c>
      <c r="D8" s="27">
        <v>22434001</v>
      </c>
      <c r="E8" s="28">
        <v>21997124</v>
      </c>
      <c r="F8" s="33">
        <f t="shared" si="0"/>
        <v>-436877</v>
      </c>
    </row>
    <row r="9" spans="1:6">
      <c r="A9" s="26" t="s">
        <v>24</v>
      </c>
      <c r="B9" s="24" t="s">
        <v>438</v>
      </c>
      <c r="C9" s="24" t="s">
        <v>25</v>
      </c>
      <c r="D9" s="34" t="s">
        <v>21</v>
      </c>
      <c r="E9" s="28">
        <v>29542255</v>
      </c>
      <c r="F9" s="34" t="s">
        <v>21</v>
      </c>
    </row>
    <row r="10" spans="1:6">
      <c r="A10" s="26" t="s">
        <v>26</v>
      </c>
      <c r="B10" s="24" t="s">
        <v>439</v>
      </c>
      <c r="C10" s="24" t="s">
        <v>20</v>
      </c>
      <c r="D10" s="34" t="s">
        <v>21</v>
      </c>
      <c r="E10" s="28">
        <v>26875331</v>
      </c>
      <c r="F10" s="34" t="s">
        <v>21</v>
      </c>
    </row>
    <row r="11" spans="1:6">
      <c r="A11" s="26" t="s">
        <v>27</v>
      </c>
      <c r="B11" s="24" t="s">
        <v>440</v>
      </c>
      <c r="C11" s="24" t="s">
        <v>28</v>
      </c>
      <c r="D11" s="34" t="s">
        <v>21</v>
      </c>
      <c r="E11" s="28">
        <v>27092154</v>
      </c>
      <c r="F11" s="34" t="s">
        <v>21</v>
      </c>
    </row>
    <row r="12" spans="1:6">
      <c r="A12" s="26" t="s">
        <v>29</v>
      </c>
      <c r="B12" s="24" t="s">
        <v>441</v>
      </c>
      <c r="C12" s="24" t="s">
        <v>30</v>
      </c>
      <c r="D12" s="34" t="s">
        <v>21</v>
      </c>
      <c r="E12" s="28">
        <v>34207553</v>
      </c>
      <c r="F12" s="34" t="s">
        <v>21</v>
      </c>
    </row>
    <row r="13" spans="1:6">
      <c r="A13" s="26" t="s">
        <v>31</v>
      </c>
      <c r="B13" s="24" t="s">
        <v>442</v>
      </c>
      <c r="C13" s="24" t="s">
        <v>32</v>
      </c>
      <c r="D13" s="34" t="s">
        <v>21</v>
      </c>
      <c r="E13" s="28">
        <v>14052990</v>
      </c>
      <c r="F13" s="34" t="s">
        <v>21</v>
      </c>
    </row>
    <row r="14" spans="1:6">
      <c r="A14" s="26" t="s">
        <v>33</v>
      </c>
      <c r="B14" s="24" t="s">
        <v>443</v>
      </c>
      <c r="C14" s="24" t="s">
        <v>34</v>
      </c>
      <c r="D14" s="34" t="s">
        <v>21</v>
      </c>
      <c r="E14" s="28">
        <v>35266973</v>
      </c>
      <c r="F14" s="34" t="s">
        <v>21</v>
      </c>
    </row>
    <row r="15" spans="1:6">
      <c r="A15" s="26" t="s">
        <v>35</v>
      </c>
      <c r="B15" s="24" t="s">
        <v>444</v>
      </c>
      <c r="C15" s="24" t="s">
        <v>36</v>
      </c>
      <c r="D15" s="27">
        <v>29196352</v>
      </c>
      <c r="E15" s="28">
        <v>35620577</v>
      </c>
      <c r="F15" s="33">
        <f t="shared" si="0"/>
        <v>6424225</v>
      </c>
    </row>
    <row r="16" spans="1:6">
      <c r="A16" s="26" t="s">
        <v>37</v>
      </c>
      <c r="B16" s="24" t="s">
        <v>445</v>
      </c>
      <c r="C16" s="24" t="s">
        <v>38</v>
      </c>
      <c r="D16" s="27">
        <v>130509518</v>
      </c>
      <c r="E16" s="28">
        <v>141589597</v>
      </c>
      <c r="F16" s="33">
        <f t="shared" si="0"/>
        <v>11080079</v>
      </c>
    </row>
    <row r="17" spans="1:6">
      <c r="A17" s="26" t="s">
        <v>39</v>
      </c>
      <c r="B17" s="24" t="s">
        <v>446</v>
      </c>
      <c r="C17" s="24" t="s">
        <v>38</v>
      </c>
      <c r="D17" s="27">
        <v>63763390</v>
      </c>
      <c r="E17" s="28">
        <v>156768915</v>
      </c>
      <c r="F17" s="33">
        <f t="shared" si="0"/>
        <v>93005525</v>
      </c>
    </row>
    <row r="18" spans="1:6">
      <c r="A18" s="26" t="s">
        <v>40</v>
      </c>
      <c r="B18" s="24" t="s">
        <v>447</v>
      </c>
      <c r="C18" s="24" t="s">
        <v>38</v>
      </c>
      <c r="D18" s="27">
        <v>103288117</v>
      </c>
      <c r="E18" s="28">
        <v>146730308</v>
      </c>
      <c r="F18" s="33">
        <f t="shared" si="0"/>
        <v>43442191</v>
      </c>
    </row>
    <row r="19" spans="1:6">
      <c r="A19" s="26" t="s">
        <v>41</v>
      </c>
      <c r="B19" s="24" t="s">
        <v>448</v>
      </c>
      <c r="C19" s="24" t="s">
        <v>42</v>
      </c>
      <c r="D19" s="27">
        <v>24394002</v>
      </c>
      <c r="E19" s="28">
        <v>28531723</v>
      </c>
      <c r="F19" s="33">
        <f t="shared" si="0"/>
        <v>4137721</v>
      </c>
    </row>
    <row r="20" spans="1:6">
      <c r="A20" s="26" t="s">
        <v>43</v>
      </c>
      <c r="B20" s="24" t="s">
        <v>449</v>
      </c>
      <c r="C20" s="24" t="s">
        <v>42</v>
      </c>
      <c r="D20" s="27">
        <v>28245885</v>
      </c>
      <c r="E20" s="28">
        <v>33819855</v>
      </c>
      <c r="F20" s="33">
        <f t="shared" si="0"/>
        <v>5573970</v>
      </c>
    </row>
    <row r="21" spans="1:6">
      <c r="A21" s="26" t="s">
        <v>44</v>
      </c>
      <c r="B21" s="24" t="s">
        <v>450</v>
      </c>
      <c r="C21" s="24" t="s">
        <v>45</v>
      </c>
      <c r="D21" s="27">
        <v>1297483</v>
      </c>
      <c r="E21" s="28">
        <v>2331995</v>
      </c>
      <c r="F21" s="33">
        <f t="shared" si="0"/>
        <v>1034512</v>
      </c>
    </row>
    <row r="22" spans="1:6">
      <c r="A22" s="26" t="s">
        <v>46</v>
      </c>
      <c r="B22" s="24" t="s">
        <v>451</v>
      </c>
      <c r="C22" s="24" t="s">
        <v>47</v>
      </c>
      <c r="D22" s="27">
        <v>27823166</v>
      </c>
      <c r="E22" s="28">
        <v>33665670</v>
      </c>
      <c r="F22" s="33">
        <f t="shared" si="0"/>
        <v>5842504</v>
      </c>
    </row>
    <row r="23" spans="1:6">
      <c r="A23" s="26" t="s">
        <v>48</v>
      </c>
      <c r="B23" s="24" t="s">
        <v>452</v>
      </c>
      <c r="C23" s="24" t="s">
        <v>49</v>
      </c>
      <c r="D23" s="27">
        <v>58534741</v>
      </c>
      <c r="E23" s="28">
        <v>108318942</v>
      </c>
      <c r="F23" s="33">
        <f t="shared" si="0"/>
        <v>49784201</v>
      </c>
    </row>
    <row r="24" spans="1:6">
      <c r="A24" s="26" t="s">
        <v>50</v>
      </c>
      <c r="B24" s="24" t="s">
        <v>453</v>
      </c>
      <c r="C24" s="24" t="s">
        <v>49</v>
      </c>
      <c r="D24" s="27">
        <v>197045912</v>
      </c>
      <c r="E24" s="28">
        <v>334274235</v>
      </c>
      <c r="F24" s="33">
        <f t="shared" si="0"/>
        <v>137228323</v>
      </c>
    </row>
    <row r="25" spans="1:6">
      <c r="A25" s="26" t="s">
        <v>51</v>
      </c>
      <c r="B25" s="24" t="s">
        <v>52</v>
      </c>
      <c r="C25" s="24" t="s">
        <v>52</v>
      </c>
      <c r="D25" s="27">
        <v>21826971</v>
      </c>
      <c r="E25" s="28">
        <v>23652773</v>
      </c>
      <c r="F25" s="33">
        <f t="shared" si="0"/>
        <v>1825802</v>
      </c>
    </row>
    <row r="26" spans="1:6">
      <c r="A26" s="26" t="s">
        <v>53</v>
      </c>
      <c r="B26" s="24" t="s">
        <v>454</v>
      </c>
      <c r="C26" s="24" t="s">
        <v>52</v>
      </c>
      <c r="D26" s="27">
        <v>9987428</v>
      </c>
      <c r="E26" s="28">
        <v>9023219</v>
      </c>
      <c r="F26" s="33">
        <f t="shared" si="0"/>
        <v>-964209</v>
      </c>
    </row>
    <row r="27" spans="1:6">
      <c r="A27" s="26" t="s">
        <v>54</v>
      </c>
      <c r="B27" s="24" t="s">
        <v>455</v>
      </c>
      <c r="C27" s="24" t="s">
        <v>52</v>
      </c>
      <c r="D27" s="27">
        <v>8461383</v>
      </c>
      <c r="E27" s="28">
        <v>9817459</v>
      </c>
      <c r="F27" s="33">
        <f t="shared" si="0"/>
        <v>1356076</v>
      </c>
    </row>
    <row r="28" spans="1:6">
      <c r="A28" s="26" t="s">
        <v>55</v>
      </c>
      <c r="B28" s="24" t="s">
        <v>456</v>
      </c>
      <c r="C28" s="24" t="s">
        <v>56</v>
      </c>
      <c r="D28" s="27">
        <v>241356844</v>
      </c>
      <c r="E28" s="28">
        <v>333884637</v>
      </c>
      <c r="F28" s="33">
        <f t="shared" si="0"/>
        <v>92527793</v>
      </c>
    </row>
    <row r="29" spans="1:6">
      <c r="A29" s="26" t="s">
        <v>57</v>
      </c>
      <c r="B29" s="24" t="s">
        <v>457</v>
      </c>
      <c r="C29" s="24" t="s">
        <v>58</v>
      </c>
      <c r="D29" s="27">
        <v>139605277</v>
      </c>
      <c r="E29" s="28">
        <v>204870192</v>
      </c>
      <c r="F29" s="33">
        <f t="shared" si="0"/>
        <v>65264915</v>
      </c>
    </row>
    <row r="30" spans="1:6">
      <c r="A30" s="26" t="s">
        <v>59</v>
      </c>
      <c r="B30" s="24" t="s">
        <v>458</v>
      </c>
      <c r="C30" s="24" t="s">
        <v>58</v>
      </c>
      <c r="D30" s="27">
        <v>47986015</v>
      </c>
      <c r="E30" s="28">
        <v>67303994</v>
      </c>
      <c r="F30" s="33">
        <f t="shared" si="0"/>
        <v>19317979</v>
      </c>
    </row>
    <row r="31" spans="1:6">
      <c r="A31" s="26" t="s">
        <v>60</v>
      </c>
      <c r="B31" s="24" t="s">
        <v>459</v>
      </c>
      <c r="C31" s="24" t="s">
        <v>61</v>
      </c>
      <c r="D31" s="27">
        <v>63587225</v>
      </c>
      <c r="E31" s="28">
        <v>92826308</v>
      </c>
      <c r="F31" s="33">
        <f t="shared" si="0"/>
        <v>29239083</v>
      </c>
    </row>
    <row r="32" spans="1:6">
      <c r="A32" s="26" t="s">
        <v>62</v>
      </c>
      <c r="B32" s="24" t="s">
        <v>460</v>
      </c>
      <c r="C32" s="24" t="s">
        <v>61</v>
      </c>
      <c r="D32" s="27">
        <v>62646713</v>
      </c>
      <c r="E32" s="28">
        <v>84339565</v>
      </c>
      <c r="F32" s="33">
        <f t="shared" si="0"/>
        <v>21692852</v>
      </c>
    </row>
    <row r="33" spans="1:6">
      <c r="A33" s="26" t="s">
        <v>63</v>
      </c>
      <c r="B33" s="24" t="s">
        <v>461</v>
      </c>
      <c r="C33" s="24" t="s">
        <v>64</v>
      </c>
      <c r="D33" s="27">
        <v>16949444</v>
      </c>
      <c r="E33" s="28">
        <v>21886906</v>
      </c>
      <c r="F33" s="33">
        <f t="shared" si="0"/>
        <v>4937462</v>
      </c>
    </row>
    <row r="34" spans="1:6">
      <c r="A34" s="26" t="s">
        <v>65</v>
      </c>
      <c r="B34" s="24" t="s">
        <v>462</v>
      </c>
      <c r="C34" s="24" t="s">
        <v>64</v>
      </c>
      <c r="D34" s="27">
        <v>21045845</v>
      </c>
      <c r="E34" s="28">
        <v>35177796</v>
      </c>
      <c r="F34" s="33">
        <f t="shared" si="0"/>
        <v>14131951</v>
      </c>
    </row>
    <row r="35" spans="1:6">
      <c r="A35" s="29" t="s">
        <v>66</v>
      </c>
      <c r="B35" s="24" t="s">
        <v>463</v>
      </c>
      <c r="C35" s="24" t="s">
        <v>28</v>
      </c>
      <c r="D35" s="27">
        <v>11135787</v>
      </c>
      <c r="E35" s="34" t="s">
        <v>21</v>
      </c>
      <c r="F35" s="34" t="s">
        <v>21</v>
      </c>
    </row>
    <row r="36" spans="1:6">
      <c r="A36" s="29" t="s">
        <v>67</v>
      </c>
      <c r="B36" s="24" t="s">
        <v>28</v>
      </c>
      <c r="C36" s="24" t="s">
        <v>28</v>
      </c>
      <c r="D36" s="27">
        <v>12425084</v>
      </c>
      <c r="E36" s="34" t="s">
        <v>21</v>
      </c>
      <c r="F36" s="34" t="s">
        <v>21</v>
      </c>
    </row>
    <row r="37" spans="1:6">
      <c r="A37" s="26" t="s">
        <v>68</v>
      </c>
      <c r="B37" s="24" t="s">
        <v>464</v>
      </c>
      <c r="C37" s="24" t="s">
        <v>28</v>
      </c>
      <c r="D37" s="27">
        <v>23473912</v>
      </c>
      <c r="E37" s="28">
        <v>25541558</v>
      </c>
      <c r="F37" s="33">
        <f t="shared" si="0"/>
        <v>2067646</v>
      </c>
    </row>
    <row r="38" spans="1:6">
      <c r="A38" s="26" t="s">
        <v>69</v>
      </c>
      <c r="B38" s="24" t="s">
        <v>465</v>
      </c>
      <c r="C38" s="24" t="s">
        <v>28</v>
      </c>
      <c r="D38" s="27">
        <v>18652826</v>
      </c>
      <c r="E38" s="28">
        <v>22668602</v>
      </c>
      <c r="F38" s="33">
        <f t="shared" si="0"/>
        <v>4015776</v>
      </c>
    </row>
    <row r="39" spans="1:6">
      <c r="A39" s="26" t="s">
        <v>70</v>
      </c>
      <c r="B39" s="24" t="s">
        <v>466</v>
      </c>
      <c r="C39" s="24" t="s">
        <v>71</v>
      </c>
      <c r="D39" s="27">
        <v>12929008</v>
      </c>
      <c r="E39" s="28">
        <v>13791187</v>
      </c>
      <c r="F39" s="33">
        <f t="shared" si="0"/>
        <v>862179</v>
      </c>
    </row>
    <row r="40" spans="1:6">
      <c r="A40" s="26" t="s">
        <v>72</v>
      </c>
      <c r="B40" s="24" t="s">
        <v>71</v>
      </c>
      <c r="C40" s="24" t="s">
        <v>71</v>
      </c>
      <c r="D40" s="27">
        <v>57305706</v>
      </c>
      <c r="E40" s="28">
        <v>66561959</v>
      </c>
      <c r="F40" s="33">
        <f t="shared" si="0"/>
        <v>9256253</v>
      </c>
    </row>
    <row r="41" spans="1:6">
      <c r="A41" s="26" t="s">
        <v>73</v>
      </c>
      <c r="B41" s="24" t="s">
        <v>467</v>
      </c>
      <c r="C41" s="24" t="s">
        <v>74</v>
      </c>
      <c r="D41" s="27">
        <v>14819640</v>
      </c>
      <c r="E41" s="28">
        <v>23038627</v>
      </c>
      <c r="F41" s="33">
        <f t="shared" si="0"/>
        <v>8218987</v>
      </c>
    </row>
    <row r="42" spans="1:6">
      <c r="A42" s="26" t="s">
        <v>75</v>
      </c>
      <c r="B42" s="24" t="s">
        <v>468</v>
      </c>
      <c r="C42" s="24" t="s">
        <v>74</v>
      </c>
      <c r="D42" s="27">
        <v>8793613</v>
      </c>
      <c r="E42" s="28">
        <v>8447023</v>
      </c>
      <c r="F42" s="33">
        <f t="shared" si="0"/>
        <v>-346590</v>
      </c>
    </row>
    <row r="43" spans="1:6">
      <c r="A43" s="26" t="s">
        <v>76</v>
      </c>
      <c r="B43" s="24" t="s">
        <v>469</v>
      </c>
      <c r="C43" s="24" t="s">
        <v>77</v>
      </c>
      <c r="D43" s="27">
        <v>1792617046</v>
      </c>
      <c r="E43" s="28">
        <v>2341368923</v>
      </c>
      <c r="F43" s="33">
        <f t="shared" si="0"/>
        <v>548751877</v>
      </c>
    </row>
    <row r="44" spans="1:6">
      <c r="A44" s="26" t="s">
        <v>78</v>
      </c>
      <c r="B44" s="24" t="s">
        <v>470</v>
      </c>
      <c r="C44" s="24" t="s">
        <v>77</v>
      </c>
      <c r="D44" s="27">
        <v>75600992</v>
      </c>
      <c r="E44" s="28">
        <v>127733446</v>
      </c>
      <c r="F44" s="33">
        <f t="shared" si="0"/>
        <v>52132454</v>
      </c>
    </row>
    <row r="45" spans="1:6">
      <c r="A45" s="26" t="s">
        <v>79</v>
      </c>
      <c r="B45" s="24" t="s">
        <v>471</v>
      </c>
      <c r="C45" s="24" t="s">
        <v>77</v>
      </c>
      <c r="D45" s="27">
        <v>180356211</v>
      </c>
      <c r="E45" s="28">
        <v>241950312</v>
      </c>
      <c r="F45" s="33">
        <f t="shared" si="0"/>
        <v>61594101</v>
      </c>
    </row>
    <row r="46" spans="1:6">
      <c r="A46" s="26" t="s">
        <v>80</v>
      </c>
      <c r="B46" s="24" t="s">
        <v>472</v>
      </c>
      <c r="C46" s="24" t="s">
        <v>77</v>
      </c>
      <c r="D46" s="27">
        <v>253621775</v>
      </c>
      <c r="E46" s="28">
        <v>391258180</v>
      </c>
      <c r="F46" s="33">
        <f t="shared" si="0"/>
        <v>137636405</v>
      </c>
    </row>
    <row r="47" spans="1:6">
      <c r="A47" s="26" t="s">
        <v>81</v>
      </c>
      <c r="B47" s="24" t="s">
        <v>473</v>
      </c>
      <c r="C47" s="24" t="s">
        <v>77</v>
      </c>
      <c r="D47" s="27">
        <v>1399035069</v>
      </c>
      <c r="E47" s="28">
        <v>1808544484</v>
      </c>
      <c r="F47" s="33">
        <f t="shared" si="0"/>
        <v>409509415</v>
      </c>
    </row>
    <row r="48" spans="1:6">
      <c r="A48" s="26" t="s">
        <v>82</v>
      </c>
      <c r="B48" s="24" t="s">
        <v>474</v>
      </c>
      <c r="C48" s="24" t="s">
        <v>83</v>
      </c>
      <c r="D48" s="27">
        <v>61851426</v>
      </c>
      <c r="E48" s="28">
        <v>76819298</v>
      </c>
      <c r="F48" s="33">
        <f t="shared" si="0"/>
        <v>14967872</v>
      </c>
    </row>
    <row r="49" spans="1:6">
      <c r="A49" s="26" t="s">
        <v>84</v>
      </c>
      <c r="B49" s="24" t="s">
        <v>475</v>
      </c>
      <c r="C49" s="24" t="s">
        <v>83</v>
      </c>
      <c r="D49" s="27">
        <v>12772583</v>
      </c>
      <c r="E49" s="28">
        <v>13495645</v>
      </c>
      <c r="F49" s="33">
        <f t="shared" si="0"/>
        <v>723062</v>
      </c>
    </row>
    <row r="50" spans="1:6">
      <c r="A50" s="26" t="s">
        <v>85</v>
      </c>
      <c r="B50" s="24" t="s">
        <v>476</v>
      </c>
      <c r="C50" s="24" t="s">
        <v>86</v>
      </c>
      <c r="D50" s="27">
        <v>25317942</v>
      </c>
      <c r="E50" s="28">
        <v>23608382</v>
      </c>
      <c r="F50" s="33">
        <f t="shared" si="0"/>
        <v>-1709560</v>
      </c>
    </row>
    <row r="51" spans="1:6">
      <c r="A51" s="29" t="s">
        <v>87</v>
      </c>
      <c r="B51" s="24" t="s">
        <v>477</v>
      </c>
      <c r="C51" s="24" t="s">
        <v>86</v>
      </c>
      <c r="D51" s="27">
        <v>8354424</v>
      </c>
      <c r="E51" s="34" t="s">
        <v>21</v>
      </c>
      <c r="F51" s="34" t="s">
        <v>21</v>
      </c>
    </row>
    <row r="52" spans="1:6">
      <c r="A52" s="26" t="s">
        <v>88</v>
      </c>
      <c r="B52" s="24" t="s">
        <v>478</v>
      </c>
      <c r="C52" s="24" t="s">
        <v>89</v>
      </c>
      <c r="D52" s="27">
        <v>27900840</v>
      </c>
      <c r="E52" s="28">
        <v>31606753</v>
      </c>
      <c r="F52" s="33">
        <f t="shared" si="0"/>
        <v>3705913</v>
      </c>
    </row>
    <row r="53" spans="1:6">
      <c r="A53" s="26" t="s">
        <v>90</v>
      </c>
      <c r="B53" s="24" t="s">
        <v>479</v>
      </c>
      <c r="C53" s="24" t="s">
        <v>89</v>
      </c>
      <c r="D53" s="27">
        <v>22790210</v>
      </c>
      <c r="E53" s="28">
        <v>28181720</v>
      </c>
      <c r="F53" s="33">
        <f t="shared" si="0"/>
        <v>5391510</v>
      </c>
    </row>
    <row r="54" spans="1:6">
      <c r="A54" s="26" t="s">
        <v>91</v>
      </c>
      <c r="B54" s="24" t="s">
        <v>92</v>
      </c>
      <c r="C54" s="24" t="s">
        <v>92</v>
      </c>
      <c r="D54" s="27">
        <v>16844313</v>
      </c>
      <c r="E54" s="28">
        <v>18531541</v>
      </c>
      <c r="F54" s="33">
        <f t="shared" si="0"/>
        <v>1687228</v>
      </c>
    </row>
    <row r="55" spans="1:6">
      <c r="A55" s="26" t="s">
        <v>93</v>
      </c>
      <c r="B55" s="24" t="s">
        <v>480</v>
      </c>
      <c r="C55" s="24" t="s">
        <v>92</v>
      </c>
      <c r="D55" s="27">
        <v>8702167</v>
      </c>
      <c r="E55" s="28">
        <v>6428752</v>
      </c>
      <c r="F55" s="33">
        <f t="shared" si="0"/>
        <v>-2273415</v>
      </c>
    </row>
    <row r="56" spans="1:6">
      <c r="A56" s="26" t="s">
        <v>94</v>
      </c>
      <c r="B56" s="24" t="s">
        <v>481</v>
      </c>
      <c r="C56" s="24" t="s">
        <v>95</v>
      </c>
      <c r="D56" s="27">
        <v>22556473</v>
      </c>
      <c r="E56" s="28">
        <v>24079769</v>
      </c>
      <c r="F56" s="33">
        <f t="shared" si="0"/>
        <v>1523296</v>
      </c>
    </row>
    <row r="57" spans="1:6">
      <c r="A57" s="26" t="s">
        <v>96</v>
      </c>
      <c r="B57" s="24" t="s">
        <v>482</v>
      </c>
      <c r="C57" s="24" t="s">
        <v>95</v>
      </c>
      <c r="D57" s="27">
        <v>402397323</v>
      </c>
      <c r="E57" s="28">
        <v>341076192</v>
      </c>
      <c r="F57" s="33">
        <f t="shared" si="0"/>
        <v>-61321131</v>
      </c>
    </row>
    <row r="58" spans="1:6">
      <c r="A58" s="26" t="s">
        <v>97</v>
      </c>
      <c r="B58" s="24" t="s">
        <v>483</v>
      </c>
      <c r="C58" s="24" t="s">
        <v>95</v>
      </c>
      <c r="D58" s="27">
        <v>17880539</v>
      </c>
      <c r="E58" s="28">
        <v>18633182</v>
      </c>
      <c r="F58" s="33">
        <f t="shared" si="0"/>
        <v>752643</v>
      </c>
    </row>
    <row r="59" spans="1:6">
      <c r="A59" s="26" t="s">
        <v>98</v>
      </c>
      <c r="B59" s="24" t="s">
        <v>484</v>
      </c>
      <c r="C59" s="24" t="s">
        <v>99</v>
      </c>
      <c r="D59" s="27">
        <v>13323410</v>
      </c>
      <c r="E59" s="28">
        <v>16348877</v>
      </c>
      <c r="F59" s="33">
        <f t="shared" si="0"/>
        <v>3025467</v>
      </c>
    </row>
    <row r="60" spans="1:6">
      <c r="A60" s="26" t="s">
        <v>100</v>
      </c>
      <c r="B60" s="24" t="s">
        <v>306</v>
      </c>
      <c r="C60" s="24" t="s">
        <v>99</v>
      </c>
      <c r="D60" s="27">
        <v>24527852</v>
      </c>
      <c r="E60" s="28">
        <v>26654477</v>
      </c>
      <c r="F60" s="33">
        <f t="shared" si="0"/>
        <v>2126625</v>
      </c>
    </row>
    <row r="61" spans="1:6">
      <c r="A61" s="26" t="s">
        <v>101</v>
      </c>
      <c r="B61" s="24" t="s">
        <v>485</v>
      </c>
      <c r="C61" s="24" t="s">
        <v>99</v>
      </c>
      <c r="D61" s="27">
        <v>31865898</v>
      </c>
      <c r="E61" s="28">
        <v>33857376</v>
      </c>
      <c r="F61" s="33">
        <f t="shared" si="0"/>
        <v>1991478</v>
      </c>
    </row>
    <row r="62" spans="1:6">
      <c r="A62" s="26" t="s">
        <v>102</v>
      </c>
      <c r="B62" s="24" t="s">
        <v>486</v>
      </c>
      <c r="C62" s="24" t="s">
        <v>99</v>
      </c>
      <c r="D62" s="27">
        <v>17372029</v>
      </c>
      <c r="E62" s="28">
        <v>24202001</v>
      </c>
      <c r="F62" s="33">
        <f t="shared" si="0"/>
        <v>6829972</v>
      </c>
    </row>
    <row r="63" spans="1:6">
      <c r="A63" s="26" t="s">
        <v>103</v>
      </c>
      <c r="B63" s="24" t="s">
        <v>487</v>
      </c>
      <c r="C63" s="24" t="s">
        <v>99</v>
      </c>
      <c r="D63" s="27">
        <v>124535144</v>
      </c>
      <c r="E63" s="28">
        <v>143022870</v>
      </c>
      <c r="F63" s="33">
        <f t="shared" si="0"/>
        <v>18487726</v>
      </c>
    </row>
    <row r="64" spans="1:6">
      <c r="A64" s="26" t="s">
        <v>104</v>
      </c>
      <c r="B64" s="24" t="s">
        <v>488</v>
      </c>
      <c r="C64" s="24" t="s">
        <v>105</v>
      </c>
      <c r="D64" s="27">
        <v>26617477</v>
      </c>
      <c r="E64" s="28">
        <v>28455054</v>
      </c>
      <c r="F64" s="33">
        <f t="shared" si="0"/>
        <v>1837577</v>
      </c>
    </row>
    <row r="65" spans="1:6">
      <c r="A65" s="26" t="s">
        <v>106</v>
      </c>
      <c r="B65" s="24" t="s">
        <v>489</v>
      </c>
      <c r="C65" s="24" t="s">
        <v>105</v>
      </c>
      <c r="D65" s="27">
        <v>26360842</v>
      </c>
      <c r="E65" s="28">
        <v>32538285</v>
      </c>
      <c r="F65" s="33">
        <f t="shared" si="0"/>
        <v>6177443</v>
      </c>
    </row>
    <row r="66" spans="1:6">
      <c r="A66" s="26" t="s">
        <v>107</v>
      </c>
      <c r="B66" s="24" t="s">
        <v>490</v>
      </c>
      <c r="C66" s="24" t="s">
        <v>105</v>
      </c>
      <c r="D66" s="27">
        <v>148139136</v>
      </c>
      <c r="E66" s="28">
        <v>172891727</v>
      </c>
      <c r="F66" s="33">
        <f t="shared" si="0"/>
        <v>24752591</v>
      </c>
    </row>
    <row r="67" spans="1:6">
      <c r="A67" s="26" t="s">
        <v>108</v>
      </c>
      <c r="B67" s="24" t="s">
        <v>491</v>
      </c>
      <c r="C67" s="24" t="s">
        <v>109</v>
      </c>
      <c r="D67" s="27">
        <v>36297963</v>
      </c>
      <c r="E67" s="28">
        <v>68284990</v>
      </c>
      <c r="F67" s="33">
        <f t="shared" si="0"/>
        <v>31987027</v>
      </c>
    </row>
    <row r="68" spans="1:6">
      <c r="A68" s="26" t="s">
        <v>110</v>
      </c>
      <c r="B68" s="24" t="s">
        <v>492</v>
      </c>
      <c r="C68" s="24" t="s">
        <v>109</v>
      </c>
      <c r="D68" s="27">
        <v>19247734</v>
      </c>
      <c r="E68" s="28">
        <v>54547867</v>
      </c>
      <c r="F68" s="33">
        <f t="shared" si="0"/>
        <v>35300133</v>
      </c>
    </row>
    <row r="69" spans="1:6">
      <c r="A69" s="26" t="s">
        <v>111</v>
      </c>
      <c r="B69" s="24" t="s">
        <v>493</v>
      </c>
      <c r="C69" s="24" t="s">
        <v>112</v>
      </c>
      <c r="D69" s="27">
        <v>14044210</v>
      </c>
      <c r="E69" s="28">
        <v>14518228</v>
      </c>
      <c r="F69" s="33">
        <f t="shared" ref="F69:F132" si="1">E69-D69</f>
        <v>474018</v>
      </c>
    </row>
    <row r="70" spans="1:6">
      <c r="A70" s="26" t="s">
        <v>113</v>
      </c>
      <c r="B70" s="24" t="s">
        <v>494</v>
      </c>
      <c r="C70" s="24" t="s">
        <v>112</v>
      </c>
      <c r="D70" s="27">
        <v>37848950</v>
      </c>
      <c r="E70" s="28">
        <v>50061211</v>
      </c>
      <c r="F70" s="33">
        <f t="shared" si="1"/>
        <v>12212261</v>
      </c>
    </row>
    <row r="71" spans="1:6">
      <c r="A71" s="26" t="s">
        <v>114</v>
      </c>
      <c r="B71" s="24" t="s">
        <v>495</v>
      </c>
      <c r="C71" s="24" t="s">
        <v>112</v>
      </c>
      <c r="D71" s="27">
        <v>19119383</v>
      </c>
      <c r="E71" s="28">
        <v>25624761</v>
      </c>
      <c r="F71" s="33">
        <f t="shared" si="1"/>
        <v>6505378</v>
      </c>
    </row>
    <row r="72" spans="1:6">
      <c r="A72" s="26" t="s">
        <v>115</v>
      </c>
      <c r="B72" s="24" t="s">
        <v>380</v>
      </c>
      <c r="C72" s="24" t="s">
        <v>116</v>
      </c>
      <c r="D72" s="27">
        <v>2182718228</v>
      </c>
      <c r="E72" s="28">
        <v>2654710633</v>
      </c>
      <c r="F72" s="33">
        <f t="shared" si="1"/>
        <v>471992405</v>
      </c>
    </row>
    <row r="73" spans="1:6">
      <c r="A73" s="26" t="s">
        <v>117</v>
      </c>
      <c r="B73" s="24" t="s">
        <v>496</v>
      </c>
      <c r="C73" s="24" t="s">
        <v>116</v>
      </c>
      <c r="D73" s="27">
        <v>263818996</v>
      </c>
      <c r="E73" s="28">
        <v>376719530</v>
      </c>
      <c r="F73" s="33">
        <f t="shared" si="1"/>
        <v>112900534</v>
      </c>
    </row>
    <row r="74" spans="1:6">
      <c r="A74" s="26" t="s">
        <v>118</v>
      </c>
      <c r="B74" s="24" t="s">
        <v>497</v>
      </c>
      <c r="C74" s="24" t="s">
        <v>116</v>
      </c>
      <c r="D74" s="27">
        <v>106381312</v>
      </c>
      <c r="E74" s="28">
        <v>131742606</v>
      </c>
      <c r="F74" s="33">
        <f t="shared" si="1"/>
        <v>25361294</v>
      </c>
    </row>
    <row r="75" spans="1:6">
      <c r="A75" s="26" t="s">
        <v>119</v>
      </c>
      <c r="B75" s="24" t="s">
        <v>498</v>
      </c>
      <c r="C75" s="24" t="s">
        <v>116</v>
      </c>
      <c r="D75" s="27">
        <v>76111112</v>
      </c>
      <c r="E75" s="28">
        <v>109871289</v>
      </c>
      <c r="F75" s="33">
        <f t="shared" si="1"/>
        <v>33760177</v>
      </c>
    </row>
    <row r="76" spans="1:6">
      <c r="A76" s="26" t="s">
        <v>120</v>
      </c>
      <c r="B76" s="24" t="s">
        <v>499</v>
      </c>
      <c r="C76" s="24" t="s">
        <v>116</v>
      </c>
      <c r="D76" s="27">
        <v>47286888</v>
      </c>
      <c r="E76" s="28">
        <v>60800858</v>
      </c>
      <c r="F76" s="33">
        <f t="shared" si="1"/>
        <v>13513970</v>
      </c>
    </row>
    <row r="77" spans="1:6">
      <c r="A77" s="26" t="s">
        <v>121</v>
      </c>
      <c r="B77" s="24" t="s">
        <v>500</v>
      </c>
      <c r="C77" s="24" t="s">
        <v>116</v>
      </c>
      <c r="D77" s="27">
        <v>54218358</v>
      </c>
      <c r="E77" s="28">
        <v>56912573</v>
      </c>
      <c r="F77" s="33">
        <f t="shared" si="1"/>
        <v>2694215</v>
      </c>
    </row>
    <row r="78" spans="1:6">
      <c r="A78" s="26" t="s">
        <v>122</v>
      </c>
      <c r="B78" s="24" t="s">
        <v>501</v>
      </c>
      <c r="C78" s="24" t="s">
        <v>116</v>
      </c>
      <c r="D78" s="27">
        <v>144589917</v>
      </c>
      <c r="E78" s="28">
        <v>219631539</v>
      </c>
      <c r="F78" s="33">
        <f t="shared" si="1"/>
        <v>75041622</v>
      </c>
    </row>
    <row r="79" spans="1:6">
      <c r="A79" s="26" t="s">
        <v>123</v>
      </c>
      <c r="B79" s="24" t="s">
        <v>502</v>
      </c>
      <c r="C79" s="24" t="s">
        <v>116</v>
      </c>
      <c r="D79" s="27">
        <v>207715601</v>
      </c>
      <c r="E79" s="28">
        <v>332953704</v>
      </c>
      <c r="F79" s="33">
        <f t="shared" si="1"/>
        <v>125238103</v>
      </c>
    </row>
    <row r="80" spans="1:6">
      <c r="A80" s="26" t="s">
        <v>124</v>
      </c>
      <c r="B80" s="24" t="s">
        <v>503</v>
      </c>
      <c r="C80" s="24" t="s">
        <v>116</v>
      </c>
      <c r="D80" s="27">
        <v>72109592</v>
      </c>
      <c r="E80" s="28">
        <v>93413748</v>
      </c>
      <c r="F80" s="33">
        <f t="shared" si="1"/>
        <v>21304156</v>
      </c>
    </row>
    <row r="81" spans="1:6">
      <c r="A81" s="26" t="s">
        <v>125</v>
      </c>
      <c r="B81" s="24" t="s">
        <v>504</v>
      </c>
      <c r="C81" s="24" t="s">
        <v>116</v>
      </c>
      <c r="D81" s="27">
        <v>21479580</v>
      </c>
      <c r="E81" s="28">
        <v>32032024</v>
      </c>
      <c r="F81" s="33">
        <f t="shared" si="1"/>
        <v>10552444</v>
      </c>
    </row>
    <row r="82" spans="1:6">
      <c r="A82" s="26" t="s">
        <v>126</v>
      </c>
      <c r="B82" s="24" t="s">
        <v>505</v>
      </c>
      <c r="C82" s="24" t="s">
        <v>127</v>
      </c>
      <c r="D82" s="27">
        <v>14314126</v>
      </c>
      <c r="E82" s="28">
        <v>32408773</v>
      </c>
      <c r="F82" s="33">
        <f t="shared" si="1"/>
        <v>18094647</v>
      </c>
    </row>
    <row r="83" spans="1:6">
      <c r="A83" s="26" t="s">
        <v>128</v>
      </c>
      <c r="B83" s="24" t="s">
        <v>506</v>
      </c>
      <c r="C83" s="24" t="s">
        <v>127</v>
      </c>
      <c r="D83" s="27">
        <v>21617395</v>
      </c>
      <c r="E83" s="28">
        <v>41674183</v>
      </c>
      <c r="F83" s="33">
        <f t="shared" si="1"/>
        <v>20056788</v>
      </c>
    </row>
    <row r="84" spans="1:6">
      <c r="A84" s="26" t="s">
        <v>129</v>
      </c>
      <c r="B84" s="24" t="s">
        <v>507</v>
      </c>
      <c r="C84" s="24" t="s">
        <v>127</v>
      </c>
      <c r="D84" s="27">
        <v>15966839</v>
      </c>
      <c r="E84" s="28">
        <v>25943205</v>
      </c>
      <c r="F84" s="33">
        <f t="shared" si="1"/>
        <v>9976366</v>
      </c>
    </row>
    <row r="85" spans="1:6">
      <c r="A85" s="26" t="s">
        <v>130</v>
      </c>
      <c r="B85" s="24" t="s">
        <v>508</v>
      </c>
      <c r="C85" s="24" t="s">
        <v>131</v>
      </c>
      <c r="D85" s="27">
        <v>20293743</v>
      </c>
      <c r="E85" s="28">
        <v>21204907</v>
      </c>
      <c r="F85" s="33">
        <f t="shared" si="1"/>
        <v>911164</v>
      </c>
    </row>
    <row r="86" spans="1:6">
      <c r="A86" s="26" t="s">
        <v>132</v>
      </c>
      <c r="B86" s="24" t="s">
        <v>509</v>
      </c>
      <c r="C86" s="24" t="s">
        <v>131</v>
      </c>
      <c r="D86" s="27">
        <v>37300485</v>
      </c>
      <c r="E86" s="28">
        <v>44910012</v>
      </c>
      <c r="F86" s="33">
        <f t="shared" si="1"/>
        <v>7609527</v>
      </c>
    </row>
    <row r="87" spans="1:6">
      <c r="A87" s="26" t="s">
        <v>133</v>
      </c>
      <c r="B87" s="24" t="s">
        <v>510</v>
      </c>
      <c r="C87" s="24" t="s">
        <v>134</v>
      </c>
      <c r="D87" s="27">
        <v>28735927</v>
      </c>
      <c r="E87" s="28">
        <v>33174932</v>
      </c>
      <c r="F87" s="33">
        <f t="shared" si="1"/>
        <v>4439005</v>
      </c>
    </row>
    <row r="88" spans="1:6">
      <c r="A88" s="26" t="s">
        <v>135</v>
      </c>
      <c r="B88" s="24" t="s">
        <v>511</v>
      </c>
      <c r="C88" s="24" t="s">
        <v>134</v>
      </c>
      <c r="D88" s="27">
        <v>11520791</v>
      </c>
      <c r="E88" s="28">
        <v>15245462</v>
      </c>
      <c r="F88" s="33">
        <f t="shared" si="1"/>
        <v>3724671</v>
      </c>
    </row>
    <row r="89" spans="1:6">
      <c r="A89" s="29" t="s">
        <v>136</v>
      </c>
      <c r="B89" s="24" t="s">
        <v>512</v>
      </c>
      <c r="C89" s="24" t="s">
        <v>20</v>
      </c>
      <c r="D89" s="27">
        <v>9184189</v>
      </c>
      <c r="E89" s="34" t="s">
        <v>21</v>
      </c>
      <c r="F89" s="34" t="s">
        <v>21</v>
      </c>
    </row>
    <row r="90" spans="1:6">
      <c r="A90" s="29" t="s">
        <v>137</v>
      </c>
      <c r="B90" s="24" t="s">
        <v>20</v>
      </c>
      <c r="C90" s="24" t="s">
        <v>20</v>
      </c>
      <c r="D90" s="27">
        <v>10120245</v>
      </c>
      <c r="E90" s="34" t="s">
        <v>21</v>
      </c>
      <c r="F90" s="34" t="s">
        <v>21</v>
      </c>
    </row>
    <row r="91" spans="1:6">
      <c r="A91" s="26" t="s">
        <v>138</v>
      </c>
      <c r="B91" s="24" t="s">
        <v>513</v>
      </c>
      <c r="C91" s="24" t="s">
        <v>139</v>
      </c>
      <c r="D91" s="27">
        <v>25437664</v>
      </c>
      <c r="E91" s="28">
        <v>42116647</v>
      </c>
      <c r="F91" s="33">
        <f t="shared" si="1"/>
        <v>16678983</v>
      </c>
    </row>
    <row r="92" spans="1:6">
      <c r="A92" s="26" t="s">
        <v>140</v>
      </c>
      <c r="B92" s="24" t="s">
        <v>514</v>
      </c>
      <c r="C92" s="24" t="s">
        <v>141</v>
      </c>
      <c r="D92" s="27">
        <v>19663944</v>
      </c>
      <c r="E92" s="28">
        <v>18661764</v>
      </c>
      <c r="F92" s="33">
        <f t="shared" si="1"/>
        <v>-1002180</v>
      </c>
    </row>
    <row r="93" spans="1:6">
      <c r="A93" s="26" t="s">
        <v>142</v>
      </c>
      <c r="B93" s="24" t="s">
        <v>515</v>
      </c>
      <c r="C93" s="24" t="s">
        <v>141</v>
      </c>
      <c r="D93" s="27">
        <v>6200184</v>
      </c>
      <c r="E93" s="28">
        <v>12681353</v>
      </c>
      <c r="F93" s="33">
        <f t="shared" si="1"/>
        <v>6481169</v>
      </c>
    </row>
    <row r="94" spans="1:6">
      <c r="A94" s="26" t="s">
        <v>143</v>
      </c>
      <c r="B94" s="24" t="s">
        <v>516</v>
      </c>
      <c r="C94" s="24" t="s">
        <v>144</v>
      </c>
      <c r="D94" s="27">
        <v>35475810</v>
      </c>
      <c r="E94" s="28">
        <v>38722190</v>
      </c>
      <c r="F94" s="33">
        <f t="shared" si="1"/>
        <v>3246380</v>
      </c>
    </row>
    <row r="95" spans="1:6">
      <c r="A95" s="26" t="s">
        <v>145</v>
      </c>
      <c r="B95" s="24" t="s">
        <v>517</v>
      </c>
      <c r="C95" s="24" t="s">
        <v>146</v>
      </c>
      <c r="D95" s="27">
        <v>7913792</v>
      </c>
      <c r="E95" s="28">
        <v>6689653</v>
      </c>
      <c r="F95" s="33">
        <f t="shared" si="1"/>
        <v>-1224139</v>
      </c>
    </row>
    <row r="96" spans="1:6">
      <c r="A96" s="26" t="s">
        <v>147</v>
      </c>
      <c r="B96" s="24" t="s">
        <v>146</v>
      </c>
      <c r="C96" s="24" t="s">
        <v>146</v>
      </c>
      <c r="D96" s="27">
        <v>14043063</v>
      </c>
      <c r="E96" s="28">
        <v>17982244</v>
      </c>
      <c r="F96" s="33">
        <f t="shared" si="1"/>
        <v>3939181</v>
      </c>
    </row>
    <row r="97" spans="1:6">
      <c r="A97" s="26" t="s">
        <v>148</v>
      </c>
      <c r="B97" s="24" t="s">
        <v>518</v>
      </c>
      <c r="C97" s="24" t="s">
        <v>149</v>
      </c>
      <c r="D97" s="27">
        <v>31763335</v>
      </c>
      <c r="E97" s="28">
        <v>37588129</v>
      </c>
      <c r="F97" s="33">
        <f t="shared" si="1"/>
        <v>5824794</v>
      </c>
    </row>
    <row r="98" spans="1:6">
      <c r="A98" s="26" t="s">
        <v>150</v>
      </c>
      <c r="B98" s="24" t="s">
        <v>519</v>
      </c>
      <c r="C98" s="24" t="s">
        <v>149</v>
      </c>
      <c r="D98" s="27">
        <v>18930553</v>
      </c>
      <c r="E98" s="28">
        <v>22299949</v>
      </c>
      <c r="F98" s="33">
        <f t="shared" si="1"/>
        <v>3369396</v>
      </c>
    </row>
    <row r="99" spans="1:6">
      <c r="A99" s="26" t="s">
        <v>151</v>
      </c>
      <c r="B99" s="24" t="s">
        <v>520</v>
      </c>
      <c r="C99" s="24" t="s">
        <v>149</v>
      </c>
      <c r="D99" s="27">
        <v>32885691</v>
      </c>
      <c r="E99" s="28">
        <v>44571482</v>
      </c>
      <c r="F99" s="33">
        <f t="shared" si="1"/>
        <v>11685791</v>
      </c>
    </row>
    <row r="100" spans="1:6">
      <c r="A100" s="26" t="s">
        <v>152</v>
      </c>
      <c r="B100" s="24" t="s">
        <v>89</v>
      </c>
      <c r="C100" s="24" t="s">
        <v>149</v>
      </c>
      <c r="D100" s="27">
        <v>85258397</v>
      </c>
      <c r="E100" s="28">
        <v>117721270</v>
      </c>
      <c r="F100" s="33">
        <f t="shared" si="1"/>
        <v>32462873</v>
      </c>
    </row>
    <row r="101" spans="1:6">
      <c r="A101" s="26" t="s">
        <v>153</v>
      </c>
      <c r="B101" s="24" t="s">
        <v>521</v>
      </c>
      <c r="C101" s="24" t="s">
        <v>154</v>
      </c>
      <c r="D101" s="27">
        <v>8967240</v>
      </c>
      <c r="E101" s="28">
        <v>14220956</v>
      </c>
      <c r="F101" s="33">
        <f t="shared" si="1"/>
        <v>5253716</v>
      </c>
    </row>
    <row r="102" spans="1:6">
      <c r="A102" s="26" t="s">
        <v>155</v>
      </c>
      <c r="B102" s="24" t="s">
        <v>522</v>
      </c>
      <c r="C102" s="24" t="s">
        <v>154</v>
      </c>
      <c r="D102" s="27">
        <v>11933660</v>
      </c>
      <c r="E102" s="28">
        <v>10585720</v>
      </c>
      <c r="F102" s="33">
        <f t="shared" si="1"/>
        <v>-1347940</v>
      </c>
    </row>
    <row r="103" spans="1:6">
      <c r="A103" s="26" t="s">
        <v>156</v>
      </c>
      <c r="B103" s="24" t="s">
        <v>523</v>
      </c>
      <c r="C103" s="24" t="s">
        <v>154</v>
      </c>
      <c r="D103" s="27">
        <v>13761329</v>
      </c>
      <c r="E103" s="28">
        <v>18809863</v>
      </c>
      <c r="F103" s="33">
        <f t="shared" si="1"/>
        <v>5048534</v>
      </c>
    </row>
    <row r="104" spans="1:6">
      <c r="A104" s="26" t="s">
        <v>157</v>
      </c>
      <c r="B104" s="24" t="s">
        <v>524</v>
      </c>
      <c r="C104" s="24" t="s">
        <v>158</v>
      </c>
      <c r="D104" s="27">
        <v>26383148</v>
      </c>
      <c r="E104" s="28">
        <v>29517201</v>
      </c>
      <c r="F104" s="33">
        <f t="shared" si="1"/>
        <v>3134053</v>
      </c>
    </row>
    <row r="105" spans="1:6">
      <c r="A105" s="29" t="s">
        <v>159</v>
      </c>
      <c r="B105" s="24" t="s">
        <v>525</v>
      </c>
      <c r="C105" s="24" t="s">
        <v>158</v>
      </c>
      <c r="D105" s="27">
        <v>5825765</v>
      </c>
      <c r="E105" s="34" t="s">
        <v>21</v>
      </c>
      <c r="F105" s="34" t="s">
        <v>21</v>
      </c>
    </row>
    <row r="106" spans="1:6">
      <c r="A106" s="26" t="s">
        <v>160</v>
      </c>
      <c r="B106" s="24" t="s">
        <v>526</v>
      </c>
      <c r="C106" s="24" t="s">
        <v>18</v>
      </c>
      <c r="D106" s="27">
        <v>24435602</v>
      </c>
      <c r="E106" s="28">
        <v>35639406</v>
      </c>
      <c r="F106" s="33">
        <f t="shared" si="1"/>
        <v>11203804</v>
      </c>
    </row>
    <row r="107" spans="1:6">
      <c r="A107" s="26" t="s">
        <v>161</v>
      </c>
      <c r="B107" s="24" t="s">
        <v>162</v>
      </c>
      <c r="C107" s="24" t="s">
        <v>162</v>
      </c>
      <c r="D107" s="27">
        <v>21104427</v>
      </c>
      <c r="E107" s="28">
        <v>23825863</v>
      </c>
      <c r="F107" s="33">
        <f t="shared" si="1"/>
        <v>2721436</v>
      </c>
    </row>
    <row r="108" spans="1:6">
      <c r="A108" s="26" t="s">
        <v>163</v>
      </c>
      <c r="B108" s="24" t="s">
        <v>527</v>
      </c>
      <c r="C108" s="24" t="s">
        <v>162</v>
      </c>
      <c r="D108" s="27">
        <v>11385566</v>
      </c>
      <c r="E108" s="28">
        <v>13215765</v>
      </c>
      <c r="F108" s="33">
        <f t="shared" si="1"/>
        <v>1830199</v>
      </c>
    </row>
    <row r="109" spans="1:6">
      <c r="A109" s="26" t="s">
        <v>164</v>
      </c>
      <c r="B109" s="24" t="s">
        <v>528</v>
      </c>
      <c r="C109" s="24" t="s">
        <v>165</v>
      </c>
      <c r="D109" s="27">
        <v>38378255</v>
      </c>
      <c r="E109" s="28">
        <v>53284643</v>
      </c>
      <c r="F109" s="33">
        <f t="shared" si="1"/>
        <v>14906388</v>
      </c>
    </row>
    <row r="110" spans="1:6">
      <c r="A110" s="29" t="s">
        <v>166</v>
      </c>
      <c r="B110" s="24" t="s">
        <v>529</v>
      </c>
      <c r="C110" s="24" t="s">
        <v>25</v>
      </c>
      <c r="D110" s="27">
        <v>7793736</v>
      </c>
      <c r="E110" s="34" t="s">
        <v>21</v>
      </c>
      <c r="F110" s="34" t="s">
        <v>21</v>
      </c>
    </row>
    <row r="111" spans="1:6">
      <c r="A111" s="29" t="s">
        <v>167</v>
      </c>
      <c r="B111" s="24" t="s">
        <v>530</v>
      </c>
      <c r="C111" s="24" t="s">
        <v>25</v>
      </c>
      <c r="D111" s="27">
        <v>9799019</v>
      </c>
      <c r="E111" s="34" t="s">
        <v>21</v>
      </c>
      <c r="F111" s="34" t="s">
        <v>21</v>
      </c>
    </row>
    <row r="112" spans="1:6">
      <c r="A112" s="26" t="s">
        <v>168</v>
      </c>
      <c r="B112" s="24" t="s">
        <v>531</v>
      </c>
      <c r="C112" s="24" t="s">
        <v>25</v>
      </c>
      <c r="D112" s="27">
        <v>18792500</v>
      </c>
      <c r="E112" s="28">
        <v>32243708</v>
      </c>
      <c r="F112" s="33">
        <f t="shared" si="1"/>
        <v>13451208</v>
      </c>
    </row>
    <row r="113" spans="1:6">
      <c r="A113" s="29" t="s">
        <v>169</v>
      </c>
      <c r="B113" s="24" t="s">
        <v>532</v>
      </c>
      <c r="C113" s="24" t="s">
        <v>25</v>
      </c>
      <c r="D113" s="27">
        <v>8001942</v>
      </c>
      <c r="E113" s="34" t="s">
        <v>21</v>
      </c>
      <c r="F113" s="34" t="s">
        <v>21</v>
      </c>
    </row>
    <row r="114" spans="1:6">
      <c r="A114" s="26" t="s">
        <v>170</v>
      </c>
      <c r="B114" s="24" t="s">
        <v>533</v>
      </c>
      <c r="C114" s="24" t="s">
        <v>171</v>
      </c>
      <c r="D114" s="27">
        <v>355081101</v>
      </c>
      <c r="E114" s="28">
        <v>429038448</v>
      </c>
      <c r="F114" s="33">
        <f t="shared" si="1"/>
        <v>73957347</v>
      </c>
    </row>
    <row r="115" spans="1:6">
      <c r="A115" s="26" t="s">
        <v>172</v>
      </c>
      <c r="B115" s="24" t="s">
        <v>534</v>
      </c>
      <c r="C115" s="24" t="s">
        <v>171</v>
      </c>
      <c r="D115" s="27">
        <v>50750443</v>
      </c>
      <c r="E115" s="28">
        <v>60084430</v>
      </c>
      <c r="F115" s="33">
        <f t="shared" si="1"/>
        <v>9333987</v>
      </c>
    </row>
    <row r="116" spans="1:6">
      <c r="A116" s="26" t="s">
        <v>173</v>
      </c>
      <c r="B116" s="24" t="s">
        <v>535</v>
      </c>
      <c r="C116" s="24" t="s">
        <v>171</v>
      </c>
      <c r="D116" s="27">
        <v>15009287</v>
      </c>
      <c r="E116" s="28">
        <v>19898697</v>
      </c>
      <c r="F116" s="33">
        <f t="shared" si="1"/>
        <v>4889410</v>
      </c>
    </row>
    <row r="117" spans="1:6">
      <c r="A117" s="26" t="s">
        <v>174</v>
      </c>
      <c r="B117" s="24" t="s">
        <v>536</v>
      </c>
      <c r="C117" s="24" t="s">
        <v>175</v>
      </c>
      <c r="D117" s="27">
        <v>186343438</v>
      </c>
      <c r="E117" s="28">
        <v>195488169</v>
      </c>
      <c r="F117" s="33">
        <f t="shared" si="1"/>
        <v>9144731</v>
      </c>
    </row>
    <row r="118" spans="1:6">
      <c r="A118" s="26" t="s">
        <v>176</v>
      </c>
      <c r="B118" s="24" t="s">
        <v>537</v>
      </c>
      <c r="C118" s="24" t="s">
        <v>175</v>
      </c>
      <c r="D118" s="27">
        <v>58110435</v>
      </c>
      <c r="E118" s="28">
        <v>60369282</v>
      </c>
      <c r="F118" s="33">
        <f t="shared" si="1"/>
        <v>2258847</v>
      </c>
    </row>
    <row r="119" spans="1:6">
      <c r="A119" s="26" t="s">
        <v>177</v>
      </c>
      <c r="B119" s="24" t="s">
        <v>538</v>
      </c>
      <c r="C119" s="24" t="s">
        <v>175</v>
      </c>
      <c r="D119" s="27">
        <v>28086220</v>
      </c>
      <c r="E119" s="28">
        <v>32103683</v>
      </c>
      <c r="F119" s="33">
        <f t="shared" si="1"/>
        <v>4017463</v>
      </c>
    </row>
    <row r="120" spans="1:6">
      <c r="A120" s="26" t="s">
        <v>178</v>
      </c>
      <c r="B120" s="24" t="s">
        <v>539</v>
      </c>
      <c r="C120" s="24" t="s">
        <v>175</v>
      </c>
      <c r="D120" s="27">
        <v>13649420</v>
      </c>
      <c r="E120" s="28">
        <v>14915067</v>
      </c>
      <c r="F120" s="33">
        <f t="shared" si="1"/>
        <v>1265647</v>
      </c>
    </row>
    <row r="121" spans="1:6">
      <c r="A121" s="26" t="s">
        <v>179</v>
      </c>
      <c r="B121" s="24" t="s">
        <v>540</v>
      </c>
      <c r="C121" s="24" t="s">
        <v>175</v>
      </c>
      <c r="D121" s="27">
        <v>48884745</v>
      </c>
      <c r="E121" s="28">
        <v>54873155</v>
      </c>
      <c r="F121" s="33">
        <f t="shared" si="1"/>
        <v>5988410</v>
      </c>
    </row>
    <row r="122" spans="1:6">
      <c r="A122" s="26" t="s">
        <v>180</v>
      </c>
      <c r="B122" s="24" t="s">
        <v>541</v>
      </c>
      <c r="C122" s="24" t="s">
        <v>175</v>
      </c>
      <c r="D122" s="27">
        <v>103399003</v>
      </c>
      <c r="E122" s="28">
        <v>120707497</v>
      </c>
      <c r="F122" s="33">
        <f t="shared" si="1"/>
        <v>17308494</v>
      </c>
    </row>
    <row r="123" spans="1:6">
      <c r="A123" s="26" t="s">
        <v>181</v>
      </c>
      <c r="B123" s="24" t="s">
        <v>542</v>
      </c>
      <c r="C123" s="24" t="s">
        <v>182</v>
      </c>
      <c r="D123" s="27">
        <v>11217269</v>
      </c>
      <c r="E123" s="28">
        <v>9471640</v>
      </c>
      <c r="F123" s="33">
        <f t="shared" si="1"/>
        <v>-1745629</v>
      </c>
    </row>
    <row r="124" spans="1:6">
      <c r="A124" s="26" t="s">
        <v>183</v>
      </c>
      <c r="B124" s="24" t="s">
        <v>543</v>
      </c>
      <c r="C124" s="24" t="s">
        <v>182</v>
      </c>
      <c r="D124" s="27">
        <v>50904512</v>
      </c>
      <c r="E124" s="28">
        <v>60558814</v>
      </c>
      <c r="F124" s="33">
        <f t="shared" si="1"/>
        <v>9654302</v>
      </c>
    </row>
    <row r="125" spans="1:6">
      <c r="A125" s="26" t="s">
        <v>184</v>
      </c>
      <c r="B125" s="24" t="s">
        <v>544</v>
      </c>
      <c r="C125" s="24" t="s">
        <v>182</v>
      </c>
      <c r="D125" s="27">
        <v>9242119</v>
      </c>
      <c r="E125" s="28">
        <v>8598193</v>
      </c>
      <c r="F125" s="33">
        <f t="shared" si="1"/>
        <v>-643926</v>
      </c>
    </row>
    <row r="126" spans="1:6">
      <c r="A126" s="26" t="s">
        <v>185</v>
      </c>
      <c r="B126" s="24" t="s">
        <v>545</v>
      </c>
      <c r="C126" s="24" t="s">
        <v>186</v>
      </c>
      <c r="D126" s="27">
        <v>48104955</v>
      </c>
      <c r="E126" s="28">
        <v>67845745</v>
      </c>
      <c r="F126" s="33">
        <f t="shared" si="1"/>
        <v>19740790</v>
      </c>
    </row>
    <row r="127" spans="1:6">
      <c r="A127" s="26" t="s">
        <v>187</v>
      </c>
      <c r="B127" s="24" t="s">
        <v>546</v>
      </c>
      <c r="C127" s="24" t="s">
        <v>186</v>
      </c>
      <c r="D127" s="27">
        <v>243491083</v>
      </c>
      <c r="E127" s="28">
        <v>212793119</v>
      </c>
      <c r="F127" s="33">
        <f t="shared" si="1"/>
        <v>-30697964</v>
      </c>
    </row>
    <row r="128" spans="1:6">
      <c r="A128" s="26" t="s">
        <v>188</v>
      </c>
      <c r="B128" s="24" t="s">
        <v>547</v>
      </c>
      <c r="C128" s="24" t="s">
        <v>186</v>
      </c>
      <c r="D128" s="27">
        <v>16200050</v>
      </c>
      <c r="E128" s="28">
        <v>17535317</v>
      </c>
      <c r="F128" s="33">
        <f t="shared" si="1"/>
        <v>1335267</v>
      </c>
    </row>
    <row r="129" spans="1:6">
      <c r="A129" s="26" t="s">
        <v>189</v>
      </c>
      <c r="B129" s="24" t="s">
        <v>548</v>
      </c>
      <c r="C129" s="24" t="s">
        <v>186</v>
      </c>
      <c r="D129" s="27">
        <v>22234225</v>
      </c>
      <c r="E129" s="28">
        <v>36922919</v>
      </c>
      <c r="F129" s="33">
        <f t="shared" si="1"/>
        <v>14688694</v>
      </c>
    </row>
    <row r="130" spans="1:6">
      <c r="A130" s="29" t="s">
        <v>190</v>
      </c>
      <c r="B130" s="24" t="s">
        <v>549</v>
      </c>
      <c r="C130" s="24" t="s">
        <v>32</v>
      </c>
      <c r="D130" s="27">
        <v>7449368</v>
      </c>
      <c r="E130" s="34" t="s">
        <v>21</v>
      </c>
      <c r="F130" s="34" t="s">
        <v>21</v>
      </c>
    </row>
    <row r="131" spans="1:6">
      <c r="A131" s="26" t="s">
        <v>191</v>
      </c>
      <c r="B131" s="24" t="s">
        <v>550</v>
      </c>
      <c r="C131" s="24" t="s">
        <v>32</v>
      </c>
      <c r="D131" s="27">
        <v>23670829</v>
      </c>
      <c r="E131" s="28">
        <v>26286942</v>
      </c>
      <c r="F131" s="33">
        <f t="shared" si="1"/>
        <v>2616113</v>
      </c>
    </row>
    <row r="132" spans="1:6">
      <c r="A132" s="26" t="s">
        <v>192</v>
      </c>
      <c r="B132" s="24" t="s">
        <v>134</v>
      </c>
      <c r="C132" s="24" t="s">
        <v>32</v>
      </c>
      <c r="D132" s="27">
        <v>11069235</v>
      </c>
      <c r="E132" s="28">
        <v>13131843</v>
      </c>
      <c r="F132" s="33">
        <f t="shared" si="1"/>
        <v>2062608</v>
      </c>
    </row>
    <row r="133" spans="1:6">
      <c r="A133" s="26" t="s">
        <v>193</v>
      </c>
      <c r="B133" s="24" t="s">
        <v>194</v>
      </c>
      <c r="C133" s="24" t="s">
        <v>194</v>
      </c>
      <c r="D133" s="27">
        <v>26318248</v>
      </c>
      <c r="E133" s="28">
        <v>33220123</v>
      </c>
      <c r="F133" s="33">
        <f t="shared" ref="F133:F196" si="2">E133-D133</f>
        <v>6901875</v>
      </c>
    </row>
    <row r="134" spans="1:6">
      <c r="A134" s="26" t="s">
        <v>195</v>
      </c>
      <c r="B134" s="24" t="s">
        <v>551</v>
      </c>
      <c r="C134" s="24" t="s">
        <v>194</v>
      </c>
      <c r="D134" s="27">
        <v>39045528</v>
      </c>
      <c r="E134" s="28">
        <v>64199186</v>
      </c>
      <c r="F134" s="33">
        <f t="shared" si="2"/>
        <v>25153658</v>
      </c>
    </row>
    <row r="135" spans="1:6">
      <c r="A135" s="26" t="s">
        <v>196</v>
      </c>
      <c r="B135" s="24" t="s">
        <v>552</v>
      </c>
      <c r="C135" s="24" t="s">
        <v>197</v>
      </c>
      <c r="D135" s="27">
        <v>28352479</v>
      </c>
      <c r="E135" s="28">
        <v>33537794</v>
      </c>
      <c r="F135" s="33">
        <f t="shared" si="2"/>
        <v>5185315</v>
      </c>
    </row>
    <row r="136" spans="1:6">
      <c r="A136" s="26" t="s">
        <v>198</v>
      </c>
      <c r="B136" s="24" t="s">
        <v>553</v>
      </c>
      <c r="C136" s="24" t="s">
        <v>197</v>
      </c>
      <c r="D136" s="27">
        <v>27108396</v>
      </c>
      <c r="E136" s="28">
        <v>31334930</v>
      </c>
      <c r="F136" s="33">
        <f t="shared" si="2"/>
        <v>4226534</v>
      </c>
    </row>
    <row r="137" spans="1:6">
      <c r="A137" s="26" t="s">
        <v>199</v>
      </c>
      <c r="B137" s="24" t="s">
        <v>200</v>
      </c>
      <c r="C137" s="24" t="s">
        <v>200</v>
      </c>
      <c r="D137" s="27">
        <v>55791319</v>
      </c>
      <c r="E137" s="28">
        <v>72114874</v>
      </c>
      <c r="F137" s="33">
        <f t="shared" si="2"/>
        <v>16323555</v>
      </c>
    </row>
    <row r="138" spans="1:6">
      <c r="A138" s="26" t="s">
        <v>201</v>
      </c>
      <c r="B138" s="24" t="s">
        <v>554</v>
      </c>
      <c r="C138" s="24" t="s">
        <v>200</v>
      </c>
      <c r="D138" s="27">
        <v>30980677</v>
      </c>
      <c r="E138" s="28">
        <v>62495297</v>
      </c>
      <c r="F138" s="33">
        <f t="shared" si="2"/>
        <v>31514620</v>
      </c>
    </row>
    <row r="139" spans="1:6">
      <c r="A139" s="26" t="s">
        <v>202</v>
      </c>
      <c r="B139" s="24" t="s">
        <v>555</v>
      </c>
      <c r="C139" s="24" t="s">
        <v>203</v>
      </c>
      <c r="D139" s="27">
        <v>42492806</v>
      </c>
      <c r="E139" s="28">
        <v>46227109</v>
      </c>
      <c r="F139" s="33">
        <f t="shared" si="2"/>
        <v>3734303</v>
      </c>
    </row>
    <row r="140" spans="1:6">
      <c r="A140" s="26" t="s">
        <v>204</v>
      </c>
      <c r="B140" s="24" t="s">
        <v>556</v>
      </c>
      <c r="C140" s="24" t="s">
        <v>203</v>
      </c>
      <c r="D140" s="27">
        <v>15597653</v>
      </c>
      <c r="E140" s="28">
        <v>18118162</v>
      </c>
      <c r="F140" s="33">
        <f t="shared" si="2"/>
        <v>2520509</v>
      </c>
    </row>
    <row r="141" spans="1:6">
      <c r="A141" s="26" t="s">
        <v>205</v>
      </c>
      <c r="B141" s="24" t="s">
        <v>557</v>
      </c>
      <c r="C141" s="24" t="s">
        <v>206</v>
      </c>
      <c r="D141" s="27">
        <v>12531604</v>
      </c>
      <c r="E141" s="28">
        <v>14573504</v>
      </c>
      <c r="F141" s="33">
        <f t="shared" si="2"/>
        <v>2041900</v>
      </c>
    </row>
    <row r="142" spans="1:6">
      <c r="A142" s="26" t="s">
        <v>207</v>
      </c>
      <c r="B142" s="24" t="s">
        <v>558</v>
      </c>
      <c r="C142" s="24" t="s">
        <v>206</v>
      </c>
      <c r="D142" s="27">
        <v>31801567</v>
      </c>
      <c r="E142" s="28">
        <v>40736222</v>
      </c>
      <c r="F142" s="33">
        <f t="shared" si="2"/>
        <v>8934655</v>
      </c>
    </row>
    <row r="143" spans="1:6">
      <c r="A143" s="26" t="s">
        <v>208</v>
      </c>
      <c r="B143" s="24" t="s">
        <v>559</v>
      </c>
      <c r="C143" s="24" t="s">
        <v>206</v>
      </c>
      <c r="D143" s="27">
        <v>19530885</v>
      </c>
      <c r="E143" s="28">
        <v>25447415</v>
      </c>
      <c r="F143" s="33">
        <f t="shared" si="2"/>
        <v>5916530</v>
      </c>
    </row>
    <row r="144" spans="1:6">
      <c r="A144" s="26" t="s">
        <v>209</v>
      </c>
      <c r="B144" s="24" t="s">
        <v>560</v>
      </c>
      <c r="C144" s="24" t="s">
        <v>210</v>
      </c>
      <c r="D144" s="27">
        <v>12107837</v>
      </c>
      <c r="E144" s="28">
        <v>14750534</v>
      </c>
      <c r="F144" s="33">
        <f t="shared" si="2"/>
        <v>2642697</v>
      </c>
    </row>
    <row r="145" spans="1:6">
      <c r="A145" s="26" t="s">
        <v>211</v>
      </c>
      <c r="B145" s="24" t="s">
        <v>561</v>
      </c>
      <c r="C145" s="24" t="s">
        <v>210</v>
      </c>
      <c r="D145" s="27">
        <v>14368715</v>
      </c>
      <c r="E145" s="28">
        <v>15221947</v>
      </c>
      <c r="F145" s="33">
        <f t="shared" si="2"/>
        <v>853232</v>
      </c>
    </row>
    <row r="146" spans="1:6">
      <c r="A146" s="26" t="s">
        <v>212</v>
      </c>
      <c r="B146" s="24" t="s">
        <v>562</v>
      </c>
      <c r="C146" s="24" t="s">
        <v>210</v>
      </c>
      <c r="D146" s="27">
        <v>28978347</v>
      </c>
      <c r="E146" s="28">
        <v>37654994</v>
      </c>
      <c r="F146" s="33">
        <f t="shared" si="2"/>
        <v>8676647</v>
      </c>
    </row>
    <row r="147" spans="1:6">
      <c r="A147" s="26" t="s">
        <v>213</v>
      </c>
      <c r="B147" s="24" t="s">
        <v>563</v>
      </c>
      <c r="C147" s="24" t="s">
        <v>210</v>
      </c>
      <c r="D147" s="27">
        <v>20855992</v>
      </c>
      <c r="E147" s="28">
        <v>25535454</v>
      </c>
      <c r="F147" s="33">
        <f t="shared" si="2"/>
        <v>4679462</v>
      </c>
    </row>
    <row r="148" spans="1:6">
      <c r="A148" s="26" t="s">
        <v>214</v>
      </c>
      <c r="B148" s="24" t="s">
        <v>564</v>
      </c>
      <c r="C148" s="24" t="s">
        <v>210</v>
      </c>
      <c r="D148" s="27">
        <v>22232814</v>
      </c>
      <c r="E148" s="28">
        <v>28664944</v>
      </c>
      <c r="F148" s="33">
        <f t="shared" si="2"/>
        <v>6432130</v>
      </c>
    </row>
    <row r="149" spans="1:6">
      <c r="A149" s="26" t="s">
        <v>215</v>
      </c>
      <c r="B149" s="24" t="s">
        <v>565</v>
      </c>
      <c r="C149" s="24" t="s">
        <v>210</v>
      </c>
      <c r="D149" s="27">
        <v>47134301</v>
      </c>
      <c r="E149" s="28">
        <v>54667983</v>
      </c>
      <c r="F149" s="33">
        <f t="shared" si="2"/>
        <v>7533682</v>
      </c>
    </row>
    <row r="150" spans="1:6">
      <c r="A150" s="26" t="s">
        <v>216</v>
      </c>
      <c r="B150" s="24" t="s">
        <v>566</v>
      </c>
      <c r="C150" s="24" t="s">
        <v>217</v>
      </c>
      <c r="D150" s="27">
        <v>10443192</v>
      </c>
      <c r="E150" s="28">
        <v>13661932</v>
      </c>
      <c r="F150" s="33">
        <f t="shared" si="2"/>
        <v>3218740</v>
      </c>
    </row>
    <row r="151" spans="1:6">
      <c r="A151" s="26" t="s">
        <v>218</v>
      </c>
      <c r="B151" s="24" t="s">
        <v>567</v>
      </c>
      <c r="C151" s="24" t="s">
        <v>219</v>
      </c>
      <c r="D151" s="27">
        <v>180749535</v>
      </c>
      <c r="E151" s="28">
        <v>217499325</v>
      </c>
      <c r="F151" s="33">
        <f t="shared" si="2"/>
        <v>36749790</v>
      </c>
    </row>
    <row r="152" spans="1:6">
      <c r="A152" s="26" t="s">
        <v>220</v>
      </c>
      <c r="B152" s="24" t="s">
        <v>568</v>
      </c>
      <c r="C152" s="24" t="s">
        <v>217</v>
      </c>
      <c r="D152" s="27">
        <v>25004708</v>
      </c>
      <c r="E152" s="28">
        <v>29034465</v>
      </c>
      <c r="F152" s="33">
        <f t="shared" si="2"/>
        <v>4029757</v>
      </c>
    </row>
    <row r="153" spans="1:6">
      <c r="A153" s="26" t="s">
        <v>221</v>
      </c>
      <c r="B153" s="24" t="s">
        <v>569</v>
      </c>
      <c r="C153" s="24" t="s">
        <v>222</v>
      </c>
      <c r="D153" s="27">
        <v>20497984</v>
      </c>
      <c r="E153" s="28">
        <v>26324337</v>
      </c>
      <c r="F153" s="33">
        <f t="shared" si="2"/>
        <v>5826353</v>
      </c>
    </row>
    <row r="154" spans="1:6">
      <c r="A154" s="26" t="s">
        <v>223</v>
      </c>
      <c r="B154" s="24" t="s">
        <v>570</v>
      </c>
      <c r="C154" s="24" t="s">
        <v>224</v>
      </c>
      <c r="D154" s="27">
        <v>55467187</v>
      </c>
      <c r="E154" s="28">
        <v>73555720</v>
      </c>
      <c r="F154" s="33">
        <f t="shared" si="2"/>
        <v>18088533</v>
      </c>
    </row>
    <row r="155" spans="1:6">
      <c r="A155" s="26" t="s">
        <v>225</v>
      </c>
      <c r="B155" s="24" t="s">
        <v>226</v>
      </c>
      <c r="C155" s="24" t="s">
        <v>226</v>
      </c>
      <c r="D155" s="27">
        <v>14372467</v>
      </c>
      <c r="E155" s="28">
        <v>16079598</v>
      </c>
      <c r="F155" s="33">
        <f t="shared" si="2"/>
        <v>1707131</v>
      </c>
    </row>
    <row r="156" spans="1:6">
      <c r="A156" s="26" t="s">
        <v>227</v>
      </c>
      <c r="B156" s="24" t="s">
        <v>571</v>
      </c>
      <c r="C156" s="24" t="s">
        <v>226</v>
      </c>
      <c r="D156" s="27">
        <v>21752384</v>
      </c>
      <c r="E156" s="28">
        <v>33026245</v>
      </c>
      <c r="F156" s="33">
        <f t="shared" si="2"/>
        <v>11273861</v>
      </c>
    </row>
    <row r="157" spans="1:6">
      <c r="A157" s="26" t="s">
        <v>228</v>
      </c>
      <c r="B157" s="24" t="s">
        <v>572</v>
      </c>
      <c r="C157" s="24" t="s">
        <v>226</v>
      </c>
      <c r="D157" s="27">
        <v>26354893</v>
      </c>
      <c r="E157" s="28">
        <v>34993594</v>
      </c>
      <c r="F157" s="33">
        <f t="shared" si="2"/>
        <v>8638701</v>
      </c>
    </row>
    <row r="158" spans="1:6">
      <c r="A158" s="26" t="s">
        <v>229</v>
      </c>
      <c r="B158" s="24" t="s">
        <v>573</v>
      </c>
      <c r="C158" s="24" t="s">
        <v>230</v>
      </c>
      <c r="D158" s="27">
        <v>52830482</v>
      </c>
      <c r="E158" s="28">
        <v>61341711</v>
      </c>
      <c r="F158" s="33">
        <f t="shared" si="2"/>
        <v>8511229</v>
      </c>
    </row>
    <row r="159" spans="1:6">
      <c r="A159" s="26" t="s">
        <v>231</v>
      </c>
      <c r="B159" s="24" t="s">
        <v>574</v>
      </c>
      <c r="C159" s="24" t="s">
        <v>232</v>
      </c>
      <c r="D159" s="27">
        <v>55327237</v>
      </c>
      <c r="E159" s="28">
        <v>63851889</v>
      </c>
      <c r="F159" s="33">
        <f t="shared" si="2"/>
        <v>8524652</v>
      </c>
    </row>
    <row r="160" spans="1:6">
      <c r="A160" s="26" t="s">
        <v>233</v>
      </c>
      <c r="B160" s="24" t="s">
        <v>575</v>
      </c>
      <c r="C160" s="24" t="s">
        <v>234</v>
      </c>
      <c r="D160" s="27">
        <v>12698014</v>
      </c>
      <c r="E160" s="28">
        <v>22489391</v>
      </c>
      <c r="F160" s="33">
        <f t="shared" si="2"/>
        <v>9791377</v>
      </c>
    </row>
    <row r="161" spans="1:6">
      <c r="A161" s="26" t="s">
        <v>235</v>
      </c>
      <c r="B161" s="24" t="s">
        <v>576</v>
      </c>
      <c r="C161" s="24" t="s">
        <v>234</v>
      </c>
      <c r="D161" s="27">
        <v>19647742</v>
      </c>
      <c r="E161" s="28">
        <v>30322057</v>
      </c>
      <c r="F161" s="33">
        <f t="shared" si="2"/>
        <v>10674315</v>
      </c>
    </row>
    <row r="162" spans="1:6">
      <c r="A162" s="26" t="s">
        <v>236</v>
      </c>
      <c r="B162" s="24" t="s">
        <v>577</v>
      </c>
      <c r="C162" s="24" t="s">
        <v>232</v>
      </c>
      <c r="D162" s="27">
        <v>15858001</v>
      </c>
      <c r="E162" s="28">
        <v>19292220</v>
      </c>
      <c r="F162" s="33">
        <f t="shared" si="2"/>
        <v>3434219</v>
      </c>
    </row>
    <row r="163" spans="1:6">
      <c r="A163" s="26" t="s">
        <v>237</v>
      </c>
      <c r="B163" s="24" t="s">
        <v>578</v>
      </c>
      <c r="C163" s="24" t="s">
        <v>232</v>
      </c>
      <c r="D163" s="27">
        <v>16831821</v>
      </c>
      <c r="E163" s="28">
        <v>20183930</v>
      </c>
      <c r="F163" s="33">
        <f t="shared" si="2"/>
        <v>3352109</v>
      </c>
    </row>
    <row r="164" spans="1:6">
      <c r="A164" s="26" t="s">
        <v>238</v>
      </c>
      <c r="B164" s="24" t="s">
        <v>579</v>
      </c>
      <c r="C164" s="24" t="s">
        <v>232</v>
      </c>
      <c r="D164" s="27">
        <v>12760127</v>
      </c>
      <c r="E164" s="28">
        <v>15712812</v>
      </c>
      <c r="F164" s="33">
        <f t="shared" si="2"/>
        <v>2952685</v>
      </c>
    </row>
    <row r="165" spans="1:6">
      <c r="A165" s="26" t="s">
        <v>239</v>
      </c>
      <c r="B165" s="24" t="s">
        <v>580</v>
      </c>
      <c r="C165" s="24" t="s">
        <v>232</v>
      </c>
      <c r="D165" s="27">
        <v>9240868</v>
      </c>
      <c r="E165" s="28">
        <v>12582264</v>
      </c>
      <c r="F165" s="33">
        <f t="shared" si="2"/>
        <v>3341396</v>
      </c>
    </row>
    <row r="166" spans="1:6">
      <c r="A166" s="26" t="s">
        <v>240</v>
      </c>
      <c r="B166" s="24" t="s">
        <v>581</v>
      </c>
      <c r="C166" s="24" t="s">
        <v>232</v>
      </c>
      <c r="D166" s="27">
        <v>14594025</v>
      </c>
      <c r="E166" s="28">
        <v>14123167</v>
      </c>
      <c r="F166" s="33">
        <f t="shared" si="2"/>
        <v>-470858</v>
      </c>
    </row>
    <row r="167" spans="1:6">
      <c r="A167" s="26" t="s">
        <v>241</v>
      </c>
      <c r="B167" s="24" t="s">
        <v>582</v>
      </c>
      <c r="C167" s="24" t="s">
        <v>242</v>
      </c>
      <c r="D167" s="27">
        <v>38742285</v>
      </c>
      <c r="E167" s="28">
        <v>50778136</v>
      </c>
      <c r="F167" s="33">
        <f t="shared" si="2"/>
        <v>12035851</v>
      </c>
    </row>
    <row r="168" spans="1:6">
      <c r="A168" s="26" t="s">
        <v>243</v>
      </c>
      <c r="B168" s="24" t="s">
        <v>583</v>
      </c>
      <c r="C168" s="24" t="s">
        <v>217</v>
      </c>
      <c r="D168" s="27">
        <v>128604905</v>
      </c>
      <c r="E168" s="28">
        <v>126997587</v>
      </c>
      <c r="F168" s="33">
        <f t="shared" si="2"/>
        <v>-1607318</v>
      </c>
    </row>
    <row r="169" spans="1:6">
      <c r="A169" s="26" t="s">
        <v>244</v>
      </c>
      <c r="B169" s="24" t="s">
        <v>584</v>
      </c>
      <c r="C169" s="24" t="s">
        <v>245</v>
      </c>
      <c r="D169" s="27">
        <v>117954371</v>
      </c>
      <c r="E169" s="28">
        <v>176932368</v>
      </c>
      <c r="F169" s="33">
        <f t="shared" si="2"/>
        <v>58977997</v>
      </c>
    </row>
    <row r="170" spans="1:6">
      <c r="A170" s="26" t="s">
        <v>246</v>
      </c>
      <c r="B170" s="24" t="s">
        <v>585</v>
      </c>
      <c r="C170" s="24" t="s">
        <v>247</v>
      </c>
      <c r="D170" s="27">
        <v>47180740</v>
      </c>
      <c r="E170" s="28">
        <v>60021571</v>
      </c>
      <c r="F170" s="33">
        <f t="shared" si="2"/>
        <v>12840831</v>
      </c>
    </row>
    <row r="171" spans="1:6">
      <c r="A171" s="26" t="s">
        <v>248</v>
      </c>
      <c r="B171" s="24" t="s">
        <v>586</v>
      </c>
      <c r="C171" s="24" t="s">
        <v>249</v>
      </c>
      <c r="D171" s="27">
        <v>51166577</v>
      </c>
      <c r="E171" s="28">
        <v>59202055</v>
      </c>
      <c r="F171" s="33">
        <f t="shared" si="2"/>
        <v>8035478</v>
      </c>
    </row>
    <row r="172" spans="1:6">
      <c r="A172" s="26" t="s">
        <v>250</v>
      </c>
      <c r="B172" s="24" t="s">
        <v>251</v>
      </c>
      <c r="C172" s="24" t="s">
        <v>251</v>
      </c>
      <c r="D172" s="27">
        <v>23475033</v>
      </c>
      <c r="E172" s="28">
        <v>23054150</v>
      </c>
      <c r="F172" s="33">
        <f t="shared" si="2"/>
        <v>-420883</v>
      </c>
    </row>
    <row r="173" spans="1:6">
      <c r="A173" s="26" t="s">
        <v>252</v>
      </c>
      <c r="B173" s="24" t="s">
        <v>587</v>
      </c>
      <c r="C173" s="24" t="s">
        <v>253</v>
      </c>
      <c r="D173" s="27">
        <v>39821996</v>
      </c>
      <c r="E173" s="28">
        <v>44136650</v>
      </c>
      <c r="F173" s="33">
        <f t="shared" si="2"/>
        <v>4314654</v>
      </c>
    </row>
    <row r="174" spans="1:6">
      <c r="A174" s="26" t="s">
        <v>254</v>
      </c>
      <c r="B174" s="24" t="s">
        <v>588</v>
      </c>
      <c r="C174" s="24" t="s">
        <v>253</v>
      </c>
      <c r="D174" s="27">
        <v>98694048</v>
      </c>
      <c r="E174" s="28">
        <v>132273894</v>
      </c>
      <c r="F174" s="33">
        <f t="shared" si="2"/>
        <v>33579846</v>
      </c>
    </row>
    <row r="175" spans="1:6">
      <c r="A175" s="26" t="s">
        <v>255</v>
      </c>
      <c r="B175" s="24" t="s">
        <v>589</v>
      </c>
      <c r="C175" s="24" t="s">
        <v>256</v>
      </c>
      <c r="D175" s="27">
        <v>12293128</v>
      </c>
      <c r="E175" s="28">
        <v>15808686</v>
      </c>
      <c r="F175" s="33">
        <f t="shared" si="2"/>
        <v>3515558</v>
      </c>
    </row>
    <row r="176" spans="1:6">
      <c r="A176" s="26" t="s">
        <v>257</v>
      </c>
      <c r="B176" s="24" t="s">
        <v>590</v>
      </c>
      <c r="C176" s="24" t="s">
        <v>16</v>
      </c>
      <c r="D176" s="27">
        <v>14583463</v>
      </c>
      <c r="E176" s="28">
        <v>14739111</v>
      </c>
      <c r="F176" s="33">
        <f t="shared" si="2"/>
        <v>155648</v>
      </c>
    </row>
    <row r="177" spans="1:6">
      <c r="A177" s="26" t="s">
        <v>258</v>
      </c>
      <c r="B177" s="24" t="s">
        <v>591</v>
      </c>
      <c r="C177" s="24" t="s">
        <v>219</v>
      </c>
      <c r="D177" s="27">
        <v>22380447</v>
      </c>
      <c r="E177" s="28">
        <v>28228919</v>
      </c>
      <c r="F177" s="33">
        <f t="shared" si="2"/>
        <v>5848472</v>
      </c>
    </row>
    <row r="178" spans="1:6">
      <c r="A178" s="26" t="s">
        <v>259</v>
      </c>
      <c r="B178" s="24" t="s">
        <v>592</v>
      </c>
      <c r="C178" s="24" t="s">
        <v>256</v>
      </c>
      <c r="D178" s="27">
        <v>117461365</v>
      </c>
      <c r="E178" s="28">
        <v>143389489</v>
      </c>
      <c r="F178" s="33">
        <f t="shared" si="2"/>
        <v>25928124</v>
      </c>
    </row>
    <row r="179" spans="1:6">
      <c r="A179" s="26" t="s">
        <v>260</v>
      </c>
      <c r="B179" s="24" t="s">
        <v>593</v>
      </c>
      <c r="C179" s="24" t="s">
        <v>261</v>
      </c>
      <c r="D179" s="27">
        <v>68508961</v>
      </c>
      <c r="E179" s="28">
        <v>124975235</v>
      </c>
      <c r="F179" s="33">
        <f t="shared" si="2"/>
        <v>56466274</v>
      </c>
    </row>
    <row r="180" spans="1:6">
      <c r="A180" s="26" t="s">
        <v>262</v>
      </c>
      <c r="B180" s="24" t="s">
        <v>594</v>
      </c>
      <c r="C180" s="24" t="s">
        <v>42</v>
      </c>
      <c r="D180" s="27">
        <v>104590799</v>
      </c>
      <c r="E180" s="28">
        <v>158980280</v>
      </c>
      <c r="F180" s="33">
        <f t="shared" si="2"/>
        <v>54389481</v>
      </c>
    </row>
    <row r="181" spans="1:6">
      <c r="A181" s="26" t="s">
        <v>263</v>
      </c>
      <c r="B181" s="24" t="s">
        <v>595</v>
      </c>
      <c r="C181" s="24" t="s">
        <v>264</v>
      </c>
      <c r="D181" s="27">
        <v>20143819</v>
      </c>
      <c r="E181" s="28">
        <v>23905224</v>
      </c>
      <c r="F181" s="33">
        <f t="shared" si="2"/>
        <v>3761405</v>
      </c>
    </row>
    <row r="182" spans="1:6">
      <c r="A182" s="26" t="s">
        <v>265</v>
      </c>
      <c r="B182" s="24" t="s">
        <v>596</v>
      </c>
      <c r="C182" s="24" t="s">
        <v>266</v>
      </c>
      <c r="D182" s="27">
        <v>35110785</v>
      </c>
      <c r="E182" s="28">
        <v>39824555</v>
      </c>
      <c r="F182" s="33">
        <f t="shared" si="2"/>
        <v>4713770</v>
      </c>
    </row>
    <row r="183" spans="1:6">
      <c r="A183" s="26" t="s">
        <v>267</v>
      </c>
      <c r="B183" s="24" t="s">
        <v>597</v>
      </c>
      <c r="C183" s="24" t="s">
        <v>268</v>
      </c>
      <c r="D183" s="27">
        <v>20550264</v>
      </c>
      <c r="E183" s="28">
        <v>34217047</v>
      </c>
      <c r="F183" s="33">
        <f t="shared" si="2"/>
        <v>13666783</v>
      </c>
    </row>
    <row r="184" spans="1:6">
      <c r="A184" s="26" t="s">
        <v>269</v>
      </c>
      <c r="B184" s="24" t="s">
        <v>598</v>
      </c>
      <c r="C184" s="24" t="s">
        <v>270</v>
      </c>
      <c r="D184" s="27">
        <v>51889079</v>
      </c>
      <c r="E184" s="28">
        <v>67469990</v>
      </c>
      <c r="F184" s="33">
        <f t="shared" si="2"/>
        <v>15580911</v>
      </c>
    </row>
    <row r="185" spans="1:6">
      <c r="A185" s="26" t="s">
        <v>271</v>
      </c>
      <c r="B185" s="24" t="s">
        <v>599</v>
      </c>
      <c r="C185" s="24" t="s">
        <v>247</v>
      </c>
      <c r="D185" s="27">
        <v>22335836</v>
      </c>
      <c r="E185" s="28">
        <v>22259980</v>
      </c>
      <c r="F185" s="33">
        <f t="shared" si="2"/>
        <v>-75856</v>
      </c>
    </row>
    <row r="186" spans="1:6">
      <c r="A186" s="26" t="s">
        <v>272</v>
      </c>
      <c r="B186" s="24" t="s">
        <v>600</v>
      </c>
      <c r="C186" s="24" t="s">
        <v>273</v>
      </c>
      <c r="D186" s="27">
        <v>10035617</v>
      </c>
      <c r="E186" s="28">
        <v>16870206</v>
      </c>
      <c r="F186" s="33">
        <f t="shared" si="2"/>
        <v>6834589</v>
      </c>
    </row>
    <row r="187" spans="1:6">
      <c r="A187" s="26" t="s">
        <v>274</v>
      </c>
      <c r="B187" s="24" t="s">
        <v>275</v>
      </c>
      <c r="C187" s="24" t="s">
        <v>275</v>
      </c>
      <c r="D187" s="27">
        <v>51816867</v>
      </c>
      <c r="E187" s="28">
        <v>84486926</v>
      </c>
      <c r="F187" s="33">
        <f t="shared" si="2"/>
        <v>32670059</v>
      </c>
    </row>
    <row r="188" spans="1:6">
      <c r="A188" s="26" t="s">
        <v>276</v>
      </c>
      <c r="B188" s="24" t="s">
        <v>601</v>
      </c>
      <c r="C188" s="24" t="s">
        <v>268</v>
      </c>
      <c r="D188" s="27">
        <v>322743291</v>
      </c>
      <c r="E188" s="28">
        <v>519831267</v>
      </c>
      <c r="F188" s="33">
        <f t="shared" si="2"/>
        <v>197087976</v>
      </c>
    </row>
    <row r="189" spans="1:6">
      <c r="A189" s="26" t="s">
        <v>277</v>
      </c>
      <c r="B189" s="24" t="s">
        <v>469</v>
      </c>
      <c r="C189" s="24" t="s">
        <v>268</v>
      </c>
      <c r="D189" s="27">
        <v>12116107</v>
      </c>
      <c r="E189" s="28">
        <v>15958654</v>
      </c>
      <c r="F189" s="33">
        <f t="shared" si="2"/>
        <v>3842547</v>
      </c>
    </row>
    <row r="190" spans="1:6">
      <c r="A190" s="26" t="s">
        <v>278</v>
      </c>
      <c r="B190" s="24" t="s">
        <v>602</v>
      </c>
      <c r="C190" s="24" t="s">
        <v>42</v>
      </c>
      <c r="D190" s="27">
        <v>142478853</v>
      </c>
      <c r="E190" s="28">
        <v>263153506</v>
      </c>
      <c r="F190" s="33">
        <f t="shared" si="2"/>
        <v>120674653</v>
      </c>
    </row>
    <row r="191" spans="1:6">
      <c r="A191" s="26" t="s">
        <v>279</v>
      </c>
      <c r="B191" s="24" t="s">
        <v>603</v>
      </c>
      <c r="C191" s="24" t="s">
        <v>280</v>
      </c>
      <c r="D191" s="27">
        <v>12487365</v>
      </c>
      <c r="E191" s="28">
        <v>12913598</v>
      </c>
      <c r="F191" s="33">
        <f t="shared" si="2"/>
        <v>426233</v>
      </c>
    </row>
    <row r="192" spans="1:6">
      <c r="A192" s="26" t="s">
        <v>281</v>
      </c>
      <c r="B192" s="24" t="s">
        <v>604</v>
      </c>
      <c r="C192" s="24" t="s">
        <v>282</v>
      </c>
      <c r="D192" s="27">
        <v>13647581</v>
      </c>
      <c r="E192" s="28">
        <v>29183694</v>
      </c>
      <c r="F192" s="33">
        <f t="shared" si="2"/>
        <v>15536113</v>
      </c>
    </row>
    <row r="193" spans="1:6">
      <c r="A193" s="26" t="s">
        <v>283</v>
      </c>
      <c r="B193" s="24" t="s">
        <v>284</v>
      </c>
      <c r="C193" s="24" t="s">
        <v>284</v>
      </c>
      <c r="D193" s="27">
        <v>19768412</v>
      </c>
      <c r="E193" s="28">
        <v>30472398</v>
      </c>
      <c r="F193" s="33">
        <f t="shared" si="2"/>
        <v>10703986</v>
      </c>
    </row>
    <row r="194" spans="1:6">
      <c r="A194" s="26" t="s">
        <v>285</v>
      </c>
      <c r="B194" s="24" t="s">
        <v>605</v>
      </c>
      <c r="C194" s="24" t="s">
        <v>280</v>
      </c>
      <c r="D194" s="27">
        <v>29121458</v>
      </c>
      <c r="E194" s="28">
        <v>27597286</v>
      </c>
      <c r="F194" s="33">
        <f t="shared" si="2"/>
        <v>-1524172</v>
      </c>
    </row>
    <row r="195" spans="1:6">
      <c r="A195" s="26" t="s">
        <v>286</v>
      </c>
      <c r="B195" s="24" t="s">
        <v>408</v>
      </c>
      <c r="C195" s="24" t="s">
        <v>280</v>
      </c>
      <c r="D195" s="27">
        <v>7656848</v>
      </c>
      <c r="E195" s="28">
        <v>7048025</v>
      </c>
      <c r="F195" s="33">
        <f t="shared" si="2"/>
        <v>-608823</v>
      </c>
    </row>
    <row r="196" spans="1:6">
      <c r="A196" s="26" t="s">
        <v>287</v>
      </c>
      <c r="B196" s="24" t="s">
        <v>288</v>
      </c>
      <c r="C196" s="24" t="s">
        <v>288</v>
      </c>
      <c r="D196" s="27">
        <v>16875768</v>
      </c>
      <c r="E196" s="28">
        <v>16438675</v>
      </c>
      <c r="F196" s="33">
        <f t="shared" si="2"/>
        <v>-437093</v>
      </c>
    </row>
    <row r="197" spans="1:6">
      <c r="A197" s="26" t="s">
        <v>289</v>
      </c>
      <c r="B197" s="24" t="s">
        <v>606</v>
      </c>
      <c r="C197" s="24" t="s">
        <v>290</v>
      </c>
      <c r="D197" s="27">
        <v>16252309</v>
      </c>
      <c r="E197" s="28">
        <v>20444993</v>
      </c>
      <c r="F197" s="33">
        <f t="shared" ref="F197:F260" si="3">E197-D197</f>
        <v>4192684</v>
      </c>
    </row>
    <row r="198" spans="1:6">
      <c r="A198" s="26" t="s">
        <v>291</v>
      </c>
      <c r="B198" s="24" t="s">
        <v>607</v>
      </c>
      <c r="C198" s="24" t="s">
        <v>42</v>
      </c>
      <c r="D198" s="27">
        <v>42983867</v>
      </c>
      <c r="E198" s="28">
        <v>57694088</v>
      </c>
      <c r="F198" s="33">
        <f t="shared" si="3"/>
        <v>14710221</v>
      </c>
    </row>
    <row r="199" spans="1:6">
      <c r="A199" s="26" t="s">
        <v>292</v>
      </c>
      <c r="B199" s="24" t="s">
        <v>608</v>
      </c>
      <c r="C199" s="24" t="s">
        <v>293</v>
      </c>
      <c r="D199" s="27">
        <v>20593152</v>
      </c>
      <c r="E199" s="28">
        <v>20377543</v>
      </c>
      <c r="F199" s="33">
        <f t="shared" si="3"/>
        <v>-215609</v>
      </c>
    </row>
    <row r="200" spans="1:6">
      <c r="A200" s="26" t="s">
        <v>294</v>
      </c>
      <c r="B200" s="24" t="s">
        <v>609</v>
      </c>
      <c r="C200" s="24" t="s">
        <v>42</v>
      </c>
      <c r="D200" s="27">
        <v>19173511</v>
      </c>
      <c r="E200" s="28">
        <v>24163581</v>
      </c>
      <c r="F200" s="33">
        <f t="shared" si="3"/>
        <v>4990070</v>
      </c>
    </row>
    <row r="201" spans="1:6">
      <c r="A201" s="26" t="s">
        <v>295</v>
      </c>
      <c r="B201" s="24" t="s">
        <v>610</v>
      </c>
      <c r="C201" s="24" t="s">
        <v>296</v>
      </c>
      <c r="D201" s="27">
        <v>16650244</v>
      </c>
      <c r="E201" s="28">
        <v>18176405</v>
      </c>
      <c r="F201" s="33">
        <f t="shared" si="3"/>
        <v>1526161</v>
      </c>
    </row>
    <row r="202" spans="1:6">
      <c r="A202" s="26" t="s">
        <v>297</v>
      </c>
      <c r="B202" s="24" t="s">
        <v>611</v>
      </c>
      <c r="C202" s="24" t="s">
        <v>296</v>
      </c>
      <c r="D202" s="27">
        <v>18284428</v>
      </c>
      <c r="E202" s="28">
        <v>20619927</v>
      </c>
      <c r="F202" s="33">
        <f t="shared" si="3"/>
        <v>2335499</v>
      </c>
    </row>
    <row r="203" spans="1:6">
      <c r="A203" s="26" t="s">
        <v>298</v>
      </c>
      <c r="B203" s="24" t="s">
        <v>612</v>
      </c>
      <c r="C203" s="24" t="s">
        <v>299</v>
      </c>
      <c r="D203" s="27">
        <v>14815897</v>
      </c>
      <c r="E203" s="28">
        <v>24329925</v>
      </c>
      <c r="F203" s="33">
        <f t="shared" si="3"/>
        <v>9514028</v>
      </c>
    </row>
    <row r="204" spans="1:6">
      <c r="A204" s="26" t="s">
        <v>300</v>
      </c>
      <c r="B204" s="24" t="s">
        <v>613</v>
      </c>
      <c r="C204" s="24" t="s">
        <v>301</v>
      </c>
      <c r="D204" s="27">
        <v>43167411</v>
      </c>
      <c r="E204" s="28">
        <v>53264674</v>
      </c>
      <c r="F204" s="33">
        <f t="shared" si="3"/>
        <v>10097263</v>
      </c>
    </row>
    <row r="205" spans="1:6">
      <c r="A205" s="26" t="s">
        <v>302</v>
      </c>
      <c r="B205" s="24" t="s">
        <v>144</v>
      </c>
      <c r="C205" s="24" t="s">
        <v>264</v>
      </c>
      <c r="D205" s="27">
        <v>12831588</v>
      </c>
      <c r="E205" s="28">
        <v>17312442</v>
      </c>
      <c r="F205" s="33">
        <f t="shared" si="3"/>
        <v>4480854</v>
      </c>
    </row>
    <row r="206" spans="1:6">
      <c r="A206" s="26" t="s">
        <v>303</v>
      </c>
      <c r="B206" s="24" t="s">
        <v>614</v>
      </c>
      <c r="C206" s="24" t="s">
        <v>42</v>
      </c>
      <c r="D206" s="27">
        <v>60653630</v>
      </c>
      <c r="E206" s="28">
        <v>79216165</v>
      </c>
      <c r="F206" s="33">
        <f t="shared" si="3"/>
        <v>18562535</v>
      </c>
    </row>
    <row r="207" spans="1:6">
      <c r="A207" s="26" t="s">
        <v>304</v>
      </c>
      <c r="B207" s="24" t="s">
        <v>615</v>
      </c>
      <c r="C207" s="24" t="s">
        <v>293</v>
      </c>
      <c r="D207" s="27">
        <v>15960022</v>
      </c>
      <c r="E207" s="28">
        <v>18488518</v>
      </c>
      <c r="F207" s="33">
        <f t="shared" si="3"/>
        <v>2528496</v>
      </c>
    </row>
    <row r="208" spans="1:6">
      <c r="A208" s="26" t="s">
        <v>305</v>
      </c>
      <c r="B208" s="24" t="s">
        <v>616</v>
      </c>
      <c r="C208" s="24" t="s">
        <v>306</v>
      </c>
      <c r="D208" s="27">
        <v>24232045</v>
      </c>
      <c r="E208" s="28">
        <v>29027453</v>
      </c>
      <c r="F208" s="33">
        <f t="shared" si="3"/>
        <v>4795408</v>
      </c>
    </row>
    <row r="209" spans="1:6">
      <c r="A209" s="26" t="s">
        <v>307</v>
      </c>
      <c r="B209" s="24" t="s">
        <v>617</v>
      </c>
      <c r="C209" s="24" t="s">
        <v>264</v>
      </c>
      <c r="D209" s="27">
        <v>29680530</v>
      </c>
      <c r="E209" s="28">
        <v>35672943</v>
      </c>
      <c r="F209" s="33">
        <f t="shared" si="3"/>
        <v>5992413</v>
      </c>
    </row>
    <row r="210" spans="1:6">
      <c r="A210" s="26" t="s">
        <v>308</v>
      </c>
      <c r="B210" s="24" t="s">
        <v>618</v>
      </c>
      <c r="C210" s="24" t="s">
        <v>34</v>
      </c>
      <c r="D210" s="27">
        <v>12721479</v>
      </c>
      <c r="E210" s="28">
        <v>18385045</v>
      </c>
      <c r="F210" s="33">
        <f t="shared" si="3"/>
        <v>5663566</v>
      </c>
    </row>
    <row r="211" spans="1:6">
      <c r="A211" s="26" t="s">
        <v>309</v>
      </c>
      <c r="B211" s="24" t="s">
        <v>619</v>
      </c>
      <c r="C211" s="24" t="s">
        <v>299</v>
      </c>
      <c r="D211" s="27">
        <v>50534324</v>
      </c>
      <c r="E211" s="28">
        <v>73151723</v>
      </c>
      <c r="F211" s="33">
        <f t="shared" si="3"/>
        <v>22617399</v>
      </c>
    </row>
    <row r="212" spans="1:6">
      <c r="A212" s="26" t="s">
        <v>310</v>
      </c>
      <c r="B212" s="24" t="s">
        <v>296</v>
      </c>
      <c r="C212" s="24" t="s">
        <v>296</v>
      </c>
      <c r="D212" s="27">
        <v>26170626</v>
      </c>
      <c r="E212" s="28">
        <v>28973538</v>
      </c>
      <c r="F212" s="33">
        <f t="shared" si="3"/>
        <v>2802912</v>
      </c>
    </row>
    <row r="213" spans="1:6">
      <c r="A213" s="26" t="s">
        <v>311</v>
      </c>
      <c r="B213" s="24" t="s">
        <v>266</v>
      </c>
      <c r="C213" s="24" t="s">
        <v>266</v>
      </c>
      <c r="D213" s="27">
        <v>67394265</v>
      </c>
      <c r="E213" s="28">
        <v>81486496</v>
      </c>
      <c r="F213" s="33">
        <f t="shared" si="3"/>
        <v>14092231</v>
      </c>
    </row>
    <row r="214" spans="1:6">
      <c r="A214" s="26" t="s">
        <v>312</v>
      </c>
      <c r="B214" s="24" t="s">
        <v>620</v>
      </c>
      <c r="C214" s="24" t="s">
        <v>296</v>
      </c>
      <c r="D214" s="27">
        <v>28078267</v>
      </c>
      <c r="E214" s="28">
        <v>32037142</v>
      </c>
      <c r="F214" s="33">
        <f t="shared" si="3"/>
        <v>3958875</v>
      </c>
    </row>
    <row r="215" spans="1:6">
      <c r="A215" s="26" t="s">
        <v>313</v>
      </c>
      <c r="B215" s="24" t="s">
        <v>621</v>
      </c>
      <c r="C215" s="24" t="s">
        <v>296</v>
      </c>
      <c r="D215" s="27">
        <v>10823735</v>
      </c>
      <c r="E215" s="28">
        <v>11822847</v>
      </c>
      <c r="F215" s="33">
        <f t="shared" si="3"/>
        <v>999112</v>
      </c>
    </row>
    <row r="216" spans="1:6">
      <c r="A216" s="26" t="s">
        <v>314</v>
      </c>
      <c r="B216" s="24" t="s">
        <v>622</v>
      </c>
      <c r="C216" s="24" t="s">
        <v>315</v>
      </c>
      <c r="D216" s="27">
        <v>23148310</v>
      </c>
      <c r="E216" s="28">
        <v>28500256</v>
      </c>
      <c r="F216" s="33">
        <f t="shared" si="3"/>
        <v>5351946</v>
      </c>
    </row>
    <row r="217" spans="1:6">
      <c r="A217" s="26" t="s">
        <v>316</v>
      </c>
      <c r="B217" s="24" t="s">
        <v>623</v>
      </c>
      <c r="C217" s="24" t="s">
        <v>14</v>
      </c>
      <c r="D217" s="27">
        <v>50727926</v>
      </c>
      <c r="E217" s="28">
        <v>65516207</v>
      </c>
      <c r="F217" s="33">
        <f t="shared" si="3"/>
        <v>14788281</v>
      </c>
    </row>
    <row r="218" spans="1:6">
      <c r="A218" s="26" t="s">
        <v>317</v>
      </c>
      <c r="B218" s="24" t="s">
        <v>624</v>
      </c>
      <c r="C218" s="24" t="s">
        <v>318</v>
      </c>
      <c r="D218" s="27">
        <v>46707852</v>
      </c>
      <c r="E218" s="28">
        <v>67061331</v>
      </c>
      <c r="F218" s="33">
        <f t="shared" si="3"/>
        <v>20353479</v>
      </c>
    </row>
    <row r="219" spans="1:6">
      <c r="A219" s="26" t="s">
        <v>319</v>
      </c>
      <c r="B219" s="24" t="s">
        <v>625</v>
      </c>
      <c r="C219" s="24" t="s">
        <v>253</v>
      </c>
      <c r="D219" s="27">
        <v>89580232</v>
      </c>
      <c r="E219" s="28">
        <v>119280467</v>
      </c>
      <c r="F219" s="33">
        <f t="shared" si="3"/>
        <v>29700235</v>
      </c>
    </row>
    <row r="220" spans="1:6">
      <c r="A220" s="26" t="s">
        <v>320</v>
      </c>
      <c r="B220" s="24" t="s">
        <v>626</v>
      </c>
      <c r="C220" s="24" t="s">
        <v>321</v>
      </c>
      <c r="D220" s="27">
        <v>43659992</v>
      </c>
      <c r="E220" s="28">
        <v>53776565</v>
      </c>
      <c r="F220" s="33">
        <f t="shared" si="3"/>
        <v>10116573</v>
      </c>
    </row>
    <row r="221" spans="1:6">
      <c r="A221" s="26" t="s">
        <v>322</v>
      </c>
      <c r="B221" s="24" t="s">
        <v>301</v>
      </c>
      <c r="C221" s="24" t="s">
        <v>301</v>
      </c>
      <c r="D221" s="27">
        <v>138879836</v>
      </c>
      <c r="E221" s="28">
        <v>161905076</v>
      </c>
      <c r="F221" s="33">
        <f t="shared" si="3"/>
        <v>23025240</v>
      </c>
    </row>
    <row r="222" spans="1:6">
      <c r="A222" s="26" t="s">
        <v>323</v>
      </c>
      <c r="B222" s="24" t="s">
        <v>627</v>
      </c>
      <c r="C222" s="24" t="s">
        <v>301</v>
      </c>
      <c r="D222" s="27">
        <v>20185231</v>
      </c>
      <c r="E222" s="28">
        <v>26518025</v>
      </c>
      <c r="F222" s="33">
        <f t="shared" si="3"/>
        <v>6332794</v>
      </c>
    </row>
    <row r="223" spans="1:6">
      <c r="A223" s="26" t="s">
        <v>324</v>
      </c>
      <c r="B223" s="24" t="s">
        <v>628</v>
      </c>
      <c r="C223" s="24" t="s">
        <v>325</v>
      </c>
      <c r="D223" s="27">
        <v>23268386</v>
      </c>
      <c r="E223" s="28">
        <v>27044931</v>
      </c>
      <c r="F223" s="33">
        <f t="shared" si="3"/>
        <v>3776545</v>
      </c>
    </row>
    <row r="224" spans="1:6">
      <c r="A224" s="26" t="s">
        <v>326</v>
      </c>
      <c r="B224" s="24" t="s">
        <v>629</v>
      </c>
      <c r="C224" s="24" t="s">
        <v>325</v>
      </c>
      <c r="D224" s="27">
        <v>17412625</v>
      </c>
      <c r="E224" s="28">
        <v>20452523</v>
      </c>
      <c r="F224" s="33">
        <f t="shared" si="3"/>
        <v>3039898</v>
      </c>
    </row>
    <row r="225" spans="1:6">
      <c r="A225" s="26" t="s">
        <v>327</v>
      </c>
      <c r="B225" s="24" t="s">
        <v>630</v>
      </c>
      <c r="C225" s="24" t="s">
        <v>328</v>
      </c>
      <c r="D225" s="27">
        <v>21291596</v>
      </c>
      <c r="E225" s="28">
        <v>37637657</v>
      </c>
      <c r="F225" s="33">
        <f t="shared" si="3"/>
        <v>16346061</v>
      </c>
    </row>
    <row r="226" spans="1:6">
      <c r="A226" s="26" t="s">
        <v>329</v>
      </c>
      <c r="B226" s="24" t="s">
        <v>631</v>
      </c>
      <c r="C226" s="24" t="s">
        <v>301</v>
      </c>
      <c r="D226" s="27">
        <v>36506392</v>
      </c>
      <c r="E226" s="28">
        <v>39328682</v>
      </c>
      <c r="F226" s="33">
        <f t="shared" si="3"/>
        <v>2822290</v>
      </c>
    </row>
    <row r="227" spans="1:6">
      <c r="A227" s="26" t="s">
        <v>330</v>
      </c>
      <c r="B227" s="24" t="s">
        <v>632</v>
      </c>
      <c r="C227" s="24" t="s">
        <v>328</v>
      </c>
      <c r="D227" s="27">
        <v>13803032</v>
      </c>
      <c r="E227" s="28">
        <v>29160331</v>
      </c>
      <c r="F227" s="33">
        <f t="shared" si="3"/>
        <v>15357299</v>
      </c>
    </row>
    <row r="228" spans="1:6">
      <c r="A228" s="29" t="s">
        <v>331</v>
      </c>
      <c r="B228" s="25" t="s">
        <v>633</v>
      </c>
      <c r="C228" s="25" t="s">
        <v>34</v>
      </c>
      <c r="D228" s="27">
        <v>11060458</v>
      </c>
      <c r="E228" s="34" t="s">
        <v>21</v>
      </c>
      <c r="F228" s="34" t="s">
        <v>21</v>
      </c>
    </row>
    <row r="229" spans="1:6">
      <c r="A229" s="26" t="s">
        <v>332</v>
      </c>
      <c r="B229" s="24" t="s">
        <v>634</v>
      </c>
      <c r="C229" s="24" t="s">
        <v>30</v>
      </c>
      <c r="D229" s="27">
        <v>12133225</v>
      </c>
      <c r="E229" s="28">
        <v>12260259</v>
      </c>
      <c r="F229" s="33">
        <f t="shared" si="3"/>
        <v>127034</v>
      </c>
    </row>
    <row r="230" spans="1:6">
      <c r="A230" s="29" t="s">
        <v>333</v>
      </c>
      <c r="B230" s="25" t="s">
        <v>635</v>
      </c>
      <c r="C230" s="25" t="s">
        <v>30</v>
      </c>
      <c r="D230" s="27">
        <v>25659004</v>
      </c>
      <c r="E230" s="34" t="s">
        <v>21</v>
      </c>
      <c r="F230" s="34" t="s">
        <v>21</v>
      </c>
    </row>
    <row r="231" spans="1:6">
      <c r="A231" s="26" t="s">
        <v>334</v>
      </c>
      <c r="B231" s="24" t="s">
        <v>636</v>
      </c>
      <c r="C231" s="24" t="s">
        <v>234</v>
      </c>
      <c r="D231" s="27">
        <v>105202292</v>
      </c>
      <c r="E231" s="28">
        <v>137935912</v>
      </c>
      <c r="F231" s="33">
        <f t="shared" si="3"/>
        <v>32733620</v>
      </c>
    </row>
    <row r="232" spans="1:6">
      <c r="A232" s="26" t="s">
        <v>335</v>
      </c>
      <c r="B232" s="24" t="s">
        <v>637</v>
      </c>
      <c r="C232" s="24" t="s">
        <v>34</v>
      </c>
      <c r="D232" s="27">
        <v>10772473</v>
      </c>
      <c r="E232" s="28">
        <v>15804071</v>
      </c>
      <c r="F232" s="33">
        <f t="shared" si="3"/>
        <v>5031598</v>
      </c>
    </row>
    <row r="233" spans="1:6">
      <c r="A233" s="26" t="s">
        <v>336</v>
      </c>
      <c r="B233" s="24" t="s">
        <v>638</v>
      </c>
      <c r="C233" s="24" t="s">
        <v>318</v>
      </c>
      <c r="D233" s="27">
        <v>17969716</v>
      </c>
      <c r="E233" s="28">
        <v>20733403</v>
      </c>
      <c r="F233" s="33">
        <f t="shared" si="3"/>
        <v>2763687</v>
      </c>
    </row>
    <row r="234" spans="1:6">
      <c r="A234" s="26" t="s">
        <v>337</v>
      </c>
      <c r="B234" s="24" t="s">
        <v>639</v>
      </c>
      <c r="C234" s="24" t="s">
        <v>234</v>
      </c>
      <c r="D234" s="27">
        <v>26355538</v>
      </c>
      <c r="E234" s="28">
        <v>35688404</v>
      </c>
      <c r="F234" s="33">
        <f t="shared" si="3"/>
        <v>9332866</v>
      </c>
    </row>
    <row r="235" spans="1:6">
      <c r="A235" s="26" t="s">
        <v>338</v>
      </c>
      <c r="B235" s="24" t="s">
        <v>640</v>
      </c>
      <c r="C235" s="24" t="s">
        <v>284</v>
      </c>
      <c r="D235" s="27">
        <v>16614092</v>
      </c>
      <c r="E235" s="28">
        <v>28187395</v>
      </c>
      <c r="F235" s="33">
        <f t="shared" si="3"/>
        <v>11573303</v>
      </c>
    </row>
    <row r="236" spans="1:6">
      <c r="A236" s="29" t="s">
        <v>339</v>
      </c>
      <c r="B236" s="25" t="s">
        <v>641</v>
      </c>
      <c r="C236" s="25" t="s">
        <v>34</v>
      </c>
      <c r="D236" s="27">
        <v>13987927</v>
      </c>
      <c r="E236" s="34" t="s">
        <v>21</v>
      </c>
      <c r="F236" s="34" t="s">
        <v>21</v>
      </c>
    </row>
    <row r="237" spans="1:6">
      <c r="A237" s="26" t="s">
        <v>340</v>
      </c>
      <c r="B237" s="24" t="s">
        <v>642</v>
      </c>
      <c r="C237" s="24" t="s">
        <v>325</v>
      </c>
      <c r="D237" s="27">
        <v>37300065</v>
      </c>
      <c r="E237" s="28">
        <v>44885974</v>
      </c>
      <c r="F237" s="33">
        <f t="shared" si="3"/>
        <v>7585909</v>
      </c>
    </row>
    <row r="238" spans="1:6">
      <c r="A238" s="26" t="s">
        <v>341</v>
      </c>
      <c r="B238" s="24" t="s">
        <v>643</v>
      </c>
      <c r="C238" s="24" t="s">
        <v>290</v>
      </c>
      <c r="D238" s="27">
        <v>52828346</v>
      </c>
      <c r="E238" s="28">
        <v>74751797</v>
      </c>
      <c r="F238" s="33">
        <f t="shared" si="3"/>
        <v>21923451</v>
      </c>
    </row>
    <row r="239" spans="1:6">
      <c r="A239" s="26" t="s">
        <v>342</v>
      </c>
      <c r="B239" s="24" t="s">
        <v>644</v>
      </c>
      <c r="C239" s="24" t="s">
        <v>343</v>
      </c>
      <c r="D239" s="27">
        <v>21736727</v>
      </c>
      <c r="E239" s="28">
        <v>33753537</v>
      </c>
      <c r="F239" s="33">
        <f t="shared" si="3"/>
        <v>12016810</v>
      </c>
    </row>
    <row r="240" spans="1:6">
      <c r="A240" s="26" t="s">
        <v>344</v>
      </c>
      <c r="B240" s="24" t="s">
        <v>645</v>
      </c>
      <c r="C240" s="24" t="s">
        <v>219</v>
      </c>
      <c r="D240" s="27">
        <v>337442753</v>
      </c>
      <c r="E240" s="28">
        <v>431013926</v>
      </c>
      <c r="F240" s="33">
        <f t="shared" si="3"/>
        <v>93571173</v>
      </c>
    </row>
    <row r="241" spans="1:6">
      <c r="A241" s="26" t="s">
        <v>345</v>
      </c>
      <c r="B241" s="24" t="s">
        <v>646</v>
      </c>
      <c r="C241" s="24" t="s">
        <v>275</v>
      </c>
      <c r="D241" s="27">
        <v>18143248</v>
      </c>
      <c r="E241" s="28">
        <v>26398613</v>
      </c>
      <c r="F241" s="33">
        <f t="shared" si="3"/>
        <v>8255365</v>
      </c>
    </row>
    <row r="242" spans="1:6">
      <c r="A242" s="26" t="s">
        <v>346</v>
      </c>
      <c r="B242" s="24" t="s">
        <v>116</v>
      </c>
      <c r="C242" s="24" t="s">
        <v>256</v>
      </c>
      <c r="D242" s="27">
        <v>11968046</v>
      </c>
      <c r="E242" s="28">
        <v>14302257</v>
      </c>
      <c r="F242" s="33">
        <f t="shared" si="3"/>
        <v>2334211</v>
      </c>
    </row>
    <row r="243" spans="1:6">
      <c r="A243" s="26" t="s">
        <v>347</v>
      </c>
      <c r="B243" s="24" t="s">
        <v>647</v>
      </c>
      <c r="C243" s="24" t="s">
        <v>256</v>
      </c>
      <c r="D243" s="27">
        <v>31154328</v>
      </c>
      <c r="E243" s="28">
        <v>34073764</v>
      </c>
      <c r="F243" s="33">
        <f t="shared" si="3"/>
        <v>2919436</v>
      </c>
    </row>
    <row r="244" spans="1:6">
      <c r="A244" s="26" t="s">
        <v>348</v>
      </c>
      <c r="B244" s="24" t="s">
        <v>648</v>
      </c>
      <c r="C244" s="24" t="s">
        <v>349</v>
      </c>
      <c r="D244" s="27">
        <v>35727917</v>
      </c>
      <c r="E244" s="28">
        <v>44592107</v>
      </c>
      <c r="F244" s="33">
        <f t="shared" si="3"/>
        <v>8864190</v>
      </c>
    </row>
    <row r="245" spans="1:6">
      <c r="A245" s="26" t="s">
        <v>350</v>
      </c>
      <c r="B245" s="24" t="s">
        <v>649</v>
      </c>
      <c r="C245" s="24" t="s">
        <v>349</v>
      </c>
      <c r="D245" s="27">
        <v>22955751</v>
      </c>
      <c r="E245" s="28">
        <v>32805665</v>
      </c>
      <c r="F245" s="33">
        <f t="shared" si="3"/>
        <v>9849914</v>
      </c>
    </row>
    <row r="246" spans="1:6">
      <c r="A246" s="26" t="s">
        <v>351</v>
      </c>
      <c r="B246" s="24" t="s">
        <v>650</v>
      </c>
      <c r="C246" s="24" t="s">
        <v>273</v>
      </c>
      <c r="D246" s="27">
        <v>166414037</v>
      </c>
      <c r="E246" s="28">
        <v>183366354</v>
      </c>
      <c r="F246" s="33">
        <f t="shared" si="3"/>
        <v>16952317</v>
      </c>
    </row>
    <row r="247" spans="1:6">
      <c r="A247" s="26" t="s">
        <v>352</v>
      </c>
      <c r="B247" s="24" t="s">
        <v>651</v>
      </c>
      <c r="C247" s="24" t="s">
        <v>264</v>
      </c>
      <c r="D247" s="27">
        <v>23968166</v>
      </c>
      <c r="E247" s="28">
        <v>28522352</v>
      </c>
      <c r="F247" s="33">
        <f t="shared" si="3"/>
        <v>4554186</v>
      </c>
    </row>
    <row r="248" spans="1:6">
      <c r="A248" s="26" t="s">
        <v>353</v>
      </c>
      <c r="B248" s="24" t="s">
        <v>652</v>
      </c>
      <c r="C248" s="24" t="s">
        <v>343</v>
      </c>
      <c r="D248" s="27">
        <v>79004075</v>
      </c>
      <c r="E248" s="28">
        <v>174980387</v>
      </c>
      <c r="F248" s="33">
        <f t="shared" si="3"/>
        <v>95976312</v>
      </c>
    </row>
    <row r="249" spans="1:6">
      <c r="A249" s="26" t="s">
        <v>354</v>
      </c>
      <c r="B249" s="24" t="s">
        <v>653</v>
      </c>
      <c r="C249" s="24" t="s">
        <v>343</v>
      </c>
      <c r="D249" s="27">
        <v>74991727</v>
      </c>
      <c r="E249" s="28">
        <v>106012042</v>
      </c>
      <c r="F249" s="33">
        <f t="shared" si="3"/>
        <v>31020315</v>
      </c>
    </row>
    <row r="250" spans="1:6">
      <c r="A250" s="26" t="s">
        <v>355</v>
      </c>
      <c r="B250" s="24" t="s">
        <v>654</v>
      </c>
      <c r="C250" s="24" t="s">
        <v>343</v>
      </c>
      <c r="D250" s="27">
        <v>13000258</v>
      </c>
      <c r="E250" s="28">
        <v>27430124</v>
      </c>
      <c r="F250" s="33">
        <f t="shared" si="3"/>
        <v>14429866</v>
      </c>
    </row>
    <row r="251" spans="1:6">
      <c r="A251" s="26" t="s">
        <v>356</v>
      </c>
      <c r="B251" s="24" t="s">
        <v>655</v>
      </c>
      <c r="C251" s="24" t="s">
        <v>301</v>
      </c>
      <c r="D251" s="27">
        <v>21668920</v>
      </c>
      <c r="E251" s="28">
        <v>26231561</v>
      </c>
      <c r="F251" s="33">
        <f t="shared" si="3"/>
        <v>4562641</v>
      </c>
    </row>
    <row r="252" spans="1:6">
      <c r="A252" s="26" t="s">
        <v>357</v>
      </c>
      <c r="B252" s="24" t="s">
        <v>656</v>
      </c>
      <c r="C252" s="24" t="s">
        <v>45</v>
      </c>
      <c r="D252" s="27">
        <v>24463061</v>
      </c>
      <c r="E252" s="28">
        <v>30337785</v>
      </c>
      <c r="F252" s="33">
        <f t="shared" si="3"/>
        <v>5874724</v>
      </c>
    </row>
    <row r="253" spans="1:6">
      <c r="A253" s="26" t="s">
        <v>358</v>
      </c>
      <c r="B253" s="24" t="s">
        <v>657</v>
      </c>
      <c r="C253" s="24" t="s">
        <v>219</v>
      </c>
      <c r="D253" s="27">
        <v>147363343</v>
      </c>
      <c r="E253" s="28">
        <v>171329674</v>
      </c>
      <c r="F253" s="33">
        <f t="shared" si="3"/>
        <v>23966331</v>
      </c>
    </row>
    <row r="254" spans="1:6">
      <c r="A254" s="26" t="s">
        <v>359</v>
      </c>
      <c r="B254" s="24" t="s">
        <v>360</v>
      </c>
      <c r="C254" s="24" t="s">
        <v>349</v>
      </c>
      <c r="D254" s="27">
        <v>7832398</v>
      </c>
      <c r="E254" s="28">
        <v>12975584</v>
      </c>
      <c r="F254" s="33">
        <f t="shared" si="3"/>
        <v>5143186</v>
      </c>
    </row>
    <row r="255" spans="1:6">
      <c r="A255" s="26" t="s">
        <v>361</v>
      </c>
      <c r="B255" s="24" t="s">
        <v>658</v>
      </c>
      <c r="C255" s="24" t="s">
        <v>362</v>
      </c>
      <c r="D255" s="27">
        <v>85323695</v>
      </c>
      <c r="E255" s="28">
        <v>105445284</v>
      </c>
      <c r="F255" s="33">
        <f t="shared" si="3"/>
        <v>20121589</v>
      </c>
    </row>
    <row r="256" spans="1:6">
      <c r="A256" s="26" t="s">
        <v>363</v>
      </c>
      <c r="B256" s="24" t="s">
        <v>45</v>
      </c>
      <c r="C256" s="24" t="s">
        <v>45</v>
      </c>
      <c r="D256" s="27">
        <v>158911549</v>
      </c>
      <c r="E256" s="28">
        <v>192772925</v>
      </c>
      <c r="F256" s="33">
        <f t="shared" si="3"/>
        <v>33861376</v>
      </c>
    </row>
    <row r="257" spans="1:6">
      <c r="A257" s="26" t="s">
        <v>364</v>
      </c>
      <c r="B257" s="24" t="s">
        <v>659</v>
      </c>
      <c r="C257" s="24" t="s">
        <v>325</v>
      </c>
      <c r="D257" s="27">
        <v>10105206</v>
      </c>
      <c r="E257" s="28">
        <v>11149849</v>
      </c>
      <c r="F257" s="33">
        <f t="shared" si="3"/>
        <v>1044643</v>
      </c>
    </row>
    <row r="258" spans="1:6">
      <c r="A258" s="29" t="s">
        <v>365</v>
      </c>
      <c r="B258" s="25" t="s">
        <v>660</v>
      </c>
      <c r="C258" s="25" t="s">
        <v>30</v>
      </c>
      <c r="D258" s="27">
        <v>8905818</v>
      </c>
      <c r="E258" s="34" t="s">
        <v>21</v>
      </c>
      <c r="F258" s="34" t="s">
        <v>21</v>
      </c>
    </row>
    <row r="259" spans="1:6">
      <c r="A259" s="26" t="s">
        <v>366</v>
      </c>
      <c r="B259" s="24" t="s">
        <v>661</v>
      </c>
      <c r="C259" s="24" t="s">
        <v>325</v>
      </c>
      <c r="D259" s="27">
        <v>13269575</v>
      </c>
      <c r="E259" s="28">
        <v>14677559</v>
      </c>
      <c r="F259" s="33">
        <f t="shared" si="3"/>
        <v>1407984</v>
      </c>
    </row>
    <row r="260" spans="1:6">
      <c r="A260" s="26" t="s">
        <v>367</v>
      </c>
      <c r="B260" s="24" t="s">
        <v>662</v>
      </c>
      <c r="C260" s="24" t="s">
        <v>245</v>
      </c>
      <c r="D260" s="27">
        <v>248051872</v>
      </c>
      <c r="E260" s="28">
        <v>315393821</v>
      </c>
      <c r="F260" s="33">
        <f t="shared" si="3"/>
        <v>67341949</v>
      </c>
    </row>
    <row r="261" spans="1:6">
      <c r="A261" s="26" t="s">
        <v>368</v>
      </c>
      <c r="B261" s="24" t="s">
        <v>663</v>
      </c>
      <c r="C261" s="24" t="s">
        <v>45</v>
      </c>
      <c r="D261" s="27">
        <v>82087267</v>
      </c>
      <c r="E261" s="28">
        <v>126740150</v>
      </c>
      <c r="F261" s="33">
        <f t="shared" ref="F261:F313" si="4">E261-D261</f>
        <v>44652883</v>
      </c>
    </row>
    <row r="262" spans="1:6">
      <c r="A262" s="26" t="s">
        <v>369</v>
      </c>
      <c r="B262" s="24" t="s">
        <v>664</v>
      </c>
      <c r="C262" s="24" t="s">
        <v>273</v>
      </c>
      <c r="D262" s="27">
        <v>17677124</v>
      </c>
      <c r="E262" s="28">
        <v>28269758</v>
      </c>
      <c r="F262" s="33">
        <f t="shared" si="4"/>
        <v>10592634</v>
      </c>
    </row>
    <row r="263" spans="1:6">
      <c r="A263" s="26" t="s">
        <v>370</v>
      </c>
      <c r="B263" s="24" t="s">
        <v>665</v>
      </c>
      <c r="C263" s="24" t="s">
        <v>256</v>
      </c>
      <c r="D263" s="27">
        <v>32964746</v>
      </c>
      <c r="E263" s="28">
        <v>35700366</v>
      </c>
      <c r="F263" s="33">
        <f t="shared" si="4"/>
        <v>2735620</v>
      </c>
    </row>
    <row r="264" spans="1:6">
      <c r="A264" s="26" t="s">
        <v>371</v>
      </c>
      <c r="B264" s="24" t="s">
        <v>666</v>
      </c>
      <c r="C264" s="24" t="s">
        <v>282</v>
      </c>
      <c r="D264" s="27">
        <v>19607761</v>
      </c>
      <c r="E264" s="28">
        <v>34867402</v>
      </c>
      <c r="F264" s="33">
        <f t="shared" si="4"/>
        <v>15259641</v>
      </c>
    </row>
    <row r="265" spans="1:6">
      <c r="A265" s="26" t="s">
        <v>372</v>
      </c>
      <c r="B265" s="24" t="s">
        <v>667</v>
      </c>
      <c r="C265" s="24" t="s">
        <v>373</v>
      </c>
      <c r="D265" s="27">
        <v>12724914</v>
      </c>
      <c r="E265" s="28">
        <v>11729798</v>
      </c>
      <c r="F265" s="33">
        <f t="shared" si="4"/>
        <v>-995116</v>
      </c>
    </row>
    <row r="266" spans="1:6">
      <c r="A266" s="26" t="s">
        <v>374</v>
      </c>
      <c r="B266" s="24" t="s">
        <v>668</v>
      </c>
      <c r="C266" s="24" t="s">
        <v>373</v>
      </c>
      <c r="D266" s="27">
        <v>13120820</v>
      </c>
      <c r="E266" s="28">
        <v>15560650</v>
      </c>
      <c r="F266" s="33">
        <f t="shared" si="4"/>
        <v>2439830</v>
      </c>
    </row>
    <row r="267" spans="1:6">
      <c r="A267" s="26" t="s">
        <v>375</v>
      </c>
      <c r="B267" s="24" t="s">
        <v>669</v>
      </c>
      <c r="C267" s="24" t="s">
        <v>45</v>
      </c>
      <c r="D267" s="27">
        <v>62485527</v>
      </c>
      <c r="E267" s="28">
        <v>90032018</v>
      </c>
      <c r="F267" s="33">
        <f t="shared" si="4"/>
        <v>27546491</v>
      </c>
    </row>
    <row r="268" spans="1:6">
      <c r="A268" s="26" t="s">
        <v>376</v>
      </c>
      <c r="B268" s="24" t="s">
        <v>670</v>
      </c>
      <c r="C268" s="24" t="s">
        <v>373</v>
      </c>
      <c r="D268" s="27">
        <v>90139597</v>
      </c>
      <c r="E268" s="28">
        <v>97538983</v>
      </c>
      <c r="F268" s="33">
        <f t="shared" si="4"/>
        <v>7399386</v>
      </c>
    </row>
    <row r="269" spans="1:6">
      <c r="A269" s="26" t="s">
        <v>377</v>
      </c>
      <c r="B269" s="24" t="s">
        <v>671</v>
      </c>
      <c r="C269" s="24" t="s">
        <v>378</v>
      </c>
      <c r="D269" s="27">
        <v>63299777</v>
      </c>
      <c r="E269" s="28">
        <v>77189904</v>
      </c>
      <c r="F269" s="33">
        <f t="shared" si="4"/>
        <v>13890127</v>
      </c>
    </row>
    <row r="270" spans="1:6">
      <c r="A270" s="26" t="s">
        <v>379</v>
      </c>
      <c r="B270" s="24" t="s">
        <v>672</v>
      </c>
      <c r="C270" s="24" t="s">
        <v>380</v>
      </c>
      <c r="D270" s="27">
        <v>33439011</v>
      </c>
      <c r="E270" s="28">
        <v>28009747</v>
      </c>
      <c r="F270" s="33">
        <f t="shared" si="4"/>
        <v>-5429264</v>
      </c>
    </row>
    <row r="271" spans="1:6">
      <c r="A271" s="26" t="s">
        <v>381</v>
      </c>
      <c r="B271" s="24" t="s">
        <v>673</v>
      </c>
      <c r="C271" s="24" t="s">
        <v>382</v>
      </c>
      <c r="D271" s="27">
        <v>6137090</v>
      </c>
      <c r="E271" s="28">
        <v>7423635</v>
      </c>
      <c r="F271" s="33">
        <f t="shared" si="4"/>
        <v>1286545</v>
      </c>
    </row>
    <row r="272" spans="1:6">
      <c r="A272" s="26" t="s">
        <v>383</v>
      </c>
      <c r="B272" s="24" t="s">
        <v>674</v>
      </c>
      <c r="C272" s="24" t="s">
        <v>45</v>
      </c>
      <c r="D272" s="27">
        <v>74053879</v>
      </c>
      <c r="E272" s="28">
        <v>111948738</v>
      </c>
      <c r="F272" s="33">
        <f t="shared" si="4"/>
        <v>37894859</v>
      </c>
    </row>
    <row r="273" spans="1:6">
      <c r="A273" s="26" t="s">
        <v>384</v>
      </c>
      <c r="B273" s="24" t="s">
        <v>675</v>
      </c>
      <c r="C273" s="24" t="s">
        <v>373</v>
      </c>
      <c r="D273" s="27">
        <v>81130205</v>
      </c>
      <c r="E273" s="28">
        <v>79627865</v>
      </c>
      <c r="F273" s="33">
        <f t="shared" si="4"/>
        <v>-1502340</v>
      </c>
    </row>
    <row r="274" spans="1:6">
      <c r="A274" s="26" t="s">
        <v>385</v>
      </c>
      <c r="B274" s="24" t="s">
        <v>676</v>
      </c>
      <c r="C274" s="24" t="s">
        <v>373</v>
      </c>
      <c r="D274" s="27">
        <v>6097653</v>
      </c>
      <c r="E274" s="28">
        <v>5953428</v>
      </c>
      <c r="F274" s="33">
        <f t="shared" si="4"/>
        <v>-144225</v>
      </c>
    </row>
    <row r="275" spans="1:6">
      <c r="A275" s="26" t="s">
        <v>386</v>
      </c>
      <c r="B275" s="24" t="s">
        <v>677</v>
      </c>
      <c r="C275" s="24" t="s">
        <v>290</v>
      </c>
      <c r="D275" s="27">
        <v>45481532</v>
      </c>
      <c r="E275" s="28">
        <v>60154384</v>
      </c>
      <c r="F275" s="33">
        <f t="shared" si="4"/>
        <v>14672852</v>
      </c>
    </row>
    <row r="276" spans="1:6">
      <c r="A276" s="26" t="s">
        <v>387</v>
      </c>
      <c r="B276" s="24" t="s">
        <v>678</v>
      </c>
      <c r="C276" s="24" t="s">
        <v>328</v>
      </c>
      <c r="D276" s="27">
        <v>12893737</v>
      </c>
      <c r="E276" s="28">
        <v>20321557</v>
      </c>
      <c r="F276" s="33">
        <f t="shared" si="4"/>
        <v>7427820</v>
      </c>
    </row>
    <row r="277" spans="1:6">
      <c r="A277" s="26" t="s">
        <v>388</v>
      </c>
      <c r="B277" s="24" t="s">
        <v>679</v>
      </c>
      <c r="C277" s="24" t="s">
        <v>389</v>
      </c>
      <c r="D277" s="27">
        <v>107349648</v>
      </c>
      <c r="E277" s="28">
        <v>200843265</v>
      </c>
      <c r="F277" s="33">
        <f t="shared" si="4"/>
        <v>93493617</v>
      </c>
    </row>
    <row r="278" spans="1:6">
      <c r="A278" s="26" t="s">
        <v>390</v>
      </c>
      <c r="B278" s="24" t="s">
        <v>680</v>
      </c>
      <c r="C278" s="24" t="s">
        <v>16</v>
      </c>
      <c r="D278" s="27">
        <v>11498786</v>
      </c>
      <c r="E278" s="28">
        <v>11955670</v>
      </c>
      <c r="F278" s="33">
        <f t="shared" si="4"/>
        <v>456884</v>
      </c>
    </row>
    <row r="279" spans="1:6">
      <c r="A279" s="26" t="s">
        <v>391</v>
      </c>
      <c r="B279" s="24" t="s">
        <v>681</v>
      </c>
      <c r="C279" s="24" t="s">
        <v>16</v>
      </c>
      <c r="D279" s="27">
        <v>15808028</v>
      </c>
      <c r="E279" s="28">
        <v>16175002</v>
      </c>
      <c r="F279" s="33">
        <f t="shared" si="4"/>
        <v>366974</v>
      </c>
    </row>
    <row r="280" spans="1:6">
      <c r="A280" s="26" t="s">
        <v>392</v>
      </c>
      <c r="B280" s="24" t="s">
        <v>682</v>
      </c>
      <c r="C280" s="24" t="s">
        <v>249</v>
      </c>
      <c r="D280" s="27">
        <v>11445135</v>
      </c>
      <c r="E280" s="28">
        <v>13100521</v>
      </c>
      <c r="F280" s="33">
        <f t="shared" si="4"/>
        <v>1655386</v>
      </c>
    </row>
    <row r="281" spans="1:6">
      <c r="A281" s="26" t="s">
        <v>393</v>
      </c>
      <c r="B281" s="24" t="s">
        <v>683</v>
      </c>
      <c r="C281" s="24" t="s">
        <v>394</v>
      </c>
      <c r="D281" s="27">
        <v>133417452</v>
      </c>
      <c r="E281" s="28">
        <v>188858320</v>
      </c>
      <c r="F281" s="33">
        <f t="shared" si="4"/>
        <v>55440868</v>
      </c>
    </row>
    <row r="282" spans="1:6">
      <c r="A282" s="26" t="s">
        <v>395</v>
      </c>
      <c r="B282" s="24" t="s">
        <v>684</v>
      </c>
      <c r="C282" s="24" t="s">
        <v>290</v>
      </c>
      <c r="D282" s="27">
        <v>17657474</v>
      </c>
      <c r="E282" s="28">
        <v>23127605</v>
      </c>
      <c r="F282" s="33">
        <f t="shared" si="4"/>
        <v>5470131</v>
      </c>
    </row>
    <row r="283" spans="1:6">
      <c r="A283" s="26" t="s">
        <v>396</v>
      </c>
      <c r="B283" s="24" t="s">
        <v>685</v>
      </c>
      <c r="C283" s="24" t="s">
        <v>382</v>
      </c>
      <c r="D283" s="27">
        <v>19741891</v>
      </c>
      <c r="E283" s="28">
        <v>38681601</v>
      </c>
      <c r="F283" s="33">
        <f t="shared" si="4"/>
        <v>18939710</v>
      </c>
    </row>
    <row r="284" spans="1:6">
      <c r="A284" s="26" t="s">
        <v>397</v>
      </c>
      <c r="B284" s="24" t="s">
        <v>686</v>
      </c>
      <c r="C284" s="24" t="s">
        <v>394</v>
      </c>
      <c r="D284" s="27">
        <v>50007132</v>
      </c>
      <c r="E284" s="28">
        <v>88377686</v>
      </c>
      <c r="F284" s="33">
        <f t="shared" si="4"/>
        <v>38370554</v>
      </c>
    </row>
    <row r="285" spans="1:6">
      <c r="A285" s="26" t="s">
        <v>398</v>
      </c>
      <c r="B285" s="24" t="s">
        <v>687</v>
      </c>
      <c r="C285" s="24" t="s">
        <v>282</v>
      </c>
      <c r="D285" s="27">
        <v>31283136</v>
      </c>
      <c r="E285" s="28">
        <v>46552211</v>
      </c>
      <c r="F285" s="33">
        <f t="shared" si="4"/>
        <v>15269075</v>
      </c>
    </row>
    <row r="286" spans="1:6">
      <c r="A286" s="26" t="s">
        <v>399</v>
      </c>
      <c r="B286" s="24" t="s">
        <v>688</v>
      </c>
      <c r="C286" s="24" t="s">
        <v>34</v>
      </c>
      <c r="D286" s="27">
        <v>12582709</v>
      </c>
      <c r="E286" s="28">
        <v>12283756</v>
      </c>
      <c r="F286" s="33">
        <f t="shared" si="4"/>
        <v>-298953</v>
      </c>
    </row>
    <row r="287" spans="1:6">
      <c r="A287" s="26" t="s">
        <v>400</v>
      </c>
      <c r="B287" s="24" t="s">
        <v>689</v>
      </c>
      <c r="C287" s="24" t="s">
        <v>290</v>
      </c>
      <c r="D287" s="27">
        <v>14246193</v>
      </c>
      <c r="E287" s="28">
        <v>18466357</v>
      </c>
      <c r="F287" s="33">
        <f t="shared" si="4"/>
        <v>4220164</v>
      </c>
    </row>
    <row r="288" spans="1:6">
      <c r="A288" s="26" t="s">
        <v>401</v>
      </c>
      <c r="B288" s="24" t="s">
        <v>690</v>
      </c>
      <c r="C288" s="24" t="s">
        <v>247</v>
      </c>
      <c r="D288" s="27">
        <v>15920280</v>
      </c>
      <c r="E288" s="28">
        <v>22999400</v>
      </c>
      <c r="F288" s="33">
        <f t="shared" si="4"/>
        <v>7079120</v>
      </c>
    </row>
    <row r="289" spans="1:6">
      <c r="A289" s="26" t="s">
        <v>402</v>
      </c>
      <c r="B289" s="24" t="s">
        <v>691</v>
      </c>
      <c r="C289" s="24" t="s">
        <v>284</v>
      </c>
      <c r="D289" s="27">
        <v>177722682</v>
      </c>
      <c r="E289" s="28">
        <v>241870289</v>
      </c>
      <c r="F289" s="33">
        <f t="shared" si="4"/>
        <v>64147607</v>
      </c>
    </row>
    <row r="290" spans="1:6">
      <c r="A290" s="26" t="s">
        <v>403</v>
      </c>
      <c r="B290" s="24" t="s">
        <v>692</v>
      </c>
      <c r="C290" s="24" t="s">
        <v>42</v>
      </c>
      <c r="D290" s="27">
        <v>85620346</v>
      </c>
      <c r="E290" s="28">
        <v>154858931</v>
      </c>
      <c r="F290" s="33">
        <f t="shared" si="4"/>
        <v>69238585</v>
      </c>
    </row>
    <row r="291" spans="1:6">
      <c r="A291" s="26" t="s">
        <v>404</v>
      </c>
      <c r="B291" s="24" t="s">
        <v>693</v>
      </c>
      <c r="C291" s="24" t="s">
        <v>224</v>
      </c>
      <c r="D291" s="27">
        <v>41347995</v>
      </c>
      <c r="E291" s="28">
        <v>56554476</v>
      </c>
      <c r="F291" s="33">
        <f t="shared" si="4"/>
        <v>15206481</v>
      </c>
    </row>
    <row r="292" spans="1:6">
      <c r="A292" s="26" t="s">
        <v>405</v>
      </c>
      <c r="B292" s="24" t="s">
        <v>694</v>
      </c>
      <c r="C292" s="24" t="s">
        <v>42</v>
      </c>
      <c r="D292" s="27">
        <v>15114777</v>
      </c>
      <c r="E292" s="28">
        <v>14666988</v>
      </c>
      <c r="F292" s="33">
        <f t="shared" si="4"/>
        <v>-447789</v>
      </c>
    </row>
    <row r="293" spans="1:6">
      <c r="A293" s="26" t="s">
        <v>406</v>
      </c>
      <c r="B293" s="24" t="s">
        <v>695</v>
      </c>
      <c r="C293" s="24" t="s">
        <v>306</v>
      </c>
      <c r="D293" s="27">
        <v>54472750</v>
      </c>
      <c r="E293" s="28">
        <v>55373436</v>
      </c>
      <c r="F293" s="33">
        <f t="shared" si="4"/>
        <v>900686</v>
      </c>
    </row>
    <row r="294" spans="1:6">
      <c r="A294" s="26" t="s">
        <v>407</v>
      </c>
      <c r="B294" s="24" t="s">
        <v>696</v>
      </c>
      <c r="C294" s="24" t="s">
        <v>408</v>
      </c>
      <c r="D294" s="27">
        <v>55231820</v>
      </c>
      <c r="E294" s="28">
        <v>67832851</v>
      </c>
      <c r="F294" s="33">
        <f t="shared" si="4"/>
        <v>12601031</v>
      </c>
    </row>
    <row r="295" spans="1:6">
      <c r="A295" s="26" t="s">
        <v>409</v>
      </c>
      <c r="B295" s="24" t="s">
        <v>697</v>
      </c>
      <c r="C295" s="24" t="s">
        <v>410</v>
      </c>
      <c r="D295" s="27">
        <v>39117474</v>
      </c>
      <c r="E295" s="28">
        <v>45145702</v>
      </c>
      <c r="F295" s="33">
        <f t="shared" si="4"/>
        <v>6028228</v>
      </c>
    </row>
    <row r="296" spans="1:6">
      <c r="A296" s="26" t="s">
        <v>411</v>
      </c>
      <c r="B296" s="24" t="s">
        <v>698</v>
      </c>
      <c r="C296" s="24" t="s">
        <v>410</v>
      </c>
      <c r="D296" s="27">
        <v>10471102</v>
      </c>
      <c r="E296" s="28">
        <v>10623820</v>
      </c>
      <c r="F296" s="33">
        <f t="shared" si="4"/>
        <v>152718</v>
      </c>
    </row>
    <row r="297" spans="1:6">
      <c r="A297" s="26" t="s">
        <v>412</v>
      </c>
      <c r="B297" s="24" t="s">
        <v>699</v>
      </c>
      <c r="C297" s="24" t="s">
        <v>224</v>
      </c>
      <c r="D297" s="27">
        <v>775708466</v>
      </c>
      <c r="E297" s="28">
        <v>963038628</v>
      </c>
      <c r="F297" s="33">
        <f t="shared" si="4"/>
        <v>187330162</v>
      </c>
    </row>
    <row r="298" spans="1:6">
      <c r="A298" s="26" t="s">
        <v>413</v>
      </c>
      <c r="B298" s="24" t="s">
        <v>700</v>
      </c>
      <c r="C298" s="24" t="s">
        <v>247</v>
      </c>
      <c r="D298" s="27">
        <v>15248520</v>
      </c>
      <c r="E298" s="28">
        <v>15636186</v>
      </c>
      <c r="F298" s="33">
        <f t="shared" si="4"/>
        <v>387666</v>
      </c>
    </row>
    <row r="299" spans="1:6">
      <c r="A299" s="26" t="s">
        <v>414</v>
      </c>
      <c r="B299" s="24" t="s">
        <v>701</v>
      </c>
      <c r="C299" s="24" t="s">
        <v>306</v>
      </c>
      <c r="D299" s="27">
        <v>12221076</v>
      </c>
      <c r="E299" s="28">
        <v>13308156</v>
      </c>
      <c r="F299" s="33">
        <f t="shared" si="4"/>
        <v>1087080</v>
      </c>
    </row>
    <row r="300" spans="1:6">
      <c r="A300" s="26" t="s">
        <v>415</v>
      </c>
      <c r="B300" s="24" t="s">
        <v>702</v>
      </c>
      <c r="C300" s="24" t="s">
        <v>38</v>
      </c>
      <c r="D300" s="27">
        <v>698434279</v>
      </c>
      <c r="E300" s="28">
        <v>727665821</v>
      </c>
      <c r="F300" s="33">
        <f t="shared" si="4"/>
        <v>29231542</v>
      </c>
    </row>
    <row r="301" spans="1:6">
      <c r="A301" s="26" t="s">
        <v>416</v>
      </c>
      <c r="B301" s="24" t="s">
        <v>703</v>
      </c>
      <c r="C301" s="24" t="s">
        <v>219</v>
      </c>
      <c r="D301" s="27">
        <v>587729520</v>
      </c>
      <c r="E301" s="28">
        <v>621732394</v>
      </c>
      <c r="F301" s="33">
        <f t="shared" si="4"/>
        <v>34002874</v>
      </c>
    </row>
    <row r="302" spans="1:6">
      <c r="A302" s="26" t="s">
        <v>417</v>
      </c>
      <c r="B302" s="24" t="s">
        <v>704</v>
      </c>
      <c r="C302" s="24" t="s">
        <v>222</v>
      </c>
      <c r="D302" s="27">
        <v>14521728</v>
      </c>
      <c r="E302" s="28">
        <v>17351440</v>
      </c>
      <c r="F302" s="33">
        <f t="shared" si="4"/>
        <v>2829712</v>
      </c>
    </row>
    <row r="303" spans="1:6">
      <c r="A303" s="26" t="s">
        <v>418</v>
      </c>
      <c r="B303" s="24" t="s">
        <v>705</v>
      </c>
      <c r="C303" s="24" t="s">
        <v>419</v>
      </c>
      <c r="D303" s="27">
        <v>46568557</v>
      </c>
      <c r="E303" s="28">
        <v>53898482</v>
      </c>
      <c r="F303" s="33">
        <f t="shared" si="4"/>
        <v>7329925</v>
      </c>
    </row>
    <row r="304" spans="1:6">
      <c r="A304" s="26" t="s">
        <v>420</v>
      </c>
      <c r="B304" s="24" t="s">
        <v>706</v>
      </c>
      <c r="C304" s="24" t="s">
        <v>419</v>
      </c>
      <c r="D304" s="27">
        <v>11527715</v>
      </c>
      <c r="E304" s="28">
        <v>10962447</v>
      </c>
      <c r="F304" s="33">
        <f t="shared" si="4"/>
        <v>-565268</v>
      </c>
    </row>
    <row r="305" spans="1:6">
      <c r="A305" s="26" t="s">
        <v>421</v>
      </c>
      <c r="B305" s="24" t="s">
        <v>707</v>
      </c>
      <c r="C305" s="24" t="s">
        <v>419</v>
      </c>
      <c r="D305" s="27">
        <v>6680286</v>
      </c>
      <c r="E305" s="28">
        <v>13331904</v>
      </c>
      <c r="F305" s="33">
        <f t="shared" si="4"/>
        <v>6651618</v>
      </c>
    </row>
    <row r="306" spans="1:6">
      <c r="A306" s="26" t="s">
        <v>422</v>
      </c>
      <c r="B306" s="24" t="s">
        <v>708</v>
      </c>
      <c r="C306" s="24" t="s">
        <v>419</v>
      </c>
      <c r="D306" s="27">
        <v>40865377</v>
      </c>
      <c r="E306" s="28">
        <v>53533864</v>
      </c>
      <c r="F306" s="33">
        <f t="shared" si="4"/>
        <v>12668487</v>
      </c>
    </row>
    <row r="307" spans="1:6">
      <c r="A307" s="26" t="s">
        <v>423</v>
      </c>
      <c r="B307" s="24" t="s">
        <v>709</v>
      </c>
      <c r="C307" s="24" t="s">
        <v>261</v>
      </c>
      <c r="D307" s="27">
        <v>100952008</v>
      </c>
      <c r="E307" s="28">
        <v>179210398</v>
      </c>
      <c r="F307" s="33">
        <f t="shared" si="4"/>
        <v>78258390</v>
      </c>
    </row>
    <row r="308" spans="1:6">
      <c r="A308" s="26" t="s">
        <v>424</v>
      </c>
      <c r="B308" s="24" t="s">
        <v>710</v>
      </c>
      <c r="C308" s="24" t="s">
        <v>306</v>
      </c>
      <c r="D308" s="27">
        <v>21335263</v>
      </c>
      <c r="E308" s="28">
        <v>25172788</v>
      </c>
      <c r="F308" s="33">
        <f t="shared" si="4"/>
        <v>3837525</v>
      </c>
    </row>
    <row r="309" spans="1:6">
      <c r="A309" s="26" t="s">
        <v>425</v>
      </c>
      <c r="B309" s="24" t="s">
        <v>711</v>
      </c>
      <c r="C309" s="24" t="s">
        <v>232</v>
      </c>
      <c r="D309" s="27">
        <v>7279032</v>
      </c>
      <c r="E309" s="28">
        <v>8273184</v>
      </c>
      <c r="F309" s="33">
        <f t="shared" si="4"/>
        <v>994152</v>
      </c>
    </row>
    <row r="310" spans="1:6">
      <c r="A310" s="26" t="s">
        <v>426</v>
      </c>
      <c r="B310" s="24" t="s">
        <v>712</v>
      </c>
      <c r="C310" s="24" t="s">
        <v>242</v>
      </c>
      <c r="D310" s="27">
        <v>9410955</v>
      </c>
      <c r="E310" s="28">
        <v>18027294</v>
      </c>
      <c r="F310" s="33">
        <f t="shared" si="4"/>
        <v>8616339</v>
      </c>
    </row>
    <row r="311" spans="1:6" ht="12.75" thickBot="1">
      <c r="A311" s="26" t="s">
        <v>427</v>
      </c>
      <c r="B311" s="24" t="s">
        <v>713</v>
      </c>
      <c r="C311" s="24" t="s">
        <v>77</v>
      </c>
      <c r="D311" s="30">
        <v>2798510295</v>
      </c>
      <c r="E311" s="31">
        <v>3096324835</v>
      </c>
      <c r="F311" s="30">
        <f t="shared" si="4"/>
        <v>297814540</v>
      </c>
    </row>
    <row r="312" spans="1:6" ht="12.75" thickTop="1">
      <c r="A312" s="26"/>
      <c r="B312" s="24"/>
      <c r="C312" s="24"/>
      <c r="D312" s="33"/>
      <c r="E312" s="70"/>
      <c r="F312" s="33"/>
    </row>
    <row r="313" spans="1:6">
      <c r="A313" s="26" t="s">
        <v>428</v>
      </c>
      <c r="B313" s="32"/>
      <c r="C313" s="32"/>
      <c r="D313" s="28">
        <f>SUM(D4:D311)</f>
        <v>23960004862</v>
      </c>
      <c r="E313" s="28">
        <f>SUM(E4:E311)</f>
        <v>30251084206</v>
      </c>
      <c r="F313" s="33">
        <f t="shared" si="4"/>
        <v>6291079344</v>
      </c>
    </row>
  </sheetData>
  <printOptions horizontalCentered="1" gridLines="1"/>
  <pageMargins left="0.45" right="0.45" top="0.5" bottom="0.5" header="0.3" footer="0.3"/>
  <pageSetup orientation="portrait" r:id="rId1"/>
  <headerFooter>
    <oddFooter>&amp;R&amp;10SF1002.xlsx (ASSD VAL)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N31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defaultRowHeight="12"/>
  <cols>
    <col min="1" max="1" width="6.85546875" style="79" bestFit="1" customWidth="1"/>
    <col min="2" max="2" width="16" style="80" bestFit="1" customWidth="1"/>
    <col min="3" max="3" width="11.85546875" style="80" bestFit="1" customWidth="1"/>
    <col min="4" max="4" width="12.5703125" style="80" bestFit="1" customWidth="1"/>
    <col min="5" max="5" width="13.140625" style="80" bestFit="1" customWidth="1"/>
    <col min="6" max="6" width="12.140625" style="80" bestFit="1" customWidth="1"/>
    <col min="7" max="7" width="12" style="80" bestFit="1" customWidth="1"/>
    <col min="8" max="8" width="13" style="80" bestFit="1" customWidth="1"/>
    <col min="9" max="9" width="2" style="80" customWidth="1"/>
    <col min="10" max="10" width="12.7109375" style="80" bestFit="1" customWidth="1"/>
    <col min="11" max="11" width="13.140625" style="80" bestFit="1" customWidth="1"/>
    <col min="12" max="12" width="12.140625" style="80" bestFit="1" customWidth="1"/>
    <col min="13" max="13" width="11.85546875" style="80" bestFit="1" customWidth="1"/>
    <col min="14" max="14" width="12.7109375" style="80" bestFit="1" customWidth="1"/>
    <col min="15" max="16384" width="9.140625" style="80"/>
  </cols>
  <sheetData>
    <row r="1" spans="1:14" ht="12.75">
      <c r="B1" s="94">
        <v>40387</v>
      </c>
      <c r="D1" s="112" t="s">
        <v>742</v>
      </c>
      <c r="E1" s="112"/>
      <c r="F1" s="112"/>
      <c r="G1" s="112"/>
      <c r="H1" s="112"/>
      <c r="I1" s="81"/>
      <c r="J1" s="112" t="s">
        <v>743</v>
      </c>
      <c r="K1" s="112"/>
      <c r="L1" s="112"/>
      <c r="M1" s="112"/>
      <c r="N1" s="112"/>
    </row>
    <row r="2" spans="1:14">
      <c r="D2" s="82"/>
      <c r="E2" s="82"/>
      <c r="F2" s="82"/>
      <c r="G2" s="82"/>
      <c r="H2" s="82"/>
      <c r="I2" s="81"/>
      <c r="J2" s="82"/>
      <c r="K2" s="82"/>
      <c r="L2" s="82"/>
      <c r="M2" s="82"/>
      <c r="N2" s="82"/>
    </row>
    <row r="3" spans="1:14" ht="24.75" thickBot="1">
      <c r="A3" s="83" t="s">
        <v>9</v>
      </c>
      <c r="B3" s="84" t="s">
        <v>10</v>
      </c>
      <c r="C3" s="84" t="s">
        <v>3</v>
      </c>
      <c r="D3" s="85" t="s">
        <v>737</v>
      </c>
      <c r="E3" s="85" t="s">
        <v>738</v>
      </c>
      <c r="F3" s="85" t="s">
        <v>740</v>
      </c>
      <c r="G3" s="85" t="s">
        <v>739</v>
      </c>
      <c r="H3" s="85" t="s">
        <v>741</v>
      </c>
      <c r="I3" s="81"/>
      <c r="J3" s="85" t="s">
        <v>737</v>
      </c>
      <c r="K3" s="85" t="s">
        <v>738</v>
      </c>
      <c r="L3" s="85" t="s">
        <v>740</v>
      </c>
      <c r="M3" s="85" t="s">
        <v>739</v>
      </c>
      <c r="N3" s="85" t="s">
        <v>741</v>
      </c>
    </row>
    <row r="4" spans="1:14">
      <c r="A4" s="86" t="s">
        <v>13</v>
      </c>
      <c r="B4" s="87" t="s">
        <v>433</v>
      </c>
      <c r="C4" s="88" t="s">
        <v>14</v>
      </c>
      <c r="D4" s="89">
        <v>6413537</v>
      </c>
      <c r="E4" s="89">
        <v>16596323</v>
      </c>
      <c r="F4" s="89">
        <v>7590052</v>
      </c>
      <c r="G4" s="89">
        <v>7082831</v>
      </c>
      <c r="H4" s="89">
        <f>SUM(D4:G4)</f>
        <v>37682743</v>
      </c>
      <c r="I4" s="81"/>
      <c r="J4" s="89">
        <v>4540809</v>
      </c>
      <c r="K4" s="89">
        <v>12220478</v>
      </c>
      <c r="L4" s="89">
        <v>21324457</v>
      </c>
      <c r="M4" s="89">
        <v>12150930</v>
      </c>
      <c r="N4" s="89">
        <f>SUM(J4:M4)</f>
        <v>50236674</v>
      </c>
    </row>
    <row r="5" spans="1:14">
      <c r="A5" s="86" t="s">
        <v>15</v>
      </c>
      <c r="B5" s="87" t="s">
        <v>434</v>
      </c>
      <c r="C5" s="88" t="s">
        <v>16</v>
      </c>
      <c r="D5" s="89">
        <v>10114968</v>
      </c>
      <c r="E5" s="89">
        <v>16965272</v>
      </c>
      <c r="F5" s="89">
        <v>1871065</v>
      </c>
      <c r="G5" s="89">
        <v>3259369</v>
      </c>
      <c r="H5" s="89">
        <f t="shared" ref="H5:H73" si="0">SUM(D5:G5)</f>
        <v>32210674</v>
      </c>
      <c r="I5" s="81"/>
      <c r="J5" s="89">
        <v>10938802</v>
      </c>
      <c r="K5" s="89">
        <v>16095332</v>
      </c>
      <c r="L5" s="89">
        <v>1660752</v>
      </c>
      <c r="M5" s="89">
        <v>5973871</v>
      </c>
      <c r="N5" s="89">
        <f t="shared" ref="N5:N68" si="1">SUM(J5:M5)</f>
        <v>34668757</v>
      </c>
    </row>
    <row r="6" spans="1:14">
      <c r="A6" s="86" t="s">
        <v>17</v>
      </c>
      <c r="B6" s="87" t="s">
        <v>435</v>
      </c>
      <c r="C6" s="88" t="s">
        <v>18</v>
      </c>
      <c r="D6" s="89">
        <v>2193066</v>
      </c>
      <c r="E6" s="89">
        <v>12982589</v>
      </c>
      <c r="F6" s="89">
        <v>755236</v>
      </c>
      <c r="G6" s="89">
        <v>2084680</v>
      </c>
      <c r="H6" s="89">
        <f t="shared" si="0"/>
        <v>18015571</v>
      </c>
      <c r="I6" s="81"/>
      <c r="J6" s="89">
        <v>2244813</v>
      </c>
      <c r="K6" s="89">
        <v>8651862</v>
      </c>
      <c r="L6" s="89">
        <v>1673358</v>
      </c>
      <c r="M6" s="89">
        <v>2167427</v>
      </c>
      <c r="N6" s="89">
        <f t="shared" si="1"/>
        <v>14737460</v>
      </c>
    </row>
    <row r="7" spans="1:14">
      <c r="A7" s="86" t="s">
        <v>19</v>
      </c>
      <c r="B7" s="87" t="s">
        <v>436</v>
      </c>
      <c r="C7" s="88" t="s">
        <v>20</v>
      </c>
      <c r="D7" s="89">
        <v>504820</v>
      </c>
      <c r="E7" s="89">
        <v>11946664</v>
      </c>
      <c r="F7" s="89">
        <v>504037</v>
      </c>
      <c r="G7" s="89">
        <v>1762822</v>
      </c>
      <c r="H7" s="89">
        <f t="shared" si="0"/>
        <v>14718343</v>
      </c>
      <c r="I7" s="81"/>
      <c r="J7" s="92" t="s">
        <v>21</v>
      </c>
      <c r="K7" s="92" t="s">
        <v>21</v>
      </c>
      <c r="L7" s="92" t="s">
        <v>21</v>
      </c>
      <c r="M7" s="92" t="s">
        <v>21</v>
      </c>
      <c r="N7" s="92" t="s">
        <v>21</v>
      </c>
    </row>
    <row r="8" spans="1:14">
      <c r="A8" s="86" t="s">
        <v>22</v>
      </c>
      <c r="B8" s="87" t="s">
        <v>437</v>
      </c>
      <c r="C8" s="88" t="s">
        <v>23</v>
      </c>
      <c r="D8" s="89">
        <v>4553256</v>
      </c>
      <c r="E8" s="89">
        <v>11144200</v>
      </c>
      <c r="F8" s="89">
        <v>1992653</v>
      </c>
      <c r="G8" s="89">
        <v>6407295</v>
      </c>
      <c r="H8" s="89">
        <f t="shared" si="0"/>
        <v>24097404</v>
      </c>
      <c r="I8" s="81"/>
      <c r="J8" s="89">
        <v>4969451</v>
      </c>
      <c r="K8" s="89">
        <v>7729652</v>
      </c>
      <c r="L8" s="89">
        <v>2688853</v>
      </c>
      <c r="M8" s="89">
        <v>6609168</v>
      </c>
      <c r="N8" s="89">
        <f t="shared" si="1"/>
        <v>21997124</v>
      </c>
    </row>
    <row r="9" spans="1:14">
      <c r="A9" s="86" t="s">
        <v>24</v>
      </c>
      <c r="B9" s="87" t="s">
        <v>438</v>
      </c>
      <c r="C9" s="88" t="s">
        <v>25</v>
      </c>
      <c r="D9" s="89">
        <v>1694003</v>
      </c>
      <c r="E9" s="89">
        <v>8359007</v>
      </c>
      <c r="F9" s="89">
        <v>6284421</v>
      </c>
      <c r="G9" s="89">
        <v>2468365</v>
      </c>
      <c r="H9" s="89">
        <f t="shared" si="0"/>
        <v>18805796</v>
      </c>
      <c r="I9" s="81"/>
      <c r="J9" s="89">
        <v>2083536</v>
      </c>
      <c r="K9" s="89">
        <v>6092941</v>
      </c>
      <c r="L9" s="89">
        <v>18968346</v>
      </c>
      <c r="M9" s="89">
        <v>2397432</v>
      </c>
      <c r="N9" s="89">
        <f t="shared" si="1"/>
        <v>29542255</v>
      </c>
    </row>
    <row r="10" spans="1:14">
      <c r="A10" s="86" t="s">
        <v>26</v>
      </c>
      <c r="B10" s="87" t="s">
        <v>439</v>
      </c>
      <c r="C10" s="88" t="s">
        <v>20</v>
      </c>
      <c r="D10" s="92" t="s">
        <v>21</v>
      </c>
      <c r="E10" s="92" t="s">
        <v>21</v>
      </c>
      <c r="F10" s="92" t="s">
        <v>21</v>
      </c>
      <c r="G10" s="92" t="s">
        <v>21</v>
      </c>
      <c r="H10" s="92" t="s">
        <v>21</v>
      </c>
      <c r="I10" s="81"/>
      <c r="J10" s="89">
        <v>3469380</v>
      </c>
      <c r="K10" s="89">
        <v>18614752</v>
      </c>
      <c r="L10" s="89">
        <v>1016516</v>
      </c>
      <c r="M10" s="89">
        <v>3774683</v>
      </c>
      <c r="N10" s="89">
        <f t="shared" si="1"/>
        <v>26875331</v>
      </c>
    </row>
    <row r="11" spans="1:14">
      <c r="A11" s="86" t="s">
        <v>27</v>
      </c>
      <c r="B11" s="87" t="s">
        <v>440</v>
      </c>
      <c r="C11" s="88" t="s">
        <v>28</v>
      </c>
      <c r="D11" s="92" t="s">
        <v>21</v>
      </c>
      <c r="E11" s="92" t="s">
        <v>21</v>
      </c>
      <c r="F11" s="92" t="s">
        <v>21</v>
      </c>
      <c r="G11" s="92" t="s">
        <v>21</v>
      </c>
      <c r="H11" s="92" t="s">
        <v>21</v>
      </c>
      <c r="I11" s="81"/>
      <c r="J11" s="89">
        <v>6267790</v>
      </c>
      <c r="K11" s="89">
        <v>12182623</v>
      </c>
      <c r="L11" s="89">
        <v>1026212</v>
      </c>
      <c r="M11" s="89">
        <v>7615529</v>
      </c>
      <c r="N11" s="89">
        <f t="shared" si="1"/>
        <v>27092154</v>
      </c>
    </row>
    <row r="12" spans="1:14">
      <c r="A12" s="86" t="s">
        <v>29</v>
      </c>
      <c r="B12" s="87" t="s">
        <v>441</v>
      </c>
      <c r="C12" s="88" t="s">
        <v>30</v>
      </c>
      <c r="D12" s="92" t="s">
        <v>21</v>
      </c>
      <c r="E12" s="92" t="s">
        <v>21</v>
      </c>
      <c r="F12" s="92" t="s">
        <v>21</v>
      </c>
      <c r="G12" s="92" t="s">
        <v>21</v>
      </c>
      <c r="H12" s="92" t="s">
        <v>21</v>
      </c>
      <c r="I12" s="81"/>
      <c r="J12" s="89">
        <v>8102415</v>
      </c>
      <c r="K12" s="89">
        <v>20459832</v>
      </c>
      <c r="L12" s="89">
        <v>1594089</v>
      </c>
      <c r="M12" s="89">
        <v>4051217</v>
      </c>
      <c r="N12" s="89">
        <f t="shared" si="1"/>
        <v>34207553</v>
      </c>
    </row>
    <row r="13" spans="1:14">
      <c r="A13" s="86" t="s">
        <v>31</v>
      </c>
      <c r="B13" s="87" t="s">
        <v>442</v>
      </c>
      <c r="C13" s="88" t="s">
        <v>32</v>
      </c>
      <c r="D13" s="92" t="s">
        <v>21</v>
      </c>
      <c r="E13" s="92" t="s">
        <v>21</v>
      </c>
      <c r="F13" s="92" t="s">
        <v>21</v>
      </c>
      <c r="G13" s="92" t="s">
        <v>21</v>
      </c>
      <c r="H13" s="92" t="s">
        <v>21</v>
      </c>
      <c r="I13" s="81"/>
      <c r="J13" s="89">
        <v>2159123</v>
      </c>
      <c r="K13" s="89">
        <v>9659369</v>
      </c>
      <c r="L13" s="89">
        <v>576900</v>
      </c>
      <c r="M13" s="89">
        <v>1657598</v>
      </c>
      <c r="N13" s="89">
        <f t="shared" si="1"/>
        <v>14052990</v>
      </c>
    </row>
    <row r="14" spans="1:14">
      <c r="A14" s="86" t="s">
        <v>33</v>
      </c>
      <c r="B14" s="87" t="s">
        <v>443</v>
      </c>
      <c r="C14" s="88" t="s">
        <v>34</v>
      </c>
      <c r="D14" s="92" t="s">
        <v>21</v>
      </c>
      <c r="E14" s="92" t="s">
        <v>21</v>
      </c>
      <c r="F14" s="92" t="s">
        <v>21</v>
      </c>
      <c r="G14" s="92" t="s">
        <v>21</v>
      </c>
      <c r="H14" s="92" t="s">
        <v>21</v>
      </c>
      <c r="I14" s="81"/>
      <c r="J14" s="89">
        <v>4038736</v>
      </c>
      <c r="K14" s="89">
        <v>20573618</v>
      </c>
      <c r="L14" s="89">
        <v>917210</v>
      </c>
      <c r="M14" s="89">
        <v>9737409</v>
      </c>
      <c r="N14" s="89">
        <f t="shared" si="1"/>
        <v>35266973</v>
      </c>
    </row>
    <row r="15" spans="1:14">
      <c r="A15" s="86" t="s">
        <v>35</v>
      </c>
      <c r="B15" s="87" t="s">
        <v>444</v>
      </c>
      <c r="C15" s="88" t="s">
        <v>36</v>
      </c>
      <c r="D15" s="89">
        <v>3069242</v>
      </c>
      <c r="E15" s="89">
        <v>15339594</v>
      </c>
      <c r="F15" s="89">
        <v>8246068</v>
      </c>
      <c r="G15" s="89">
        <v>5861132</v>
      </c>
      <c r="H15" s="89">
        <f t="shared" si="0"/>
        <v>32516036</v>
      </c>
      <c r="I15" s="81"/>
      <c r="J15" s="89">
        <v>3435151</v>
      </c>
      <c r="K15" s="89">
        <v>9053756</v>
      </c>
      <c r="L15" s="89">
        <v>13496358</v>
      </c>
      <c r="M15" s="89">
        <v>9635312</v>
      </c>
      <c r="N15" s="89">
        <f t="shared" si="1"/>
        <v>35620577</v>
      </c>
    </row>
    <row r="16" spans="1:14">
      <c r="A16" s="86" t="s">
        <v>37</v>
      </c>
      <c r="B16" s="87" t="s">
        <v>445</v>
      </c>
      <c r="C16" s="88" t="s">
        <v>38</v>
      </c>
      <c r="D16" s="89">
        <v>107354954</v>
      </c>
      <c r="E16" s="89">
        <v>0</v>
      </c>
      <c r="F16" s="89">
        <v>21289930</v>
      </c>
      <c r="G16" s="89">
        <v>4446317</v>
      </c>
      <c r="H16" s="89">
        <f t="shared" si="0"/>
        <v>133091201</v>
      </c>
      <c r="I16" s="81"/>
      <c r="J16" s="89">
        <v>123901643</v>
      </c>
      <c r="K16" s="89">
        <v>0</v>
      </c>
      <c r="L16" s="89">
        <v>12666896</v>
      </c>
      <c r="M16" s="89">
        <v>5021058</v>
      </c>
      <c r="N16" s="89">
        <f t="shared" si="1"/>
        <v>141589597</v>
      </c>
    </row>
    <row r="17" spans="1:14">
      <c r="A17" s="86" t="s">
        <v>39</v>
      </c>
      <c r="B17" s="87" t="s">
        <v>446</v>
      </c>
      <c r="C17" s="88" t="s">
        <v>38</v>
      </c>
      <c r="D17" s="89">
        <v>77093063</v>
      </c>
      <c r="E17" s="89">
        <v>0</v>
      </c>
      <c r="F17" s="89">
        <v>3675154</v>
      </c>
      <c r="G17" s="89">
        <v>2303575</v>
      </c>
      <c r="H17" s="89">
        <f t="shared" si="0"/>
        <v>83071792</v>
      </c>
      <c r="I17" s="81"/>
      <c r="J17" s="89">
        <v>150721258</v>
      </c>
      <c r="K17" s="89">
        <v>0</v>
      </c>
      <c r="L17" s="89">
        <v>3805323</v>
      </c>
      <c r="M17" s="89">
        <v>2242334</v>
      </c>
      <c r="N17" s="89">
        <f t="shared" si="1"/>
        <v>156768915</v>
      </c>
    </row>
    <row r="18" spans="1:14">
      <c r="A18" s="86" t="s">
        <v>40</v>
      </c>
      <c r="B18" s="87" t="s">
        <v>447</v>
      </c>
      <c r="C18" s="88" t="s">
        <v>38</v>
      </c>
      <c r="D18" s="89">
        <v>84578365</v>
      </c>
      <c r="E18" s="89">
        <v>2813299</v>
      </c>
      <c r="F18" s="89">
        <v>13280933</v>
      </c>
      <c r="G18" s="89">
        <v>9149841</v>
      </c>
      <c r="H18" s="89">
        <f t="shared" si="0"/>
        <v>109822438</v>
      </c>
      <c r="I18" s="81"/>
      <c r="J18" s="89">
        <v>124349603</v>
      </c>
      <c r="K18" s="89">
        <v>3133897</v>
      </c>
      <c r="L18" s="89">
        <v>11551111</v>
      </c>
      <c r="M18" s="89">
        <v>7695697</v>
      </c>
      <c r="N18" s="89">
        <f t="shared" si="1"/>
        <v>146730308</v>
      </c>
    </row>
    <row r="19" spans="1:14">
      <c r="A19" s="86" t="s">
        <v>41</v>
      </c>
      <c r="B19" s="87" t="s">
        <v>448</v>
      </c>
      <c r="C19" s="88" t="s">
        <v>42</v>
      </c>
      <c r="D19" s="89">
        <v>1927545</v>
      </c>
      <c r="E19" s="89">
        <v>17510596</v>
      </c>
      <c r="F19" s="89">
        <v>2230056</v>
      </c>
      <c r="G19" s="89">
        <v>3736090</v>
      </c>
      <c r="H19" s="89">
        <f t="shared" si="0"/>
        <v>25404287</v>
      </c>
      <c r="I19" s="81"/>
      <c r="J19" s="89">
        <v>2238501</v>
      </c>
      <c r="K19" s="89">
        <v>19461428</v>
      </c>
      <c r="L19" s="89">
        <v>3369257</v>
      </c>
      <c r="M19" s="89">
        <v>3462537</v>
      </c>
      <c r="N19" s="89">
        <f t="shared" si="1"/>
        <v>28531723</v>
      </c>
    </row>
    <row r="20" spans="1:14">
      <c r="A20" s="86" t="s">
        <v>43</v>
      </c>
      <c r="B20" s="87" t="s">
        <v>449</v>
      </c>
      <c r="C20" s="88" t="s">
        <v>42</v>
      </c>
      <c r="D20" s="89">
        <v>4527687</v>
      </c>
      <c r="E20" s="89">
        <v>16925933</v>
      </c>
      <c r="F20" s="89">
        <v>2339853</v>
      </c>
      <c r="G20" s="89">
        <v>6101623</v>
      </c>
      <c r="H20" s="89">
        <f t="shared" si="0"/>
        <v>29895096</v>
      </c>
      <c r="I20" s="81"/>
      <c r="J20" s="89">
        <v>5167363</v>
      </c>
      <c r="K20" s="89">
        <v>18261134</v>
      </c>
      <c r="L20" s="89">
        <v>3238544</v>
      </c>
      <c r="M20" s="89">
        <v>7152814</v>
      </c>
      <c r="N20" s="89">
        <f t="shared" si="1"/>
        <v>33819855</v>
      </c>
    </row>
    <row r="21" spans="1:14">
      <c r="A21" s="86" t="s">
        <v>44</v>
      </c>
      <c r="B21" s="87" t="s">
        <v>450</v>
      </c>
      <c r="C21" s="88" t="s">
        <v>45</v>
      </c>
      <c r="D21" s="89">
        <v>0</v>
      </c>
      <c r="E21" s="89">
        <v>0</v>
      </c>
      <c r="F21" s="89">
        <v>643463</v>
      </c>
      <c r="G21" s="89">
        <v>687377</v>
      </c>
      <c r="H21" s="89">
        <f t="shared" si="0"/>
        <v>1330840</v>
      </c>
      <c r="I21" s="81"/>
      <c r="J21" s="89">
        <v>0</v>
      </c>
      <c r="K21" s="89">
        <v>0</v>
      </c>
      <c r="L21" s="89">
        <v>282760</v>
      </c>
      <c r="M21" s="89">
        <v>2049235</v>
      </c>
      <c r="N21" s="89">
        <f t="shared" si="1"/>
        <v>2331995</v>
      </c>
    </row>
    <row r="22" spans="1:14">
      <c r="A22" s="86" t="s">
        <v>46</v>
      </c>
      <c r="B22" s="87" t="s">
        <v>451</v>
      </c>
      <c r="C22" s="88" t="s">
        <v>47</v>
      </c>
      <c r="D22" s="89">
        <v>6661356</v>
      </c>
      <c r="E22" s="89">
        <v>12642777</v>
      </c>
      <c r="F22" s="89">
        <v>3655998</v>
      </c>
      <c r="G22" s="89">
        <v>5823904</v>
      </c>
      <c r="H22" s="89">
        <f t="shared" si="0"/>
        <v>28784035</v>
      </c>
      <c r="I22" s="81"/>
      <c r="J22" s="89">
        <v>7899407</v>
      </c>
      <c r="K22" s="89">
        <v>10231929</v>
      </c>
      <c r="L22" s="89">
        <v>8525674</v>
      </c>
      <c r="M22" s="89">
        <v>7008660</v>
      </c>
      <c r="N22" s="89">
        <f t="shared" si="1"/>
        <v>33665670</v>
      </c>
    </row>
    <row r="23" spans="1:14">
      <c r="A23" s="86" t="s">
        <v>48</v>
      </c>
      <c r="B23" s="87" t="s">
        <v>452</v>
      </c>
      <c r="C23" s="88" t="s">
        <v>49</v>
      </c>
      <c r="D23" s="89">
        <v>586127</v>
      </c>
      <c r="E23" s="89">
        <v>6744880</v>
      </c>
      <c r="F23" s="89">
        <v>59190135</v>
      </c>
      <c r="G23" s="89">
        <v>4919189</v>
      </c>
      <c r="H23" s="89">
        <f t="shared" si="0"/>
        <v>71440331</v>
      </c>
      <c r="I23" s="81"/>
      <c r="J23" s="89">
        <v>603366</v>
      </c>
      <c r="K23" s="89">
        <v>6284017</v>
      </c>
      <c r="L23" s="89">
        <v>95247500</v>
      </c>
      <c r="M23" s="89">
        <v>6184059</v>
      </c>
      <c r="N23" s="89">
        <f t="shared" si="1"/>
        <v>108318942</v>
      </c>
    </row>
    <row r="24" spans="1:14">
      <c r="A24" s="86" t="s">
        <v>50</v>
      </c>
      <c r="B24" s="87" t="s">
        <v>453</v>
      </c>
      <c r="C24" s="88" t="s">
        <v>49</v>
      </c>
      <c r="D24" s="89">
        <v>12347302</v>
      </c>
      <c r="E24" s="89">
        <v>16913650</v>
      </c>
      <c r="F24" s="89">
        <v>174688259</v>
      </c>
      <c r="G24" s="89">
        <v>27204347</v>
      </c>
      <c r="H24" s="89">
        <f t="shared" si="0"/>
        <v>231153558</v>
      </c>
      <c r="I24" s="81"/>
      <c r="J24" s="89">
        <v>14321506</v>
      </c>
      <c r="K24" s="89">
        <v>13928134</v>
      </c>
      <c r="L24" s="89">
        <v>276021604</v>
      </c>
      <c r="M24" s="89">
        <v>30002991</v>
      </c>
      <c r="N24" s="89">
        <f t="shared" si="1"/>
        <v>334274235</v>
      </c>
    </row>
    <row r="25" spans="1:14">
      <c r="A25" s="86" t="s">
        <v>51</v>
      </c>
      <c r="B25" s="87" t="s">
        <v>52</v>
      </c>
      <c r="C25" s="88" t="s">
        <v>52</v>
      </c>
      <c r="D25" s="89">
        <v>8796194</v>
      </c>
      <c r="E25" s="89">
        <v>8346276</v>
      </c>
      <c r="F25" s="89">
        <v>2284258</v>
      </c>
      <c r="G25" s="89">
        <v>2681530</v>
      </c>
      <c r="H25" s="89">
        <f t="shared" si="0"/>
        <v>22108258</v>
      </c>
      <c r="I25" s="81"/>
      <c r="J25" s="89">
        <v>9699123</v>
      </c>
      <c r="K25" s="89">
        <v>7839344</v>
      </c>
      <c r="L25" s="89">
        <v>2791532</v>
      </c>
      <c r="M25" s="89">
        <v>3322774</v>
      </c>
      <c r="N25" s="89">
        <f t="shared" si="1"/>
        <v>23652773</v>
      </c>
    </row>
    <row r="26" spans="1:14">
      <c r="A26" s="86" t="s">
        <v>53</v>
      </c>
      <c r="B26" s="87" t="s">
        <v>454</v>
      </c>
      <c r="C26" s="88" t="s">
        <v>52</v>
      </c>
      <c r="D26" s="89">
        <v>1123623</v>
      </c>
      <c r="E26" s="89">
        <v>7144345</v>
      </c>
      <c r="F26" s="89">
        <v>598093</v>
      </c>
      <c r="G26" s="89">
        <v>1262364</v>
      </c>
      <c r="H26" s="89">
        <f t="shared" si="0"/>
        <v>10128425</v>
      </c>
      <c r="I26" s="81"/>
      <c r="J26" s="89">
        <v>1230793</v>
      </c>
      <c r="K26" s="89">
        <v>5549521</v>
      </c>
      <c r="L26" s="89">
        <v>839277</v>
      </c>
      <c r="M26" s="89">
        <v>1403628</v>
      </c>
      <c r="N26" s="89">
        <f t="shared" si="1"/>
        <v>9023219</v>
      </c>
    </row>
    <row r="27" spans="1:14">
      <c r="A27" s="86" t="s">
        <v>54</v>
      </c>
      <c r="B27" s="87" t="s">
        <v>455</v>
      </c>
      <c r="C27" s="88" t="s">
        <v>52</v>
      </c>
      <c r="D27" s="89">
        <v>694218</v>
      </c>
      <c r="E27" s="89">
        <v>5193197</v>
      </c>
      <c r="F27" s="89">
        <v>641286</v>
      </c>
      <c r="G27" s="89">
        <v>2655159</v>
      </c>
      <c r="H27" s="89">
        <f t="shared" si="0"/>
        <v>9183860</v>
      </c>
      <c r="I27" s="81"/>
      <c r="J27" s="89">
        <v>742610</v>
      </c>
      <c r="K27" s="89">
        <v>3661972</v>
      </c>
      <c r="L27" s="89">
        <v>2903056</v>
      </c>
      <c r="M27" s="89">
        <v>2509821</v>
      </c>
      <c r="N27" s="89">
        <f t="shared" si="1"/>
        <v>9817459</v>
      </c>
    </row>
    <row r="28" spans="1:14">
      <c r="A28" s="86" t="s">
        <v>55</v>
      </c>
      <c r="B28" s="87" t="s">
        <v>456</v>
      </c>
      <c r="C28" s="88" t="s">
        <v>56</v>
      </c>
      <c r="D28" s="89">
        <v>20546657</v>
      </c>
      <c r="E28" s="89">
        <v>47650158</v>
      </c>
      <c r="F28" s="89">
        <v>170111118</v>
      </c>
      <c r="G28" s="89">
        <v>24811064</v>
      </c>
      <c r="H28" s="89">
        <f t="shared" si="0"/>
        <v>263118997</v>
      </c>
      <c r="I28" s="81"/>
      <c r="J28" s="89">
        <v>23314820</v>
      </c>
      <c r="K28" s="89">
        <v>40113031</v>
      </c>
      <c r="L28" s="89">
        <v>234996317</v>
      </c>
      <c r="M28" s="89">
        <v>35460469</v>
      </c>
      <c r="N28" s="89">
        <f t="shared" si="1"/>
        <v>333884637</v>
      </c>
    </row>
    <row r="29" spans="1:14">
      <c r="A29" s="86" t="s">
        <v>57</v>
      </c>
      <c r="B29" s="87" t="s">
        <v>457</v>
      </c>
      <c r="C29" s="88" t="s">
        <v>58</v>
      </c>
      <c r="D29" s="89">
        <v>7004987</v>
      </c>
      <c r="E29" s="89">
        <v>13920095</v>
      </c>
      <c r="F29" s="89">
        <v>138739956</v>
      </c>
      <c r="G29" s="89">
        <v>21530848</v>
      </c>
      <c r="H29" s="89">
        <f t="shared" si="0"/>
        <v>181195886</v>
      </c>
      <c r="I29" s="81"/>
      <c r="J29" s="89">
        <v>7646601</v>
      </c>
      <c r="K29" s="89">
        <v>11641208</v>
      </c>
      <c r="L29" s="89">
        <v>165439933</v>
      </c>
      <c r="M29" s="89">
        <v>20142450</v>
      </c>
      <c r="N29" s="89">
        <f t="shared" si="1"/>
        <v>204870192</v>
      </c>
    </row>
    <row r="30" spans="1:14">
      <c r="A30" s="86" t="s">
        <v>59</v>
      </c>
      <c r="B30" s="87" t="s">
        <v>458</v>
      </c>
      <c r="C30" s="88" t="s">
        <v>58</v>
      </c>
      <c r="D30" s="89">
        <v>1379574</v>
      </c>
      <c r="E30" s="89">
        <v>5990610</v>
      </c>
      <c r="F30" s="89">
        <v>46613977</v>
      </c>
      <c r="G30" s="89">
        <v>7576171</v>
      </c>
      <c r="H30" s="89">
        <f t="shared" si="0"/>
        <v>61560332</v>
      </c>
      <c r="I30" s="81"/>
      <c r="J30" s="89">
        <v>1507886</v>
      </c>
      <c r="K30" s="89">
        <v>5186873</v>
      </c>
      <c r="L30" s="89">
        <v>52156301</v>
      </c>
      <c r="M30" s="89">
        <v>8452934</v>
      </c>
      <c r="N30" s="89">
        <f t="shared" si="1"/>
        <v>67303994</v>
      </c>
    </row>
    <row r="31" spans="1:14">
      <c r="A31" s="86" t="s">
        <v>60</v>
      </c>
      <c r="B31" s="87" t="s">
        <v>459</v>
      </c>
      <c r="C31" s="88" t="s">
        <v>61</v>
      </c>
      <c r="D31" s="89">
        <v>1418151</v>
      </c>
      <c r="E31" s="89">
        <v>8011458</v>
      </c>
      <c r="F31" s="89">
        <v>48647485</v>
      </c>
      <c r="G31" s="89">
        <v>9353991</v>
      </c>
      <c r="H31" s="89">
        <f t="shared" si="0"/>
        <v>67431085</v>
      </c>
      <c r="I31" s="81"/>
      <c r="J31" s="89">
        <v>1463064</v>
      </c>
      <c r="K31" s="89">
        <v>5616668</v>
      </c>
      <c r="L31" s="89">
        <v>75124522</v>
      </c>
      <c r="M31" s="89">
        <v>10622054</v>
      </c>
      <c r="N31" s="89">
        <f t="shared" si="1"/>
        <v>92826308</v>
      </c>
    </row>
    <row r="32" spans="1:14">
      <c r="A32" s="86" t="s">
        <v>62</v>
      </c>
      <c r="B32" s="87" t="s">
        <v>460</v>
      </c>
      <c r="C32" s="88" t="s">
        <v>61</v>
      </c>
      <c r="D32" s="89">
        <v>7095364</v>
      </c>
      <c r="E32" s="89">
        <v>4416829</v>
      </c>
      <c r="F32" s="89">
        <v>47866174</v>
      </c>
      <c r="G32" s="89">
        <v>18310134</v>
      </c>
      <c r="H32" s="89">
        <f t="shared" si="0"/>
        <v>77688501</v>
      </c>
      <c r="I32" s="81"/>
      <c r="J32" s="89">
        <v>7895701</v>
      </c>
      <c r="K32" s="89">
        <v>3048142</v>
      </c>
      <c r="L32" s="89">
        <v>51879909</v>
      </c>
      <c r="M32" s="89">
        <v>21515813</v>
      </c>
      <c r="N32" s="89">
        <f t="shared" si="1"/>
        <v>84339565</v>
      </c>
    </row>
    <row r="33" spans="1:14">
      <c r="A33" s="86" t="s">
        <v>63</v>
      </c>
      <c r="B33" s="87" t="s">
        <v>461</v>
      </c>
      <c r="C33" s="88" t="s">
        <v>64</v>
      </c>
      <c r="D33" s="89">
        <v>1879677</v>
      </c>
      <c r="E33" s="89">
        <v>5482543</v>
      </c>
      <c r="F33" s="89">
        <v>493775</v>
      </c>
      <c r="G33" s="89">
        <v>10478327</v>
      </c>
      <c r="H33" s="89">
        <f t="shared" si="0"/>
        <v>18334322</v>
      </c>
      <c r="I33" s="81"/>
      <c r="J33" s="89">
        <v>2068111</v>
      </c>
      <c r="K33" s="89">
        <v>4824820</v>
      </c>
      <c r="L33" s="89">
        <v>1031030</v>
      </c>
      <c r="M33" s="89">
        <v>13962945</v>
      </c>
      <c r="N33" s="89">
        <f t="shared" si="1"/>
        <v>21886906</v>
      </c>
    </row>
    <row r="34" spans="1:14">
      <c r="A34" s="86" t="s">
        <v>65</v>
      </c>
      <c r="B34" s="87" t="s">
        <v>462</v>
      </c>
      <c r="C34" s="88" t="s">
        <v>64</v>
      </c>
      <c r="D34" s="89">
        <v>2203412</v>
      </c>
      <c r="E34" s="89">
        <v>6839693</v>
      </c>
      <c r="F34" s="89">
        <v>6793264</v>
      </c>
      <c r="G34" s="89">
        <v>6727569</v>
      </c>
      <c r="H34" s="89">
        <f t="shared" si="0"/>
        <v>22563938</v>
      </c>
      <c r="I34" s="81"/>
      <c r="J34" s="89">
        <v>2338103</v>
      </c>
      <c r="K34" s="89">
        <v>4614362</v>
      </c>
      <c r="L34" s="89">
        <v>15377380</v>
      </c>
      <c r="M34" s="89">
        <v>12847951</v>
      </c>
      <c r="N34" s="89">
        <f t="shared" si="1"/>
        <v>35177796</v>
      </c>
    </row>
    <row r="35" spans="1:14">
      <c r="A35" s="86" t="s">
        <v>66</v>
      </c>
      <c r="B35" s="87" t="s">
        <v>463</v>
      </c>
      <c r="C35" s="88" t="s">
        <v>28</v>
      </c>
      <c r="D35" s="89">
        <v>528614</v>
      </c>
      <c r="E35" s="89">
        <v>7217334</v>
      </c>
      <c r="F35" s="89">
        <v>348776</v>
      </c>
      <c r="G35" s="89">
        <v>3568945</v>
      </c>
      <c r="H35" s="89">
        <f t="shared" si="0"/>
        <v>11663669</v>
      </c>
      <c r="I35" s="81"/>
      <c r="J35" s="92" t="s">
        <v>21</v>
      </c>
      <c r="K35" s="92" t="s">
        <v>21</v>
      </c>
      <c r="L35" s="92" t="s">
        <v>21</v>
      </c>
      <c r="M35" s="92" t="s">
        <v>21</v>
      </c>
      <c r="N35" s="92" t="s">
        <v>21</v>
      </c>
    </row>
    <row r="36" spans="1:14">
      <c r="A36" s="86" t="s">
        <v>67</v>
      </c>
      <c r="B36" s="87" t="s">
        <v>28</v>
      </c>
      <c r="C36" s="88" t="s">
        <v>28</v>
      </c>
      <c r="D36" s="89">
        <v>3988894</v>
      </c>
      <c r="E36" s="89">
        <v>6054908</v>
      </c>
      <c r="F36" s="89">
        <v>780437</v>
      </c>
      <c r="G36" s="89">
        <v>2028935</v>
      </c>
      <c r="H36" s="89">
        <f t="shared" si="0"/>
        <v>12853174</v>
      </c>
      <c r="I36" s="81"/>
      <c r="J36" s="92" t="s">
        <v>21</v>
      </c>
      <c r="K36" s="92" t="s">
        <v>21</v>
      </c>
      <c r="L36" s="92" t="s">
        <v>21</v>
      </c>
      <c r="M36" s="92" t="s">
        <v>21</v>
      </c>
      <c r="N36" s="92" t="s">
        <v>21</v>
      </c>
    </row>
    <row r="37" spans="1:14">
      <c r="A37" s="86" t="s">
        <v>68</v>
      </c>
      <c r="B37" s="87" t="s">
        <v>464</v>
      </c>
      <c r="C37" s="88" t="s">
        <v>28</v>
      </c>
      <c r="D37" s="89">
        <v>3890599</v>
      </c>
      <c r="E37" s="89">
        <v>13785707</v>
      </c>
      <c r="F37" s="89">
        <v>797511</v>
      </c>
      <c r="G37" s="89">
        <v>5500121</v>
      </c>
      <c r="H37" s="89">
        <f t="shared" si="0"/>
        <v>23973938</v>
      </c>
      <c r="I37" s="81"/>
      <c r="J37" s="89">
        <v>5099213</v>
      </c>
      <c r="K37" s="89">
        <v>13180180</v>
      </c>
      <c r="L37" s="89">
        <v>770699</v>
      </c>
      <c r="M37" s="89">
        <v>6491466</v>
      </c>
      <c r="N37" s="89">
        <f t="shared" si="1"/>
        <v>25541558</v>
      </c>
    </row>
    <row r="38" spans="1:14">
      <c r="A38" s="86" t="s">
        <v>69</v>
      </c>
      <c r="B38" s="87" t="s">
        <v>465</v>
      </c>
      <c r="C38" s="88" t="s">
        <v>28</v>
      </c>
      <c r="D38" s="89">
        <v>2758799</v>
      </c>
      <c r="E38" s="89">
        <v>10133885</v>
      </c>
      <c r="F38" s="89">
        <v>465498</v>
      </c>
      <c r="G38" s="89">
        <v>5226988</v>
      </c>
      <c r="H38" s="89">
        <f t="shared" si="0"/>
        <v>18585170</v>
      </c>
      <c r="I38" s="81"/>
      <c r="J38" s="89">
        <v>3372224</v>
      </c>
      <c r="K38" s="89">
        <v>9745391</v>
      </c>
      <c r="L38" s="89">
        <v>453028</v>
      </c>
      <c r="M38" s="89">
        <v>9097959</v>
      </c>
      <c r="N38" s="89">
        <f t="shared" si="1"/>
        <v>22668602</v>
      </c>
    </row>
    <row r="39" spans="1:14">
      <c r="A39" s="86" t="s">
        <v>70</v>
      </c>
      <c r="B39" s="87" t="s">
        <v>466</v>
      </c>
      <c r="C39" s="88" t="s">
        <v>71</v>
      </c>
      <c r="D39" s="89">
        <v>1334814</v>
      </c>
      <c r="E39" s="89">
        <v>6375311</v>
      </c>
      <c r="F39" s="89">
        <v>1517524</v>
      </c>
      <c r="G39" s="89">
        <v>4281595</v>
      </c>
      <c r="H39" s="89">
        <f t="shared" si="0"/>
        <v>13509244</v>
      </c>
      <c r="I39" s="81"/>
      <c r="J39" s="89">
        <v>1428589</v>
      </c>
      <c r="K39" s="89">
        <v>4782312</v>
      </c>
      <c r="L39" s="89">
        <v>1897988</v>
      </c>
      <c r="M39" s="89">
        <v>5682298</v>
      </c>
      <c r="N39" s="89">
        <f t="shared" si="1"/>
        <v>13791187</v>
      </c>
    </row>
    <row r="40" spans="1:14">
      <c r="A40" s="86" t="s">
        <v>72</v>
      </c>
      <c r="B40" s="87" t="s">
        <v>71</v>
      </c>
      <c r="C40" s="88" t="s">
        <v>71</v>
      </c>
      <c r="D40" s="89">
        <v>4295877</v>
      </c>
      <c r="E40" s="89">
        <v>7827631</v>
      </c>
      <c r="F40" s="89">
        <v>8932985</v>
      </c>
      <c r="G40" s="89">
        <v>32195923</v>
      </c>
      <c r="H40" s="89">
        <f t="shared" si="0"/>
        <v>53252416</v>
      </c>
      <c r="I40" s="81"/>
      <c r="J40" s="89">
        <v>4983527</v>
      </c>
      <c r="K40" s="89">
        <v>5890916</v>
      </c>
      <c r="L40" s="89">
        <v>11277035</v>
      </c>
      <c r="M40" s="89">
        <v>44410481</v>
      </c>
      <c r="N40" s="89">
        <f t="shared" si="1"/>
        <v>66561959</v>
      </c>
    </row>
    <row r="41" spans="1:14">
      <c r="A41" s="86" t="s">
        <v>73</v>
      </c>
      <c r="B41" s="87" t="s">
        <v>467</v>
      </c>
      <c r="C41" s="88" t="s">
        <v>74</v>
      </c>
      <c r="D41" s="89">
        <v>2788230</v>
      </c>
      <c r="E41" s="89">
        <v>8699224</v>
      </c>
      <c r="F41" s="89">
        <v>2510850</v>
      </c>
      <c r="G41" s="89">
        <v>1077390</v>
      </c>
      <c r="H41" s="89">
        <f t="shared" si="0"/>
        <v>15075694</v>
      </c>
      <c r="I41" s="81"/>
      <c r="J41" s="89">
        <v>2964656</v>
      </c>
      <c r="K41" s="89">
        <v>6916262</v>
      </c>
      <c r="L41" s="89">
        <v>5551315</v>
      </c>
      <c r="M41" s="89">
        <v>7606394</v>
      </c>
      <c r="N41" s="89">
        <f t="shared" si="1"/>
        <v>23038627</v>
      </c>
    </row>
    <row r="42" spans="1:14">
      <c r="A42" s="86" t="s">
        <v>75</v>
      </c>
      <c r="B42" s="87" t="s">
        <v>468</v>
      </c>
      <c r="C42" s="88" t="s">
        <v>74</v>
      </c>
      <c r="D42" s="89">
        <v>758922</v>
      </c>
      <c r="E42" s="89">
        <v>5121671</v>
      </c>
      <c r="F42" s="89">
        <v>1548124</v>
      </c>
      <c r="G42" s="89">
        <v>1496919</v>
      </c>
      <c r="H42" s="89">
        <f t="shared" si="0"/>
        <v>8925636</v>
      </c>
      <c r="I42" s="81"/>
      <c r="J42" s="89">
        <v>775419</v>
      </c>
      <c r="K42" s="89">
        <v>4109095</v>
      </c>
      <c r="L42" s="89">
        <v>2661382</v>
      </c>
      <c r="M42" s="89">
        <v>901127</v>
      </c>
      <c r="N42" s="89">
        <f t="shared" si="1"/>
        <v>8447023</v>
      </c>
    </row>
    <row r="43" spans="1:14">
      <c r="A43" s="86" t="s">
        <v>76</v>
      </c>
      <c r="B43" s="87" t="s">
        <v>469</v>
      </c>
      <c r="C43" s="88" t="s">
        <v>77</v>
      </c>
      <c r="D43" s="89">
        <v>1665192162</v>
      </c>
      <c r="E43" s="89">
        <v>87722947</v>
      </c>
      <c r="F43" s="89">
        <v>101883924</v>
      </c>
      <c r="G43" s="89">
        <v>47408213</v>
      </c>
      <c r="H43" s="89">
        <f t="shared" si="0"/>
        <v>1902207246</v>
      </c>
      <c r="I43" s="81"/>
      <c r="J43" s="89">
        <v>2152996231</v>
      </c>
      <c r="K43" s="89">
        <v>86340169</v>
      </c>
      <c r="L43" s="89">
        <v>56489072</v>
      </c>
      <c r="M43" s="89">
        <v>45543451</v>
      </c>
      <c r="N43" s="89">
        <f t="shared" si="1"/>
        <v>2341368923</v>
      </c>
    </row>
    <row r="44" spans="1:14">
      <c r="A44" s="86" t="s">
        <v>78</v>
      </c>
      <c r="B44" s="87" t="s">
        <v>470</v>
      </c>
      <c r="C44" s="88" t="s">
        <v>77</v>
      </c>
      <c r="D44" s="89">
        <v>32001507</v>
      </c>
      <c r="E44" s="89">
        <v>38068455</v>
      </c>
      <c r="F44" s="89">
        <v>7296298</v>
      </c>
      <c r="G44" s="89">
        <v>6888987</v>
      </c>
      <c r="H44" s="89">
        <f t="shared" si="0"/>
        <v>84255247</v>
      </c>
      <c r="I44" s="81"/>
      <c r="J44" s="89">
        <v>70446464</v>
      </c>
      <c r="K44" s="89">
        <v>43050028</v>
      </c>
      <c r="L44" s="89">
        <v>6792837</v>
      </c>
      <c r="M44" s="89">
        <v>7444117</v>
      </c>
      <c r="N44" s="89">
        <f t="shared" si="1"/>
        <v>127733446</v>
      </c>
    </row>
    <row r="45" spans="1:14">
      <c r="A45" s="86" t="s">
        <v>79</v>
      </c>
      <c r="B45" s="87" t="s">
        <v>471</v>
      </c>
      <c r="C45" s="88" t="s">
        <v>77</v>
      </c>
      <c r="D45" s="89">
        <v>82456048</v>
      </c>
      <c r="E45" s="89">
        <v>37529725</v>
      </c>
      <c r="F45" s="89">
        <v>30540045</v>
      </c>
      <c r="G45" s="89">
        <v>43498777</v>
      </c>
      <c r="H45" s="89">
        <f t="shared" si="0"/>
        <v>194024595</v>
      </c>
      <c r="I45" s="81"/>
      <c r="J45" s="89">
        <v>137049242</v>
      </c>
      <c r="K45" s="89">
        <v>52347554</v>
      </c>
      <c r="L45" s="89">
        <v>22818842</v>
      </c>
      <c r="M45" s="89">
        <v>29734674</v>
      </c>
      <c r="N45" s="89">
        <f t="shared" si="1"/>
        <v>241950312</v>
      </c>
    </row>
    <row r="46" spans="1:14">
      <c r="A46" s="86" t="s">
        <v>80</v>
      </c>
      <c r="B46" s="87" t="s">
        <v>472</v>
      </c>
      <c r="C46" s="88" t="s">
        <v>77</v>
      </c>
      <c r="D46" s="89">
        <v>237306129</v>
      </c>
      <c r="E46" s="89">
        <v>14525470</v>
      </c>
      <c r="F46" s="89">
        <v>25778091</v>
      </c>
      <c r="G46" s="89">
        <v>13788867</v>
      </c>
      <c r="H46" s="89">
        <f t="shared" si="0"/>
        <v>291398557</v>
      </c>
      <c r="I46" s="81"/>
      <c r="J46" s="89">
        <v>337754280</v>
      </c>
      <c r="K46" s="89">
        <v>20443627</v>
      </c>
      <c r="L46" s="89">
        <v>19736714</v>
      </c>
      <c r="M46" s="89">
        <v>13323559</v>
      </c>
      <c r="N46" s="89">
        <f t="shared" si="1"/>
        <v>391258180</v>
      </c>
    </row>
    <row r="47" spans="1:14">
      <c r="A47" s="86" t="s">
        <v>81</v>
      </c>
      <c r="B47" s="87" t="s">
        <v>473</v>
      </c>
      <c r="C47" s="88" t="s">
        <v>77</v>
      </c>
      <c r="D47" s="89">
        <v>1271696882</v>
      </c>
      <c r="E47" s="89">
        <v>10231970</v>
      </c>
      <c r="F47" s="89">
        <v>143089251</v>
      </c>
      <c r="G47" s="89">
        <v>49300910</v>
      </c>
      <c r="H47" s="89">
        <f t="shared" si="0"/>
        <v>1474319013</v>
      </c>
      <c r="I47" s="81"/>
      <c r="J47" s="89">
        <v>1652239477</v>
      </c>
      <c r="K47" s="89">
        <v>11136255</v>
      </c>
      <c r="L47" s="89">
        <v>98681311</v>
      </c>
      <c r="M47" s="89">
        <v>46487441</v>
      </c>
      <c r="N47" s="89">
        <f t="shared" si="1"/>
        <v>1808544484</v>
      </c>
    </row>
    <row r="48" spans="1:14">
      <c r="A48" s="86" t="s">
        <v>82</v>
      </c>
      <c r="B48" s="87" t="s">
        <v>474</v>
      </c>
      <c r="C48" s="88" t="s">
        <v>83</v>
      </c>
      <c r="D48" s="89">
        <v>30420077</v>
      </c>
      <c r="E48" s="89">
        <v>19799526</v>
      </c>
      <c r="F48" s="89">
        <v>6840757</v>
      </c>
      <c r="G48" s="89">
        <v>7406969</v>
      </c>
      <c r="H48" s="89">
        <f t="shared" si="0"/>
        <v>64467329</v>
      </c>
      <c r="I48" s="81"/>
      <c r="J48" s="89">
        <v>39522913</v>
      </c>
      <c r="K48" s="89">
        <v>23383940</v>
      </c>
      <c r="L48" s="89">
        <v>6060638</v>
      </c>
      <c r="M48" s="89">
        <v>7851807</v>
      </c>
      <c r="N48" s="89">
        <f t="shared" si="1"/>
        <v>76819298</v>
      </c>
    </row>
    <row r="49" spans="1:14">
      <c r="A49" s="86" t="s">
        <v>84</v>
      </c>
      <c r="B49" s="87" t="s">
        <v>475</v>
      </c>
      <c r="C49" s="88" t="s">
        <v>83</v>
      </c>
      <c r="D49" s="89">
        <v>1410656</v>
      </c>
      <c r="E49" s="89">
        <v>9181507</v>
      </c>
      <c r="F49" s="89">
        <v>441241</v>
      </c>
      <c r="G49" s="89">
        <v>2014884</v>
      </c>
      <c r="H49" s="89">
        <f t="shared" si="0"/>
        <v>13048288</v>
      </c>
      <c r="I49" s="81"/>
      <c r="J49" s="89">
        <v>1660596</v>
      </c>
      <c r="K49" s="89">
        <v>8888698</v>
      </c>
      <c r="L49" s="89">
        <v>832514</v>
      </c>
      <c r="M49" s="89">
        <v>2113837</v>
      </c>
      <c r="N49" s="89">
        <f t="shared" si="1"/>
        <v>13495645</v>
      </c>
    </row>
    <row r="50" spans="1:14">
      <c r="A50" s="86" t="s">
        <v>85</v>
      </c>
      <c r="B50" s="87" t="s">
        <v>476</v>
      </c>
      <c r="C50" s="88" t="s">
        <v>86</v>
      </c>
      <c r="D50" s="89">
        <v>5896854</v>
      </c>
      <c r="E50" s="89">
        <v>16226273</v>
      </c>
      <c r="F50" s="89">
        <v>1330316</v>
      </c>
      <c r="G50" s="89">
        <v>2446564</v>
      </c>
      <c r="H50" s="89">
        <f t="shared" si="0"/>
        <v>25900007</v>
      </c>
      <c r="I50" s="81"/>
      <c r="J50" s="89">
        <v>6436820</v>
      </c>
      <c r="K50" s="89">
        <v>13338235</v>
      </c>
      <c r="L50" s="89">
        <v>1052283</v>
      </c>
      <c r="M50" s="89">
        <v>2781044</v>
      </c>
      <c r="N50" s="89">
        <f t="shared" si="1"/>
        <v>23608382</v>
      </c>
    </row>
    <row r="51" spans="1:14">
      <c r="A51" s="86" t="s">
        <v>87</v>
      </c>
      <c r="B51" s="87" t="s">
        <v>477</v>
      </c>
      <c r="C51" s="88" t="s">
        <v>86</v>
      </c>
      <c r="D51" s="89">
        <v>1293253</v>
      </c>
      <c r="E51" s="89">
        <v>6234807</v>
      </c>
      <c r="F51" s="89">
        <v>373823</v>
      </c>
      <c r="G51" s="89">
        <v>633724</v>
      </c>
      <c r="H51" s="89">
        <f t="shared" si="0"/>
        <v>8535607</v>
      </c>
      <c r="I51" s="81"/>
      <c r="J51" s="92" t="s">
        <v>21</v>
      </c>
      <c r="K51" s="92" t="s">
        <v>21</v>
      </c>
      <c r="L51" s="92" t="s">
        <v>21</v>
      </c>
      <c r="M51" s="92" t="s">
        <v>21</v>
      </c>
      <c r="N51" s="92" t="s">
        <v>21</v>
      </c>
    </row>
    <row r="52" spans="1:14">
      <c r="A52" s="86" t="s">
        <v>88</v>
      </c>
      <c r="B52" s="87" t="s">
        <v>478</v>
      </c>
      <c r="C52" s="88" t="s">
        <v>89</v>
      </c>
      <c r="D52" s="89">
        <v>7939966</v>
      </c>
      <c r="E52" s="89">
        <v>15666791</v>
      </c>
      <c r="F52" s="89">
        <v>1270155</v>
      </c>
      <c r="G52" s="89">
        <v>3916900</v>
      </c>
      <c r="H52" s="89">
        <f t="shared" si="0"/>
        <v>28793812</v>
      </c>
      <c r="I52" s="81"/>
      <c r="J52" s="89">
        <v>9256962</v>
      </c>
      <c r="K52" s="89">
        <v>15973690</v>
      </c>
      <c r="L52" s="89">
        <v>1184962</v>
      </c>
      <c r="M52" s="89">
        <v>5191139</v>
      </c>
      <c r="N52" s="89">
        <f t="shared" si="1"/>
        <v>31606753</v>
      </c>
    </row>
    <row r="53" spans="1:14">
      <c r="A53" s="86" t="s">
        <v>90</v>
      </c>
      <c r="B53" s="87" t="s">
        <v>479</v>
      </c>
      <c r="C53" s="88" t="s">
        <v>89</v>
      </c>
      <c r="D53" s="89">
        <v>3207938</v>
      </c>
      <c r="E53" s="89">
        <v>13568089</v>
      </c>
      <c r="F53" s="89">
        <v>711921</v>
      </c>
      <c r="G53" s="89">
        <v>6171152</v>
      </c>
      <c r="H53" s="89">
        <f t="shared" si="0"/>
        <v>23659100</v>
      </c>
      <c r="I53" s="81"/>
      <c r="J53" s="89">
        <v>3774223</v>
      </c>
      <c r="K53" s="89">
        <v>15498212</v>
      </c>
      <c r="L53" s="89">
        <v>692536</v>
      </c>
      <c r="M53" s="89">
        <v>8216749</v>
      </c>
      <c r="N53" s="89">
        <f t="shared" si="1"/>
        <v>28181720</v>
      </c>
    </row>
    <row r="54" spans="1:14">
      <c r="A54" s="86" t="s">
        <v>91</v>
      </c>
      <c r="B54" s="87" t="s">
        <v>92</v>
      </c>
      <c r="C54" s="88" t="s">
        <v>92</v>
      </c>
      <c r="D54" s="89">
        <v>3065386</v>
      </c>
      <c r="E54" s="89">
        <v>10567010</v>
      </c>
      <c r="F54" s="89">
        <v>544649</v>
      </c>
      <c r="G54" s="89">
        <v>2828632</v>
      </c>
      <c r="H54" s="89">
        <f t="shared" si="0"/>
        <v>17005677</v>
      </c>
      <c r="I54" s="81"/>
      <c r="J54" s="89">
        <v>3129185</v>
      </c>
      <c r="K54" s="89">
        <v>5925987</v>
      </c>
      <c r="L54" s="89">
        <v>1398848</v>
      </c>
      <c r="M54" s="89">
        <v>8077521</v>
      </c>
      <c r="N54" s="89">
        <f t="shared" si="1"/>
        <v>18531541</v>
      </c>
    </row>
    <row r="55" spans="1:14">
      <c r="A55" s="86" t="s">
        <v>93</v>
      </c>
      <c r="B55" s="87" t="s">
        <v>480</v>
      </c>
      <c r="C55" s="88" t="s">
        <v>92</v>
      </c>
      <c r="D55" s="89">
        <v>0</v>
      </c>
      <c r="E55" s="89">
        <v>4624731</v>
      </c>
      <c r="F55" s="89">
        <v>2331473</v>
      </c>
      <c r="G55" s="89">
        <v>1225697</v>
      </c>
      <c r="H55" s="89">
        <f t="shared" si="0"/>
        <v>8181901</v>
      </c>
      <c r="I55" s="81"/>
      <c r="J55" s="89">
        <v>0</v>
      </c>
      <c r="K55" s="89">
        <v>2803791</v>
      </c>
      <c r="L55" s="89">
        <v>2021741</v>
      </c>
      <c r="M55" s="89">
        <v>1603220</v>
      </c>
      <c r="N55" s="89">
        <f t="shared" si="1"/>
        <v>6428752</v>
      </c>
    </row>
    <row r="56" spans="1:14">
      <c r="A56" s="86" t="s">
        <v>94</v>
      </c>
      <c r="B56" s="87" t="s">
        <v>481</v>
      </c>
      <c r="C56" s="88" t="s">
        <v>95</v>
      </c>
      <c r="D56" s="89">
        <v>5124255</v>
      </c>
      <c r="E56" s="89">
        <v>12180349</v>
      </c>
      <c r="F56" s="89">
        <v>1611582</v>
      </c>
      <c r="G56" s="89">
        <v>4761143</v>
      </c>
      <c r="H56" s="89">
        <f t="shared" si="0"/>
        <v>23677329</v>
      </c>
      <c r="I56" s="81"/>
      <c r="J56" s="89">
        <v>6119951</v>
      </c>
      <c r="K56" s="89">
        <v>12053990</v>
      </c>
      <c r="L56" s="89">
        <v>1203244</v>
      </c>
      <c r="M56" s="89">
        <v>4702584</v>
      </c>
      <c r="N56" s="89">
        <f t="shared" si="1"/>
        <v>24079769</v>
      </c>
    </row>
    <row r="57" spans="1:14">
      <c r="A57" s="86" t="s">
        <v>96</v>
      </c>
      <c r="B57" s="87" t="s">
        <v>482</v>
      </c>
      <c r="C57" s="88" t="s">
        <v>95</v>
      </c>
      <c r="D57" s="89">
        <v>12973749</v>
      </c>
      <c r="E57" s="89">
        <v>8049888</v>
      </c>
      <c r="F57" s="89">
        <v>1860296</v>
      </c>
      <c r="G57" s="89">
        <v>390583096</v>
      </c>
      <c r="H57" s="89">
        <f t="shared" si="0"/>
        <v>413467029</v>
      </c>
      <c r="I57" s="81"/>
      <c r="J57" s="89">
        <v>15760728</v>
      </c>
      <c r="K57" s="89">
        <v>8636902</v>
      </c>
      <c r="L57" s="89">
        <v>1613558</v>
      </c>
      <c r="M57" s="89">
        <v>315065004</v>
      </c>
      <c r="N57" s="89">
        <f t="shared" si="1"/>
        <v>341076192</v>
      </c>
    </row>
    <row r="58" spans="1:14">
      <c r="A58" s="86" t="s">
        <v>97</v>
      </c>
      <c r="B58" s="87" t="s">
        <v>483</v>
      </c>
      <c r="C58" s="88" t="s">
        <v>95</v>
      </c>
      <c r="D58" s="89">
        <v>3115038</v>
      </c>
      <c r="E58" s="89">
        <v>9455188</v>
      </c>
      <c r="F58" s="89">
        <v>1897218</v>
      </c>
      <c r="G58" s="89">
        <v>4354933</v>
      </c>
      <c r="H58" s="89">
        <f t="shared" si="0"/>
        <v>18822377</v>
      </c>
      <c r="I58" s="81"/>
      <c r="J58" s="89">
        <v>3470270</v>
      </c>
      <c r="K58" s="89">
        <v>8595857</v>
      </c>
      <c r="L58" s="89">
        <v>3461378</v>
      </c>
      <c r="M58" s="89">
        <v>3105677</v>
      </c>
      <c r="N58" s="89">
        <f t="shared" si="1"/>
        <v>18633182</v>
      </c>
    </row>
    <row r="59" spans="1:14">
      <c r="A59" s="86" t="s">
        <v>98</v>
      </c>
      <c r="B59" s="87" t="s">
        <v>484</v>
      </c>
      <c r="C59" s="88" t="s">
        <v>99</v>
      </c>
      <c r="D59" s="89">
        <v>4868839</v>
      </c>
      <c r="E59" s="89">
        <v>6534621</v>
      </c>
      <c r="F59" s="89">
        <v>879856</v>
      </c>
      <c r="G59" s="89">
        <v>1702717</v>
      </c>
      <c r="H59" s="89">
        <f t="shared" si="0"/>
        <v>13986033</v>
      </c>
      <c r="I59" s="81"/>
      <c r="J59" s="89">
        <v>6201221</v>
      </c>
      <c r="K59" s="89">
        <v>7591103</v>
      </c>
      <c r="L59" s="89">
        <v>679054</v>
      </c>
      <c r="M59" s="89">
        <v>1877499</v>
      </c>
      <c r="N59" s="89">
        <f t="shared" si="1"/>
        <v>16348877</v>
      </c>
    </row>
    <row r="60" spans="1:14">
      <c r="A60" s="86" t="s">
        <v>100</v>
      </c>
      <c r="B60" s="87" t="s">
        <v>306</v>
      </c>
      <c r="C60" s="88" t="s">
        <v>99</v>
      </c>
      <c r="D60" s="89">
        <v>3716981</v>
      </c>
      <c r="E60" s="89">
        <v>16087796</v>
      </c>
      <c r="F60" s="89">
        <v>2358410</v>
      </c>
      <c r="G60" s="89">
        <v>3722270</v>
      </c>
      <c r="H60" s="89">
        <f t="shared" si="0"/>
        <v>25885457</v>
      </c>
      <c r="I60" s="81"/>
      <c r="J60" s="89">
        <v>4178565</v>
      </c>
      <c r="K60" s="89">
        <v>16354384</v>
      </c>
      <c r="L60" s="89">
        <v>2132233</v>
      </c>
      <c r="M60" s="89">
        <v>3989295</v>
      </c>
      <c r="N60" s="89">
        <f t="shared" si="1"/>
        <v>26654477</v>
      </c>
    </row>
    <row r="61" spans="1:14">
      <c r="A61" s="86" t="s">
        <v>101</v>
      </c>
      <c r="B61" s="87" t="s">
        <v>485</v>
      </c>
      <c r="C61" s="88" t="s">
        <v>99</v>
      </c>
      <c r="D61" s="89">
        <v>10296490</v>
      </c>
      <c r="E61" s="89">
        <v>15078532</v>
      </c>
      <c r="F61" s="89">
        <v>2777158</v>
      </c>
      <c r="G61" s="89">
        <v>4379160</v>
      </c>
      <c r="H61" s="89">
        <f t="shared" si="0"/>
        <v>32531340</v>
      </c>
      <c r="I61" s="81"/>
      <c r="J61" s="89">
        <v>11894629</v>
      </c>
      <c r="K61" s="89">
        <v>15502320</v>
      </c>
      <c r="L61" s="89">
        <v>1838533</v>
      </c>
      <c r="M61" s="89">
        <v>4621894</v>
      </c>
      <c r="N61" s="89">
        <f t="shared" si="1"/>
        <v>33857376</v>
      </c>
    </row>
    <row r="62" spans="1:14">
      <c r="A62" s="86" t="s">
        <v>102</v>
      </c>
      <c r="B62" s="87" t="s">
        <v>486</v>
      </c>
      <c r="C62" s="88" t="s">
        <v>99</v>
      </c>
      <c r="D62" s="89">
        <v>11802661</v>
      </c>
      <c r="E62" s="89">
        <v>3228785</v>
      </c>
      <c r="F62" s="89">
        <v>1280455</v>
      </c>
      <c r="G62" s="89">
        <v>2526037</v>
      </c>
      <c r="H62" s="89">
        <f t="shared" si="0"/>
        <v>18837938</v>
      </c>
      <c r="I62" s="81"/>
      <c r="J62" s="89">
        <v>16949947</v>
      </c>
      <c r="K62" s="89">
        <v>4277425</v>
      </c>
      <c r="L62" s="89">
        <v>1120756</v>
      </c>
      <c r="M62" s="89">
        <v>1853873</v>
      </c>
      <c r="N62" s="89">
        <f t="shared" si="1"/>
        <v>24202001</v>
      </c>
    </row>
    <row r="63" spans="1:14">
      <c r="A63" s="86" t="s">
        <v>103</v>
      </c>
      <c r="B63" s="87" t="s">
        <v>487</v>
      </c>
      <c r="C63" s="88" t="s">
        <v>99</v>
      </c>
      <c r="D63" s="89">
        <v>86889329</v>
      </c>
      <c r="E63" s="89">
        <v>13545510</v>
      </c>
      <c r="F63" s="89">
        <v>20418153</v>
      </c>
      <c r="G63" s="89">
        <v>7909892</v>
      </c>
      <c r="H63" s="89">
        <f t="shared" si="0"/>
        <v>128762884</v>
      </c>
      <c r="I63" s="81"/>
      <c r="J63" s="89">
        <v>109341262</v>
      </c>
      <c r="K63" s="89">
        <v>16732174</v>
      </c>
      <c r="L63" s="89">
        <v>9918071</v>
      </c>
      <c r="M63" s="89">
        <v>7031363</v>
      </c>
      <c r="N63" s="89">
        <f t="shared" si="1"/>
        <v>143022870</v>
      </c>
    </row>
    <row r="64" spans="1:14">
      <c r="A64" s="86" t="s">
        <v>104</v>
      </c>
      <c r="B64" s="87" t="s">
        <v>488</v>
      </c>
      <c r="C64" s="88" t="s">
        <v>105</v>
      </c>
      <c r="D64" s="89">
        <v>3498404</v>
      </c>
      <c r="E64" s="89">
        <v>16218801</v>
      </c>
      <c r="F64" s="89">
        <v>889447</v>
      </c>
      <c r="G64" s="89">
        <v>7171015</v>
      </c>
      <c r="H64" s="89">
        <f t="shared" si="0"/>
        <v>27777667</v>
      </c>
      <c r="I64" s="81"/>
      <c r="J64" s="89">
        <v>4397156</v>
      </c>
      <c r="K64" s="89">
        <v>16323767</v>
      </c>
      <c r="L64" s="89">
        <v>917160</v>
      </c>
      <c r="M64" s="89">
        <v>6816971</v>
      </c>
      <c r="N64" s="89">
        <f t="shared" si="1"/>
        <v>28455054</v>
      </c>
    </row>
    <row r="65" spans="1:14">
      <c r="A65" s="86" t="s">
        <v>106</v>
      </c>
      <c r="B65" s="87" t="s">
        <v>489</v>
      </c>
      <c r="C65" s="88" t="s">
        <v>105</v>
      </c>
      <c r="D65" s="89">
        <v>3273443</v>
      </c>
      <c r="E65" s="89">
        <v>13623691</v>
      </c>
      <c r="F65" s="89">
        <v>1300191</v>
      </c>
      <c r="G65" s="89">
        <v>9295331</v>
      </c>
      <c r="H65" s="89">
        <f t="shared" si="0"/>
        <v>27492656</v>
      </c>
      <c r="I65" s="81"/>
      <c r="J65" s="89">
        <v>4271194</v>
      </c>
      <c r="K65" s="89">
        <v>13757459</v>
      </c>
      <c r="L65" s="89">
        <v>1130565</v>
      </c>
      <c r="M65" s="89">
        <v>13379067</v>
      </c>
      <c r="N65" s="89">
        <f t="shared" si="1"/>
        <v>32538285</v>
      </c>
    </row>
    <row r="66" spans="1:14">
      <c r="A66" s="86" t="s">
        <v>107</v>
      </c>
      <c r="B66" s="87" t="s">
        <v>490</v>
      </c>
      <c r="C66" s="88" t="s">
        <v>105</v>
      </c>
      <c r="D66" s="89">
        <v>107027672</v>
      </c>
      <c r="E66" s="89">
        <v>14507636</v>
      </c>
      <c r="F66" s="89">
        <v>18492092</v>
      </c>
      <c r="G66" s="89">
        <v>14625922</v>
      </c>
      <c r="H66" s="89">
        <f t="shared" si="0"/>
        <v>154653322</v>
      </c>
      <c r="I66" s="81"/>
      <c r="J66" s="89">
        <v>128866939</v>
      </c>
      <c r="K66" s="89">
        <v>17153328</v>
      </c>
      <c r="L66" s="89">
        <v>15081258</v>
      </c>
      <c r="M66" s="89">
        <v>11790202</v>
      </c>
      <c r="N66" s="89">
        <f t="shared" si="1"/>
        <v>172891727</v>
      </c>
    </row>
    <row r="67" spans="1:14">
      <c r="A67" s="86" t="s">
        <v>108</v>
      </c>
      <c r="B67" s="87" t="s">
        <v>491</v>
      </c>
      <c r="C67" s="88" t="s">
        <v>109</v>
      </c>
      <c r="D67" s="89">
        <v>6139364</v>
      </c>
      <c r="E67" s="89">
        <v>12796477</v>
      </c>
      <c r="F67" s="89">
        <v>16473611</v>
      </c>
      <c r="G67" s="89">
        <v>7442940</v>
      </c>
      <c r="H67" s="89">
        <f t="shared" si="0"/>
        <v>42852392</v>
      </c>
      <c r="I67" s="81"/>
      <c r="J67" s="89">
        <v>7869623</v>
      </c>
      <c r="K67" s="89">
        <v>12448080</v>
      </c>
      <c r="L67" s="89">
        <v>38635543</v>
      </c>
      <c r="M67" s="89">
        <v>9331744</v>
      </c>
      <c r="N67" s="89">
        <f t="shared" si="1"/>
        <v>68284990</v>
      </c>
    </row>
    <row r="68" spans="1:14">
      <c r="A68" s="86" t="s">
        <v>110</v>
      </c>
      <c r="B68" s="87" t="s">
        <v>492</v>
      </c>
      <c r="C68" s="88" t="s">
        <v>109</v>
      </c>
      <c r="D68" s="89">
        <v>3240262</v>
      </c>
      <c r="E68" s="89">
        <v>7601848</v>
      </c>
      <c r="F68" s="89">
        <v>7006470</v>
      </c>
      <c r="G68" s="89">
        <v>3275327</v>
      </c>
      <c r="H68" s="89">
        <f t="shared" si="0"/>
        <v>21123907</v>
      </c>
      <c r="I68" s="81"/>
      <c r="J68" s="89">
        <v>3872098</v>
      </c>
      <c r="K68" s="89">
        <v>6738803</v>
      </c>
      <c r="L68" s="89">
        <v>37309280</v>
      </c>
      <c r="M68" s="89">
        <v>6627686</v>
      </c>
      <c r="N68" s="89">
        <f t="shared" si="1"/>
        <v>54547867</v>
      </c>
    </row>
    <row r="69" spans="1:14">
      <c r="A69" s="86" t="s">
        <v>111</v>
      </c>
      <c r="B69" s="87" t="s">
        <v>493</v>
      </c>
      <c r="C69" s="88" t="s">
        <v>112</v>
      </c>
      <c r="D69" s="89">
        <v>1312512</v>
      </c>
      <c r="E69" s="89">
        <v>8199926</v>
      </c>
      <c r="F69" s="89">
        <v>1092664</v>
      </c>
      <c r="G69" s="89">
        <v>3558463</v>
      </c>
      <c r="H69" s="89">
        <f t="shared" si="0"/>
        <v>14163565</v>
      </c>
      <c r="I69" s="81"/>
      <c r="J69" s="89">
        <v>1615154</v>
      </c>
      <c r="K69" s="89">
        <v>7434343</v>
      </c>
      <c r="L69" s="89">
        <v>1438760</v>
      </c>
      <c r="M69" s="89">
        <v>4029971</v>
      </c>
      <c r="N69" s="89">
        <f t="shared" ref="N69:N132" si="2">SUM(J69:M69)</f>
        <v>14518228</v>
      </c>
    </row>
    <row r="70" spans="1:14">
      <c r="A70" s="86" t="s">
        <v>113</v>
      </c>
      <c r="B70" s="87" t="s">
        <v>494</v>
      </c>
      <c r="C70" s="88" t="s">
        <v>112</v>
      </c>
      <c r="D70" s="89">
        <v>21621401</v>
      </c>
      <c r="E70" s="89">
        <v>9560421</v>
      </c>
      <c r="F70" s="89">
        <v>5835131</v>
      </c>
      <c r="G70" s="89">
        <v>3250450</v>
      </c>
      <c r="H70" s="89">
        <f t="shared" si="0"/>
        <v>40267403</v>
      </c>
      <c r="I70" s="81"/>
      <c r="J70" s="89">
        <v>29165973</v>
      </c>
      <c r="K70" s="89">
        <v>10967340</v>
      </c>
      <c r="L70" s="89">
        <v>6936878</v>
      </c>
      <c r="M70" s="89">
        <v>2991020</v>
      </c>
      <c r="N70" s="89">
        <f t="shared" si="2"/>
        <v>50061211</v>
      </c>
    </row>
    <row r="71" spans="1:14">
      <c r="A71" s="86" t="s">
        <v>114</v>
      </c>
      <c r="B71" s="87" t="s">
        <v>495</v>
      </c>
      <c r="C71" s="88" t="s">
        <v>112</v>
      </c>
      <c r="D71" s="89">
        <v>4259879</v>
      </c>
      <c r="E71" s="89">
        <v>7521859</v>
      </c>
      <c r="F71" s="89">
        <v>2907526</v>
      </c>
      <c r="G71" s="89">
        <v>5332319</v>
      </c>
      <c r="H71" s="89">
        <f t="shared" si="0"/>
        <v>20021583</v>
      </c>
      <c r="I71" s="81"/>
      <c r="J71" s="89">
        <v>5217748</v>
      </c>
      <c r="K71" s="89">
        <v>7693768</v>
      </c>
      <c r="L71" s="89">
        <v>6165698</v>
      </c>
      <c r="M71" s="89">
        <v>6547547</v>
      </c>
      <c r="N71" s="89">
        <f t="shared" si="2"/>
        <v>25624761</v>
      </c>
    </row>
    <row r="72" spans="1:14">
      <c r="A72" s="86" t="s">
        <v>115</v>
      </c>
      <c r="B72" s="87" t="s">
        <v>380</v>
      </c>
      <c r="C72" s="88" t="s">
        <v>116</v>
      </c>
      <c r="D72" s="89">
        <v>1821680862</v>
      </c>
      <c r="E72" s="89">
        <v>36433786</v>
      </c>
      <c r="F72" s="89">
        <v>269403548</v>
      </c>
      <c r="G72" s="89">
        <v>125301859</v>
      </c>
      <c r="H72" s="89">
        <f t="shared" si="0"/>
        <v>2252820055</v>
      </c>
      <c r="I72" s="81"/>
      <c r="J72" s="89">
        <v>2320470385</v>
      </c>
      <c r="K72" s="89">
        <v>47847103</v>
      </c>
      <c r="L72" s="89">
        <v>189036315</v>
      </c>
      <c r="M72" s="89">
        <v>97356830</v>
      </c>
      <c r="N72" s="89">
        <f t="shared" si="2"/>
        <v>2654710633</v>
      </c>
    </row>
    <row r="73" spans="1:14">
      <c r="A73" s="86" t="s">
        <v>117</v>
      </c>
      <c r="B73" s="87" t="s">
        <v>496</v>
      </c>
      <c r="C73" s="88" t="s">
        <v>116</v>
      </c>
      <c r="D73" s="89">
        <v>121951198</v>
      </c>
      <c r="E73" s="89">
        <v>89218427</v>
      </c>
      <c r="F73" s="89">
        <v>54453358</v>
      </c>
      <c r="G73" s="89">
        <v>7899546</v>
      </c>
      <c r="H73" s="89">
        <f t="shared" si="0"/>
        <v>273522529</v>
      </c>
      <c r="I73" s="81"/>
      <c r="J73" s="89">
        <v>181711190</v>
      </c>
      <c r="K73" s="89">
        <v>103288715</v>
      </c>
      <c r="L73" s="89">
        <v>83905254</v>
      </c>
      <c r="M73" s="89">
        <v>7814371</v>
      </c>
      <c r="N73" s="89">
        <f t="shared" si="2"/>
        <v>376719530</v>
      </c>
    </row>
    <row r="74" spans="1:14">
      <c r="A74" s="86" t="s">
        <v>118</v>
      </c>
      <c r="B74" s="87" t="s">
        <v>497</v>
      </c>
      <c r="C74" s="88" t="s">
        <v>116</v>
      </c>
      <c r="D74" s="89">
        <v>74135509</v>
      </c>
      <c r="E74" s="89">
        <v>11863805</v>
      </c>
      <c r="F74" s="89">
        <v>10545387</v>
      </c>
      <c r="G74" s="89">
        <v>12687943</v>
      </c>
      <c r="H74" s="89">
        <f t="shared" ref="H74:H137" si="3">SUM(D74:G74)</f>
        <v>109232644</v>
      </c>
      <c r="I74" s="81"/>
      <c r="J74" s="89">
        <v>99949862</v>
      </c>
      <c r="K74" s="89">
        <v>13584310</v>
      </c>
      <c r="L74" s="89">
        <v>7780263</v>
      </c>
      <c r="M74" s="89">
        <v>10428171</v>
      </c>
      <c r="N74" s="89">
        <f t="shared" si="2"/>
        <v>131742606</v>
      </c>
    </row>
    <row r="75" spans="1:14">
      <c r="A75" s="86" t="s">
        <v>119</v>
      </c>
      <c r="B75" s="87" t="s">
        <v>498</v>
      </c>
      <c r="C75" s="88" t="s">
        <v>116</v>
      </c>
      <c r="D75" s="89">
        <v>46578238</v>
      </c>
      <c r="E75" s="89">
        <v>21604041</v>
      </c>
      <c r="F75" s="89">
        <v>8870987</v>
      </c>
      <c r="G75" s="89">
        <v>5602812</v>
      </c>
      <c r="H75" s="89">
        <f t="shared" si="3"/>
        <v>82656078</v>
      </c>
      <c r="I75" s="81"/>
      <c r="J75" s="89">
        <v>78719656</v>
      </c>
      <c r="K75" s="89">
        <v>20402878</v>
      </c>
      <c r="L75" s="89">
        <v>4535074</v>
      </c>
      <c r="M75" s="89">
        <v>6213681</v>
      </c>
      <c r="N75" s="89">
        <f t="shared" si="2"/>
        <v>109871289</v>
      </c>
    </row>
    <row r="76" spans="1:14">
      <c r="A76" s="86" t="s">
        <v>120</v>
      </c>
      <c r="B76" s="87" t="s">
        <v>499</v>
      </c>
      <c r="C76" s="88" t="s">
        <v>116</v>
      </c>
      <c r="D76" s="89">
        <v>25551813</v>
      </c>
      <c r="E76" s="89">
        <v>17310557</v>
      </c>
      <c r="F76" s="89">
        <v>2494180</v>
      </c>
      <c r="G76" s="89">
        <v>4561445</v>
      </c>
      <c r="H76" s="89">
        <f t="shared" si="3"/>
        <v>49917995</v>
      </c>
      <c r="I76" s="81"/>
      <c r="J76" s="89">
        <v>31560531</v>
      </c>
      <c r="K76" s="89">
        <v>22058659</v>
      </c>
      <c r="L76" s="89">
        <v>2042827</v>
      </c>
      <c r="M76" s="89">
        <v>5138841</v>
      </c>
      <c r="N76" s="89">
        <f t="shared" si="2"/>
        <v>60800858</v>
      </c>
    </row>
    <row r="77" spans="1:14">
      <c r="A77" s="86" t="s">
        <v>121</v>
      </c>
      <c r="B77" s="87" t="s">
        <v>500</v>
      </c>
      <c r="C77" s="88" t="s">
        <v>116</v>
      </c>
      <c r="D77" s="89">
        <v>10256422</v>
      </c>
      <c r="E77" s="89">
        <v>23126608</v>
      </c>
      <c r="F77" s="89">
        <v>18264758</v>
      </c>
      <c r="G77" s="89">
        <v>5011818</v>
      </c>
      <c r="H77" s="89">
        <f t="shared" si="3"/>
        <v>56659606</v>
      </c>
      <c r="I77" s="81"/>
      <c r="J77" s="89">
        <v>12674570</v>
      </c>
      <c r="K77" s="89">
        <v>27746776</v>
      </c>
      <c r="L77" s="89">
        <v>12775553</v>
      </c>
      <c r="M77" s="89">
        <v>3715674</v>
      </c>
      <c r="N77" s="89">
        <f t="shared" si="2"/>
        <v>56912573</v>
      </c>
    </row>
    <row r="78" spans="1:14">
      <c r="A78" s="86" t="s">
        <v>122</v>
      </c>
      <c r="B78" s="87" t="s">
        <v>501</v>
      </c>
      <c r="C78" s="88" t="s">
        <v>116</v>
      </c>
      <c r="D78" s="89">
        <v>119481025</v>
      </c>
      <c r="E78" s="89">
        <v>22384147</v>
      </c>
      <c r="F78" s="89">
        <v>9592804</v>
      </c>
      <c r="G78" s="89">
        <v>5126990</v>
      </c>
      <c r="H78" s="89">
        <f t="shared" si="3"/>
        <v>156584966</v>
      </c>
      <c r="I78" s="81"/>
      <c r="J78" s="89">
        <v>179597640</v>
      </c>
      <c r="K78" s="89">
        <v>27341443</v>
      </c>
      <c r="L78" s="89">
        <v>7583321</v>
      </c>
      <c r="M78" s="89">
        <v>5109135</v>
      </c>
      <c r="N78" s="89">
        <f t="shared" si="2"/>
        <v>219631539</v>
      </c>
    </row>
    <row r="79" spans="1:14">
      <c r="A79" s="86" t="s">
        <v>123</v>
      </c>
      <c r="B79" s="87" t="s">
        <v>502</v>
      </c>
      <c r="C79" s="88" t="s">
        <v>116</v>
      </c>
      <c r="D79" s="89">
        <v>192860516</v>
      </c>
      <c r="E79" s="89">
        <v>9772780</v>
      </c>
      <c r="F79" s="89">
        <v>16222923</v>
      </c>
      <c r="G79" s="89">
        <v>5788684</v>
      </c>
      <c r="H79" s="89">
        <f t="shared" si="3"/>
        <v>224644903</v>
      </c>
      <c r="I79" s="81"/>
      <c r="J79" s="89">
        <v>305049770</v>
      </c>
      <c r="K79" s="89">
        <v>12681232</v>
      </c>
      <c r="L79" s="89">
        <v>9111957</v>
      </c>
      <c r="M79" s="89">
        <v>6110745</v>
      </c>
      <c r="N79" s="89">
        <f t="shared" si="2"/>
        <v>332953704</v>
      </c>
    </row>
    <row r="80" spans="1:14">
      <c r="A80" s="86" t="s">
        <v>124</v>
      </c>
      <c r="B80" s="87" t="s">
        <v>503</v>
      </c>
      <c r="C80" s="88" t="s">
        <v>116</v>
      </c>
      <c r="D80" s="89">
        <v>14572997</v>
      </c>
      <c r="E80" s="89">
        <v>30471539</v>
      </c>
      <c r="F80" s="89">
        <v>4948833</v>
      </c>
      <c r="G80" s="89">
        <v>27705489</v>
      </c>
      <c r="H80" s="89">
        <f t="shared" si="3"/>
        <v>77698858</v>
      </c>
      <c r="I80" s="81"/>
      <c r="J80" s="89">
        <v>20009711</v>
      </c>
      <c r="K80" s="89">
        <v>41741812</v>
      </c>
      <c r="L80" s="89">
        <v>3771872</v>
      </c>
      <c r="M80" s="89">
        <v>27890353</v>
      </c>
      <c r="N80" s="89">
        <f t="shared" si="2"/>
        <v>93413748</v>
      </c>
    </row>
    <row r="81" spans="1:14">
      <c r="A81" s="86" t="s">
        <v>125</v>
      </c>
      <c r="B81" s="87" t="s">
        <v>504</v>
      </c>
      <c r="C81" s="88" t="s">
        <v>116</v>
      </c>
      <c r="D81" s="89">
        <v>7438490</v>
      </c>
      <c r="E81" s="89">
        <v>10014257</v>
      </c>
      <c r="F81" s="89">
        <v>3206570</v>
      </c>
      <c r="G81" s="89">
        <v>2901011</v>
      </c>
      <c r="H81" s="89">
        <f t="shared" si="3"/>
        <v>23560328</v>
      </c>
      <c r="I81" s="81"/>
      <c r="J81" s="89">
        <v>10634456</v>
      </c>
      <c r="K81" s="89">
        <v>10781069</v>
      </c>
      <c r="L81" s="89">
        <v>7597454</v>
      </c>
      <c r="M81" s="89">
        <v>3019045</v>
      </c>
      <c r="N81" s="89">
        <f t="shared" si="2"/>
        <v>32032024</v>
      </c>
    </row>
    <row r="82" spans="1:14">
      <c r="A82" s="86" t="s">
        <v>126</v>
      </c>
      <c r="B82" s="87" t="s">
        <v>505</v>
      </c>
      <c r="C82" s="88" t="s">
        <v>127</v>
      </c>
      <c r="D82" s="89">
        <v>951276</v>
      </c>
      <c r="E82" s="89">
        <v>3942099</v>
      </c>
      <c r="F82" s="89">
        <v>10080357</v>
      </c>
      <c r="G82" s="89">
        <v>1622116</v>
      </c>
      <c r="H82" s="89">
        <f t="shared" si="3"/>
        <v>16595848</v>
      </c>
      <c r="I82" s="81"/>
      <c r="J82" s="89">
        <v>1143991</v>
      </c>
      <c r="K82" s="89">
        <v>3437927</v>
      </c>
      <c r="L82" s="89">
        <v>26323863</v>
      </c>
      <c r="M82" s="89">
        <v>1502992</v>
      </c>
      <c r="N82" s="89">
        <f t="shared" si="2"/>
        <v>32408773</v>
      </c>
    </row>
    <row r="83" spans="1:14">
      <c r="A83" s="86" t="s">
        <v>128</v>
      </c>
      <c r="B83" s="87" t="s">
        <v>506</v>
      </c>
      <c r="C83" s="88" t="s">
        <v>127</v>
      </c>
      <c r="D83" s="89">
        <v>4859906</v>
      </c>
      <c r="E83" s="89">
        <v>5613113</v>
      </c>
      <c r="F83" s="89">
        <v>11416612</v>
      </c>
      <c r="G83" s="89">
        <v>2809093</v>
      </c>
      <c r="H83" s="89">
        <f t="shared" si="3"/>
        <v>24698724</v>
      </c>
      <c r="I83" s="81"/>
      <c r="J83" s="89">
        <v>6053001</v>
      </c>
      <c r="K83" s="89">
        <v>5397945</v>
      </c>
      <c r="L83" s="89">
        <v>26828006</v>
      </c>
      <c r="M83" s="89">
        <v>3395231</v>
      </c>
      <c r="N83" s="89">
        <f t="shared" si="2"/>
        <v>41674183</v>
      </c>
    </row>
    <row r="84" spans="1:14">
      <c r="A84" s="86" t="s">
        <v>129</v>
      </c>
      <c r="B84" s="87" t="s">
        <v>507</v>
      </c>
      <c r="C84" s="88" t="s">
        <v>127</v>
      </c>
      <c r="D84" s="89">
        <v>3952929</v>
      </c>
      <c r="E84" s="89">
        <v>7228702</v>
      </c>
      <c r="F84" s="89">
        <v>3552015</v>
      </c>
      <c r="G84" s="89">
        <v>3102196</v>
      </c>
      <c r="H84" s="89">
        <f t="shared" si="3"/>
        <v>17835842</v>
      </c>
      <c r="I84" s="81"/>
      <c r="J84" s="89">
        <v>5068397</v>
      </c>
      <c r="K84" s="89">
        <v>6508044</v>
      </c>
      <c r="L84" s="89">
        <v>10904213</v>
      </c>
      <c r="M84" s="89">
        <v>3462551</v>
      </c>
      <c r="N84" s="89">
        <f t="shared" si="2"/>
        <v>25943205</v>
      </c>
    </row>
    <row r="85" spans="1:14">
      <c r="A85" s="86" t="s">
        <v>130</v>
      </c>
      <c r="B85" s="87" t="s">
        <v>508</v>
      </c>
      <c r="C85" s="88" t="s">
        <v>131</v>
      </c>
      <c r="D85" s="89">
        <v>6569498</v>
      </c>
      <c r="E85" s="89">
        <v>11968018</v>
      </c>
      <c r="F85" s="89">
        <v>1350253</v>
      </c>
      <c r="G85" s="89">
        <v>1727496</v>
      </c>
      <c r="H85" s="89">
        <f t="shared" si="3"/>
        <v>21615265</v>
      </c>
      <c r="I85" s="81"/>
      <c r="J85" s="89">
        <v>6732030</v>
      </c>
      <c r="K85" s="89">
        <v>11426280</v>
      </c>
      <c r="L85" s="89">
        <v>1296429</v>
      </c>
      <c r="M85" s="89">
        <v>1750168</v>
      </c>
      <c r="N85" s="89">
        <f t="shared" si="2"/>
        <v>21204907</v>
      </c>
    </row>
    <row r="86" spans="1:14">
      <c r="A86" s="86" t="s">
        <v>132</v>
      </c>
      <c r="B86" s="87" t="s">
        <v>509</v>
      </c>
      <c r="C86" s="88" t="s">
        <v>131</v>
      </c>
      <c r="D86" s="89">
        <v>15335957</v>
      </c>
      <c r="E86" s="89">
        <v>17211090</v>
      </c>
      <c r="F86" s="89">
        <v>3011843</v>
      </c>
      <c r="G86" s="89">
        <v>2683538</v>
      </c>
      <c r="H86" s="89">
        <f t="shared" si="3"/>
        <v>38242428</v>
      </c>
      <c r="I86" s="81"/>
      <c r="J86" s="89">
        <v>17908150</v>
      </c>
      <c r="K86" s="89">
        <v>21286821</v>
      </c>
      <c r="L86" s="89">
        <v>2797374</v>
      </c>
      <c r="M86" s="89">
        <v>2917667</v>
      </c>
      <c r="N86" s="89">
        <f t="shared" si="2"/>
        <v>44910012</v>
      </c>
    </row>
    <row r="87" spans="1:14">
      <c r="A87" s="86" t="s">
        <v>133</v>
      </c>
      <c r="B87" s="87" t="s">
        <v>510</v>
      </c>
      <c r="C87" s="88" t="s">
        <v>134</v>
      </c>
      <c r="D87" s="89">
        <v>8096359</v>
      </c>
      <c r="E87" s="89">
        <v>11760207</v>
      </c>
      <c r="F87" s="89">
        <v>6798962</v>
      </c>
      <c r="G87" s="89">
        <v>4545276</v>
      </c>
      <c r="H87" s="89">
        <f t="shared" si="3"/>
        <v>31200804</v>
      </c>
      <c r="I87" s="81"/>
      <c r="J87" s="89">
        <v>9242731</v>
      </c>
      <c r="K87" s="89">
        <v>8656408</v>
      </c>
      <c r="L87" s="89">
        <v>10177878</v>
      </c>
      <c r="M87" s="89">
        <v>5097915</v>
      </c>
      <c r="N87" s="89">
        <f t="shared" si="2"/>
        <v>33174932</v>
      </c>
    </row>
    <row r="88" spans="1:14">
      <c r="A88" s="86" t="s">
        <v>135</v>
      </c>
      <c r="B88" s="87" t="s">
        <v>511</v>
      </c>
      <c r="C88" s="88" t="s">
        <v>134</v>
      </c>
      <c r="D88" s="89">
        <v>678598</v>
      </c>
      <c r="E88" s="89">
        <v>8284624</v>
      </c>
      <c r="F88" s="89">
        <v>279595</v>
      </c>
      <c r="G88" s="89">
        <v>2696179</v>
      </c>
      <c r="H88" s="89">
        <f t="shared" si="3"/>
        <v>11938996</v>
      </c>
      <c r="I88" s="81"/>
      <c r="J88" s="89">
        <v>883089</v>
      </c>
      <c r="K88" s="89">
        <v>4703929</v>
      </c>
      <c r="L88" s="89">
        <v>808718</v>
      </c>
      <c r="M88" s="89">
        <v>8849726</v>
      </c>
      <c r="N88" s="89">
        <f t="shared" si="2"/>
        <v>15245462</v>
      </c>
    </row>
    <row r="89" spans="1:14">
      <c r="A89" s="86" t="s">
        <v>136</v>
      </c>
      <c r="B89" s="87" t="s">
        <v>512</v>
      </c>
      <c r="C89" s="88" t="s">
        <v>20</v>
      </c>
      <c r="D89" s="89">
        <v>1716313</v>
      </c>
      <c r="E89" s="89">
        <v>5724190</v>
      </c>
      <c r="F89" s="89">
        <v>537600</v>
      </c>
      <c r="G89" s="89">
        <v>1415528</v>
      </c>
      <c r="H89" s="89">
        <f t="shared" si="3"/>
        <v>9393631</v>
      </c>
      <c r="I89" s="81"/>
      <c r="J89" s="92" t="s">
        <v>21</v>
      </c>
      <c r="K89" s="92" t="s">
        <v>21</v>
      </c>
      <c r="L89" s="92" t="s">
        <v>21</v>
      </c>
      <c r="M89" s="92" t="s">
        <v>21</v>
      </c>
      <c r="N89" s="92" t="s">
        <v>21</v>
      </c>
    </row>
    <row r="90" spans="1:14">
      <c r="A90" s="86" t="s">
        <v>137</v>
      </c>
      <c r="B90" s="87" t="s">
        <v>20</v>
      </c>
      <c r="C90" s="88" t="s">
        <v>20</v>
      </c>
      <c r="D90" s="89">
        <v>939512</v>
      </c>
      <c r="E90" s="89">
        <v>8387430</v>
      </c>
      <c r="F90" s="89">
        <v>353029</v>
      </c>
      <c r="G90" s="89">
        <v>852692</v>
      </c>
      <c r="H90" s="89">
        <f t="shared" si="3"/>
        <v>10532663</v>
      </c>
      <c r="I90" s="81"/>
      <c r="J90" s="93">
        <v>0</v>
      </c>
      <c r="K90" s="93">
        <v>0</v>
      </c>
      <c r="L90" s="93">
        <v>0</v>
      </c>
      <c r="M90" s="93">
        <v>0</v>
      </c>
      <c r="N90" s="93">
        <f t="shared" si="2"/>
        <v>0</v>
      </c>
    </row>
    <row r="91" spans="1:14">
      <c r="A91" s="86" t="s">
        <v>138</v>
      </c>
      <c r="B91" s="87" t="s">
        <v>513</v>
      </c>
      <c r="C91" s="88" t="s">
        <v>139</v>
      </c>
      <c r="D91" s="89">
        <v>4714518</v>
      </c>
      <c r="E91" s="89">
        <v>10837540</v>
      </c>
      <c r="F91" s="89">
        <v>9517852</v>
      </c>
      <c r="G91" s="89">
        <v>3725097</v>
      </c>
      <c r="H91" s="89">
        <f t="shared" si="3"/>
        <v>28795007</v>
      </c>
      <c r="I91" s="81"/>
      <c r="J91" s="89">
        <v>5887501</v>
      </c>
      <c r="K91" s="89">
        <v>7993050</v>
      </c>
      <c r="L91" s="89">
        <v>24053656</v>
      </c>
      <c r="M91" s="89">
        <v>4182440</v>
      </c>
      <c r="N91" s="89">
        <f t="shared" si="2"/>
        <v>42116647</v>
      </c>
    </row>
    <row r="92" spans="1:14">
      <c r="A92" s="86" t="s">
        <v>140</v>
      </c>
      <c r="B92" s="87" t="s">
        <v>514</v>
      </c>
      <c r="C92" s="88" t="s">
        <v>141</v>
      </c>
      <c r="D92" s="89">
        <v>2728099</v>
      </c>
      <c r="E92" s="89">
        <v>11112119</v>
      </c>
      <c r="F92" s="89">
        <v>1979153</v>
      </c>
      <c r="G92" s="89">
        <v>5512082</v>
      </c>
      <c r="H92" s="89">
        <f t="shared" si="3"/>
        <v>21331453</v>
      </c>
      <c r="I92" s="81"/>
      <c r="J92" s="89">
        <v>3086562</v>
      </c>
      <c r="K92" s="89">
        <v>9377143</v>
      </c>
      <c r="L92" s="89">
        <v>2817979</v>
      </c>
      <c r="M92" s="89">
        <v>3380080</v>
      </c>
      <c r="N92" s="89">
        <f t="shared" si="2"/>
        <v>18661764</v>
      </c>
    </row>
    <row r="93" spans="1:14">
      <c r="A93" s="86" t="s">
        <v>142</v>
      </c>
      <c r="B93" s="87" t="s">
        <v>515</v>
      </c>
      <c r="C93" s="88" t="s">
        <v>141</v>
      </c>
      <c r="D93" s="89">
        <v>488030</v>
      </c>
      <c r="E93" s="89">
        <v>3866177</v>
      </c>
      <c r="F93" s="89">
        <v>438553</v>
      </c>
      <c r="G93" s="89">
        <v>4013826</v>
      </c>
      <c r="H93" s="89">
        <f t="shared" si="3"/>
        <v>8806586</v>
      </c>
      <c r="I93" s="81"/>
      <c r="J93" s="89">
        <v>576556</v>
      </c>
      <c r="K93" s="89">
        <v>3763551</v>
      </c>
      <c r="L93" s="89">
        <v>3717144</v>
      </c>
      <c r="M93" s="89">
        <v>4624102</v>
      </c>
      <c r="N93" s="89">
        <f t="shared" si="2"/>
        <v>12681353</v>
      </c>
    </row>
    <row r="94" spans="1:14">
      <c r="A94" s="86" t="s">
        <v>143</v>
      </c>
      <c r="B94" s="87" t="s">
        <v>516</v>
      </c>
      <c r="C94" s="88" t="s">
        <v>144</v>
      </c>
      <c r="D94" s="89">
        <v>4142646</v>
      </c>
      <c r="E94" s="89">
        <v>18951142</v>
      </c>
      <c r="F94" s="89">
        <v>2179353</v>
      </c>
      <c r="G94" s="89">
        <v>12505633</v>
      </c>
      <c r="H94" s="89">
        <f t="shared" si="3"/>
        <v>37778774</v>
      </c>
      <c r="I94" s="81"/>
      <c r="J94" s="89">
        <v>5173607</v>
      </c>
      <c r="K94" s="89">
        <v>18828396</v>
      </c>
      <c r="L94" s="89">
        <v>1625801</v>
      </c>
      <c r="M94" s="89">
        <v>13094386</v>
      </c>
      <c r="N94" s="89">
        <f t="shared" si="2"/>
        <v>38722190</v>
      </c>
    </row>
    <row r="95" spans="1:14">
      <c r="A95" s="86" t="s">
        <v>145</v>
      </c>
      <c r="B95" s="87" t="s">
        <v>517</v>
      </c>
      <c r="C95" s="88" t="s">
        <v>146</v>
      </c>
      <c r="D95" s="89">
        <v>783368</v>
      </c>
      <c r="E95" s="89">
        <v>3824968</v>
      </c>
      <c r="F95" s="89">
        <v>1048935</v>
      </c>
      <c r="G95" s="89">
        <v>2090694</v>
      </c>
      <c r="H95" s="89">
        <f t="shared" si="3"/>
        <v>7747965</v>
      </c>
      <c r="I95" s="81"/>
      <c r="J95" s="89">
        <v>794316</v>
      </c>
      <c r="K95" s="89">
        <v>2881829</v>
      </c>
      <c r="L95" s="89">
        <v>1006872</v>
      </c>
      <c r="M95" s="89">
        <v>2006636</v>
      </c>
      <c r="N95" s="89">
        <f t="shared" si="2"/>
        <v>6689653</v>
      </c>
    </row>
    <row r="96" spans="1:14">
      <c r="A96" s="86" t="s">
        <v>147</v>
      </c>
      <c r="B96" s="87" t="s">
        <v>146</v>
      </c>
      <c r="C96" s="88" t="s">
        <v>146</v>
      </c>
      <c r="D96" s="89">
        <v>2556304</v>
      </c>
      <c r="E96" s="89">
        <v>6719633</v>
      </c>
      <c r="F96" s="89">
        <v>1764163</v>
      </c>
      <c r="G96" s="89">
        <v>3415417</v>
      </c>
      <c r="H96" s="89">
        <f t="shared" si="3"/>
        <v>14455517</v>
      </c>
      <c r="I96" s="81"/>
      <c r="J96" s="89">
        <v>3230931</v>
      </c>
      <c r="K96" s="89">
        <v>6868848</v>
      </c>
      <c r="L96" s="89">
        <v>4359792</v>
      </c>
      <c r="M96" s="89">
        <v>3522673</v>
      </c>
      <c r="N96" s="89">
        <f t="shared" si="2"/>
        <v>17982244</v>
      </c>
    </row>
    <row r="97" spans="1:14">
      <c r="A97" s="86" t="s">
        <v>148</v>
      </c>
      <c r="B97" s="87" t="s">
        <v>518</v>
      </c>
      <c r="C97" s="88" t="s">
        <v>149</v>
      </c>
      <c r="D97" s="89">
        <v>3160222</v>
      </c>
      <c r="E97" s="89">
        <v>21227963</v>
      </c>
      <c r="F97" s="89">
        <v>1603670</v>
      </c>
      <c r="G97" s="89">
        <v>7192819</v>
      </c>
      <c r="H97" s="89">
        <f t="shared" si="3"/>
        <v>33184674</v>
      </c>
      <c r="I97" s="81"/>
      <c r="J97" s="89">
        <v>4349978</v>
      </c>
      <c r="K97" s="89">
        <v>24630571</v>
      </c>
      <c r="L97" s="89">
        <v>1424212</v>
      </c>
      <c r="M97" s="89">
        <v>7183368</v>
      </c>
      <c r="N97" s="89">
        <f t="shared" si="2"/>
        <v>37588129</v>
      </c>
    </row>
    <row r="98" spans="1:14">
      <c r="A98" s="86" t="s">
        <v>150</v>
      </c>
      <c r="B98" s="87" t="s">
        <v>519</v>
      </c>
      <c r="C98" s="88" t="s">
        <v>149</v>
      </c>
      <c r="D98" s="89">
        <v>2932830</v>
      </c>
      <c r="E98" s="89">
        <v>11079771</v>
      </c>
      <c r="F98" s="89">
        <v>988443</v>
      </c>
      <c r="G98" s="89">
        <v>5082989</v>
      </c>
      <c r="H98" s="89">
        <f t="shared" si="3"/>
        <v>20084033</v>
      </c>
      <c r="I98" s="81"/>
      <c r="J98" s="89">
        <v>3814373</v>
      </c>
      <c r="K98" s="89">
        <v>12646908</v>
      </c>
      <c r="L98" s="89">
        <v>1090366</v>
      </c>
      <c r="M98" s="89">
        <v>4748302</v>
      </c>
      <c r="N98" s="89">
        <f t="shared" si="2"/>
        <v>22299949</v>
      </c>
    </row>
    <row r="99" spans="1:14">
      <c r="A99" s="86" t="s">
        <v>151</v>
      </c>
      <c r="B99" s="87" t="s">
        <v>520</v>
      </c>
      <c r="C99" s="88" t="s">
        <v>149</v>
      </c>
      <c r="D99" s="89">
        <v>7937379</v>
      </c>
      <c r="E99" s="89">
        <v>18704395</v>
      </c>
      <c r="F99" s="89">
        <v>1744152</v>
      </c>
      <c r="G99" s="89">
        <v>6783484</v>
      </c>
      <c r="H99" s="89">
        <f t="shared" si="3"/>
        <v>35169410</v>
      </c>
      <c r="I99" s="81"/>
      <c r="J99" s="89">
        <v>10503095</v>
      </c>
      <c r="K99" s="89">
        <v>24336677</v>
      </c>
      <c r="L99" s="89">
        <v>2188516</v>
      </c>
      <c r="M99" s="89">
        <v>7543194</v>
      </c>
      <c r="N99" s="89">
        <f t="shared" si="2"/>
        <v>44571482</v>
      </c>
    </row>
    <row r="100" spans="1:14">
      <c r="A100" s="86" t="s">
        <v>152</v>
      </c>
      <c r="B100" s="87" t="s">
        <v>89</v>
      </c>
      <c r="C100" s="88" t="s">
        <v>149</v>
      </c>
      <c r="D100" s="89">
        <v>57092977</v>
      </c>
      <c r="E100" s="89">
        <v>16218165</v>
      </c>
      <c r="F100" s="89">
        <v>7209319</v>
      </c>
      <c r="G100" s="89">
        <v>9461757</v>
      </c>
      <c r="H100" s="89">
        <f t="shared" si="3"/>
        <v>89982218</v>
      </c>
      <c r="I100" s="81"/>
      <c r="J100" s="89">
        <v>74113062</v>
      </c>
      <c r="K100" s="89">
        <v>24427036</v>
      </c>
      <c r="L100" s="89">
        <v>8858293</v>
      </c>
      <c r="M100" s="89">
        <v>10322879</v>
      </c>
      <c r="N100" s="89">
        <f t="shared" si="2"/>
        <v>117721270</v>
      </c>
    </row>
    <row r="101" spans="1:14">
      <c r="A101" s="86" t="s">
        <v>153</v>
      </c>
      <c r="B101" s="87" t="s">
        <v>521</v>
      </c>
      <c r="C101" s="88" t="s">
        <v>154</v>
      </c>
      <c r="D101" s="89">
        <v>1154120</v>
      </c>
      <c r="E101" s="89">
        <v>5157630</v>
      </c>
      <c r="F101" s="89">
        <v>882852</v>
      </c>
      <c r="G101" s="89">
        <v>2237170</v>
      </c>
      <c r="H101" s="89">
        <f t="shared" si="3"/>
        <v>9431772</v>
      </c>
      <c r="I101" s="81"/>
      <c r="J101" s="89">
        <v>1239826</v>
      </c>
      <c r="K101" s="89">
        <v>9666400</v>
      </c>
      <c r="L101" s="89">
        <v>1231329</v>
      </c>
      <c r="M101" s="89">
        <v>2083401</v>
      </c>
      <c r="N101" s="89">
        <f t="shared" si="2"/>
        <v>14220956</v>
      </c>
    </row>
    <row r="102" spans="1:14">
      <c r="A102" s="86" t="s">
        <v>155</v>
      </c>
      <c r="B102" s="87" t="s">
        <v>522</v>
      </c>
      <c r="C102" s="88" t="s">
        <v>154</v>
      </c>
      <c r="D102" s="89">
        <v>1538135</v>
      </c>
      <c r="E102" s="89">
        <v>7054718</v>
      </c>
      <c r="F102" s="89">
        <v>1543121</v>
      </c>
      <c r="G102" s="89">
        <v>1917469</v>
      </c>
      <c r="H102" s="89">
        <f t="shared" si="3"/>
        <v>12053443</v>
      </c>
      <c r="I102" s="81"/>
      <c r="J102" s="89">
        <v>1659200</v>
      </c>
      <c r="K102" s="89">
        <v>4657151</v>
      </c>
      <c r="L102" s="89">
        <v>2028033</v>
      </c>
      <c r="M102" s="89">
        <v>2241336</v>
      </c>
      <c r="N102" s="89">
        <f t="shared" si="2"/>
        <v>10585720</v>
      </c>
    </row>
    <row r="103" spans="1:14">
      <c r="A103" s="86" t="s">
        <v>156</v>
      </c>
      <c r="B103" s="87" t="s">
        <v>523</v>
      </c>
      <c r="C103" s="88" t="s">
        <v>154</v>
      </c>
      <c r="D103" s="89">
        <v>3462389</v>
      </c>
      <c r="E103" s="89">
        <v>6392473</v>
      </c>
      <c r="F103" s="89">
        <v>2272374</v>
      </c>
      <c r="G103" s="89">
        <v>2044286</v>
      </c>
      <c r="H103" s="89">
        <f t="shared" si="3"/>
        <v>14171522</v>
      </c>
      <c r="I103" s="81"/>
      <c r="J103" s="89">
        <v>3805353</v>
      </c>
      <c r="K103" s="89">
        <v>5005097</v>
      </c>
      <c r="L103" s="89">
        <v>7520202</v>
      </c>
      <c r="M103" s="89">
        <v>2479211</v>
      </c>
      <c r="N103" s="89">
        <f t="shared" si="2"/>
        <v>18809863</v>
      </c>
    </row>
    <row r="104" spans="1:14">
      <c r="A104" s="86" t="s">
        <v>157</v>
      </c>
      <c r="B104" s="87" t="s">
        <v>524</v>
      </c>
      <c r="C104" s="88" t="s">
        <v>158</v>
      </c>
      <c r="D104" s="89">
        <v>6589995</v>
      </c>
      <c r="E104" s="89">
        <v>14904309</v>
      </c>
      <c r="F104" s="89">
        <v>2199980</v>
      </c>
      <c r="G104" s="89">
        <v>3495671</v>
      </c>
      <c r="H104" s="89">
        <f t="shared" si="3"/>
        <v>27189955</v>
      </c>
      <c r="I104" s="81"/>
      <c r="J104" s="89">
        <v>6839322</v>
      </c>
      <c r="K104" s="89">
        <v>12173886</v>
      </c>
      <c r="L104" s="89">
        <v>6211063</v>
      </c>
      <c r="M104" s="89">
        <v>4292930</v>
      </c>
      <c r="N104" s="89">
        <f t="shared" si="2"/>
        <v>29517201</v>
      </c>
    </row>
    <row r="105" spans="1:14">
      <c r="A105" s="86" t="s">
        <v>159</v>
      </c>
      <c r="B105" s="87" t="s">
        <v>525</v>
      </c>
      <c r="C105" s="88" t="s">
        <v>158</v>
      </c>
      <c r="D105" s="89">
        <v>534434</v>
      </c>
      <c r="E105" s="89">
        <v>4435175</v>
      </c>
      <c r="F105" s="89">
        <v>291459</v>
      </c>
      <c r="G105" s="89">
        <v>911651</v>
      </c>
      <c r="H105" s="89">
        <f t="shared" si="3"/>
        <v>6172719</v>
      </c>
      <c r="I105" s="81"/>
      <c r="J105" s="92" t="s">
        <v>21</v>
      </c>
      <c r="K105" s="92" t="s">
        <v>21</v>
      </c>
      <c r="L105" s="92" t="s">
        <v>21</v>
      </c>
      <c r="M105" s="92" t="s">
        <v>21</v>
      </c>
      <c r="N105" s="92" t="s">
        <v>21</v>
      </c>
    </row>
    <row r="106" spans="1:14">
      <c r="A106" s="86" t="s">
        <v>160</v>
      </c>
      <c r="B106" s="87" t="s">
        <v>526</v>
      </c>
      <c r="C106" s="88" t="s">
        <v>18</v>
      </c>
      <c r="D106" s="89">
        <v>5625491</v>
      </c>
      <c r="E106" s="89">
        <v>12508258</v>
      </c>
      <c r="F106" s="89">
        <v>5735137</v>
      </c>
      <c r="G106" s="89">
        <v>3109395</v>
      </c>
      <c r="H106" s="89">
        <f t="shared" si="3"/>
        <v>26978281</v>
      </c>
      <c r="I106" s="81"/>
      <c r="J106" s="89">
        <v>5740056</v>
      </c>
      <c r="K106" s="89">
        <v>8932586</v>
      </c>
      <c r="L106" s="89">
        <v>16998127</v>
      </c>
      <c r="M106" s="89">
        <v>3968637</v>
      </c>
      <c r="N106" s="89">
        <f t="shared" si="2"/>
        <v>35639406</v>
      </c>
    </row>
    <row r="107" spans="1:14">
      <c r="A107" s="86" t="s">
        <v>161</v>
      </c>
      <c r="B107" s="87" t="s">
        <v>162</v>
      </c>
      <c r="C107" s="88" t="s">
        <v>162</v>
      </c>
      <c r="D107" s="89">
        <v>4015219</v>
      </c>
      <c r="E107" s="89">
        <v>12022007</v>
      </c>
      <c r="F107" s="89">
        <v>1586899</v>
      </c>
      <c r="G107" s="89">
        <v>4413222</v>
      </c>
      <c r="H107" s="89">
        <f t="shared" si="3"/>
        <v>22037347</v>
      </c>
      <c r="I107" s="81"/>
      <c r="J107" s="89">
        <v>4693941</v>
      </c>
      <c r="K107" s="89">
        <v>12274001</v>
      </c>
      <c r="L107" s="89">
        <v>1167777</v>
      </c>
      <c r="M107" s="89">
        <v>5690144</v>
      </c>
      <c r="N107" s="89">
        <f t="shared" si="2"/>
        <v>23825863</v>
      </c>
    </row>
    <row r="108" spans="1:14">
      <c r="A108" s="86" t="s">
        <v>163</v>
      </c>
      <c r="B108" s="87" t="s">
        <v>527</v>
      </c>
      <c r="C108" s="88" t="s">
        <v>162</v>
      </c>
      <c r="D108" s="89">
        <v>952809</v>
      </c>
      <c r="E108" s="89">
        <v>8915025</v>
      </c>
      <c r="F108" s="89">
        <v>412961</v>
      </c>
      <c r="G108" s="89">
        <v>2020020</v>
      </c>
      <c r="H108" s="89">
        <f t="shared" si="3"/>
        <v>12300815</v>
      </c>
      <c r="I108" s="81"/>
      <c r="J108" s="89">
        <v>1281953</v>
      </c>
      <c r="K108" s="89">
        <v>9210690</v>
      </c>
      <c r="L108" s="89">
        <v>359017</v>
      </c>
      <c r="M108" s="89">
        <v>2364105</v>
      </c>
      <c r="N108" s="89">
        <f t="shared" si="2"/>
        <v>13215765</v>
      </c>
    </row>
    <row r="109" spans="1:14">
      <c r="A109" s="86" t="s">
        <v>164</v>
      </c>
      <c r="B109" s="87" t="s">
        <v>528</v>
      </c>
      <c r="C109" s="88" t="s">
        <v>165</v>
      </c>
      <c r="D109" s="89">
        <v>3018435</v>
      </c>
      <c r="E109" s="89">
        <v>10950294</v>
      </c>
      <c r="F109" s="89">
        <v>24464465</v>
      </c>
      <c r="G109" s="89">
        <v>4689159</v>
      </c>
      <c r="H109" s="89">
        <f t="shared" si="3"/>
        <v>43122353</v>
      </c>
      <c r="I109" s="81"/>
      <c r="J109" s="89">
        <v>3378943</v>
      </c>
      <c r="K109" s="89">
        <v>10054300</v>
      </c>
      <c r="L109" s="89">
        <v>33271243</v>
      </c>
      <c r="M109" s="89">
        <v>6580157</v>
      </c>
      <c r="N109" s="89">
        <f t="shared" si="2"/>
        <v>53284643</v>
      </c>
    </row>
    <row r="110" spans="1:14">
      <c r="A110" s="86" t="s">
        <v>166</v>
      </c>
      <c r="B110" s="87" t="s">
        <v>529</v>
      </c>
      <c r="C110" s="88" t="s">
        <v>25</v>
      </c>
      <c r="D110" s="89">
        <v>426940</v>
      </c>
      <c r="E110" s="89">
        <v>2928215</v>
      </c>
      <c r="F110" s="89">
        <v>3812592</v>
      </c>
      <c r="G110" s="89">
        <v>761236</v>
      </c>
      <c r="H110" s="89">
        <f t="shared" si="3"/>
        <v>7928983</v>
      </c>
      <c r="I110" s="81"/>
      <c r="J110" s="92" t="s">
        <v>21</v>
      </c>
      <c r="K110" s="92" t="s">
        <v>21</v>
      </c>
      <c r="L110" s="92" t="s">
        <v>21</v>
      </c>
      <c r="M110" s="92" t="s">
        <v>21</v>
      </c>
      <c r="N110" s="92" t="s">
        <v>21</v>
      </c>
    </row>
    <row r="111" spans="1:14">
      <c r="A111" s="86" t="s">
        <v>168</v>
      </c>
      <c r="B111" s="87" t="s">
        <v>531</v>
      </c>
      <c r="C111" s="88" t="s">
        <v>25</v>
      </c>
      <c r="D111" s="89">
        <v>4602082</v>
      </c>
      <c r="E111" s="89">
        <v>7064007</v>
      </c>
      <c r="F111" s="89">
        <v>7025190</v>
      </c>
      <c r="G111" s="89">
        <v>2094054</v>
      </c>
      <c r="H111" s="89">
        <f t="shared" si="3"/>
        <v>20785333</v>
      </c>
      <c r="I111" s="81"/>
      <c r="J111" s="89">
        <v>4718788</v>
      </c>
      <c r="K111" s="89">
        <v>5412761</v>
      </c>
      <c r="L111" s="89">
        <v>20095565</v>
      </c>
      <c r="M111" s="89">
        <v>2016594</v>
      </c>
      <c r="N111" s="89">
        <f t="shared" si="2"/>
        <v>32243708</v>
      </c>
    </row>
    <row r="112" spans="1:14">
      <c r="A112" s="86" t="s">
        <v>170</v>
      </c>
      <c r="B112" s="87" t="s">
        <v>533</v>
      </c>
      <c r="C112" s="88" t="s">
        <v>171</v>
      </c>
      <c r="D112" s="89">
        <v>281223570</v>
      </c>
      <c r="E112" s="89">
        <v>19160617</v>
      </c>
      <c r="F112" s="89">
        <v>41316308</v>
      </c>
      <c r="G112" s="89">
        <v>21656539</v>
      </c>
      <c r="H112" s="89">
        <f t="shared" si="3"/>
        <v>363357034</v>
      </c>
      <c r="I112" s="81"/>
      <c r="J112" s="89">
        <v>356629189</v>
      </c>
      <c r="K112" s="89">
        <v>25488723</v>
      </c>
      <c r="L112" s="89">
        <v>29551095</v>
      </c>
      <c r="M112" s="89">
        <v>17369441</v>
      </c>
      <c r="N112" s="89">
        <f t="shared" si="2"/>
        <v>429038448</v>
      </c>
    </row>
    <row r="113" spans="1:14">
      <c r="A113" s="86" t="s">
        <v>172</v>
      </c>
      <c r="B113" s="87" t="s">
        <v>534</v>
      </c>
      <c r="C113" s="88" t="s">
        <v>171</v>
      </c>
      <c r="D113" s="89">
        <v>4632298</v>
      </c>
      <c r="E113" s="89">
        <v>29034930</v>
      </c>
      <c r="F113" s="89">
        <v>15343863</v>
      </c>
      <c r="G113" s="89">
        <v>7471663</v>
      </c>
      <c r="H113" s="89">
        <f t="shared" si="3"/>
        <v>56482754</v>
      </c>
      <c r="I113" s="81"/>
      <c r="J113" s="89">
        <v>6583538</v>
      </c>
      <c r="K113" s="89">
        <v>36070711</v>
      </c>
      <c r="L113" s="89">
        <v>11705512</v>
      </c>
      <c r="M113" s="89">
        <v>5724669</v>
      </c>
      <c r="N113" s="89">
        <f t="shared" si="2"/>
        <v>60084430</v>
      </c>
    </row>
    <row r="114" spans="1:14">
      <c r="A114" s="86" t="s">
        <v>173</v>
      </c>
      <c r="B114" s="87" t="s">
        <v>535</v>
      </c>
      <c r="C114" s="88" t="s">
        <v>171</v>
      </c>
      <c r="D114" s="89">
        <v>795765</v>
      </c>
      <c r="E114" s="89">
        <v>12522067</v>
      </c>
      <c r="F114" s="89">
        <v>805941</v>
      </c>
      <c r="G114" s="89">
        <v>2046658</v>
      </c>
      <c r="H114" s="89">
        <f t="shared" si="3"/>
        <v>16170431</v>
      </c>
      <c r="I114" s="81"/>
      <c r="J114" s="89">
        <v>1002567</v>
      </c>
      <c r="K114" s="89">
        <v>15890123</v>
      </c>
      <c r="L114" s="89">
        <v>750018</v>
      </c>
      <c r="M114" s="89">
        <v>2255989</v>
      </c>
      <c r="N114" s="89">
        <f t="shared" si="2"/>
        <v>19898697</v>
      </c>
    </row>
    <row r="115" spans="1:14">
      <c r="A115" s="86" t="s">
        <v>174</v>
      </c>
      <c r="B115" s="87" t="s">
        <v>536</v>
      </c>
      <c r="C115" s="88" t="s">
        <v>175</v>
      </c>
      <c r="D115" s="89">
        <v>143325129</v>
      </c>
      <c r="E115" s="89">
        <v>6599753</v>
      </c>
      <c r="F115" s="89">
        <v>24714981</v>
      </c>
      <c r="G115" s="89">
        <v>15454792</v>
      </c>
      <c r="H115" s="89">
        <f t="shared" si="3"/>
        <v>190094655</v>
      </c>
      <c r="I115" s="81"/>
      <c r="J115" s="89">
        <v>160366010</v>
      </c>
      <c r="K115" s="89">
        <v>7267828</v>
      </c>
      <c r="L115" s="89">
        <v>14986304</v>
      </c>
      <c r="M115" s="89">
        <v>12868027</v>
      </c>
      <c r="N115" s="89">
        <f t="shared" si="2"/>
        <v>195488169</v>
      </c>
    </row>
    <row r="116" spans="1:14">
      <c r="A116" s="86" t="s">
        <v>176</v>
      </c>
      <c r="B116" s="87" t="s">
        <v>537</v>
      </c>
      <c r="C116" s="88" t="s">
        <v>175</v>
      </c>
      <c r="D116" s="89">
        <v>21961859</v>
      </c>
      <c r="E116" s="89">
        <v>17720251</v>
      </c>
      <c r="F116" s="89">
        <v>8508157</v>
      </c>
      <c r="G116" s="89">
        <v>10791103</v>
      </c>
      <c r="H116" s="89">
        <f t="shared" si="3"/>
        <v>58981370</v>
      </c>
      <c r="I116" s="81"/>
      <c r="J116" s="89">
        <v>24795424</v>
      </c>
      <c r="K116" s="89">
        <v>19212836</v>
      </c>
      <c r="L116" s="89">
        <v>5601328</v>
      </c>
      <c r="M116" s="89">
        <v>10759694</v>
      </c>
      <c r="N116" s="89">
        <f t="shared" si="2"/>
        <v>60369282</v>
      </c>
    </row>
    <row r="117" spans="1:14">
      <c r="A117" s="86" t="s">
        <v>177</v>
      </c>
      <c r="B117" s="87" t="s">
        <v>538</v>
      </c>
      <c r="C117" s="88" t="s">
        <v>175</v>
      </c>
      <c r="D117" s="89">
        <v>2780238</v>
      </c>
      <c r="E117" s="89">
        <v>14818042</v>
      </c>
      <c r="F117" s="89">
        <v>3448855</v>
      </c>
      <c r="G117" s="89">
        <v>8618687</v>
      </c>
      <c r="H117" s="89">
        <f t="shared" si="3"/>
        <v>29665822</v>
      </c>
      <c r="I117" s="81"/>
      <c r="J117" s="89">
        <v>2972726</v>
      </c>
      <c r="K117" s="89">
        <v>13620505</v>
      </c>
      <c r="L117" s="89">
        <v>5901992</v>
      </c>
      <c r="M117" s="89">
        <v>9608460</v>
      </c>
      <c r="N117" s="89">
        <f t="shared" si="2"/>
        <v>32103683</v>
      </c>
    </row>
    <row r="118" spans="1:14">
      <c r="A118" s="86" t="s">
        <v>178</v>
      </c>
      <c r="B118" s="87" t="s">
        <v>539</v>
      </c>
      <c r="C118" s="88" t="s">
        <v>175</v>
      </c>
      <c r="D118" s="89">
        <v>1768247</v>
      </c>
      <c r="E118" s="89">
        <v>8733578</v>
      </c>
      <c r="F118" s="89">
        <v>818699</v>
      </c>
      <c r="G118" s="89">
        <v>3337098</v>
      </c>
      <c r="H118" s="89">
        <f t="shared" si="3"/>
        <v>14657622</v>
      </c>
      <c r="I118" s="81"/>
      <c r="J118" s="89">
        <v>2026499</v>
      </c>
      <c r="K118" s="89">
        <v>8744925</v>
      </c>
      <c r="L118" s="89">
        <v>1035342</v>
      </c>
      <c r="M118" s="89">
        <v>3108301</v>
      </c>
      <c r="N118" s="89">
        <f t="shared" si="2"/>
        <v>14915067</v>
      </c>
    </row>
    <row r="119" spans="1:14">
      <c r="A119" s="86" t="s">
        <v>179</v>
      </c>
      <c r="B119" s="87" t="s">
        <v>540</v>
      </c>
      <c r="C119" s="88" t="s">
        <v>175</v>
      </c>
      <c r="D119" s="89">
        <v>8625331</v>
      </c>
      <c r="E119" s="89">
        <v>23870320</v>
      </c>
      <c r="F119" s="89">
        <v>5246291</v>
      </c>
      <c r="G119" s="89">
        <v>12351062</v>
      </c>
      <c r="H119" s="89">
        <f t="shared" si="3"/>
        <v>50093004</v>
      </c>
      <c r="I119" s="81"/>
      <c r="J119" s="89">
        <v>9760477</v>
      </c>
      <c r="K119" s="89">
        <v>24833688</v>
      </c>
      <c r="L119" s="89">
        <v>7006524</v>
      </c>
      <c r="M119" s="89">
        <v>13272466</v>
      </c>
      <c r="N119" s="89">
        <f t="shared" si="2"/>
        <v>54873155</v>
      </c>
    </row>
    <row r="120" spans="1:14">
      <c r="A120" s="86" t="s">
        <v>180</v>
      </c>
      <c r="B120" s="87" t="s">
        <v>541</v>
      </c>
      <c r="C120" s="88" t="s">
        <v>175</v>
      </c>
      <c r="D120" s="89">
        <v>47940153</v>
      </c>
      <c r="E120" s="89">
        <v>30818625</v>
      </c>
      <c r="F120" s="89">
        <v>9737948</v>
      </c>
      <c r="G120" s="89">
        <v>21811028</v>
      </c>
      <c r="H120" s="89">
        <f t="shared" si="3"/>
        <v>110307754</v>
      </c>
      <c r="I120" s="81"/>
      <c r="J120" s="89">
        <v>57916410</v>
      </c>
      <c r="K120" s="89">
        <v>35126121</v>
      </c>
      <c r="L120" s="89">
        <v>8268166</v>
      </c>
      <c r="M120" s="89">
        <v>19396800</v>
      </c>
      <c r="N120" s="89">
        <f t="shared" si="2"/>
        <v>120707497</v>
      </c>
    </row>
    <row r="121" spans="1:14">
      <c r="A121" s="86" t="s">
        <v>181</v>
      </c>
      <c r="B121" s="87" t="s">
        <v>542</v>
      </c>
      <c r="C121" s="88" t="s">
        <v>182</v>
      </c>
      <c r="D121" s="89">
        <v>1089950</v>
      </c>
      <c r="E121" s="89">
        <v>7326327</v>
      </c>
      <c r="F121" s="89">
        <v>750257</v>
      </c>
      <c r="G121" s="89">
        <v>2946451</v>
      </c>
      <c r="H121" s="89">
        <f t="shared" si="3"/>
        <v>12112985</v>
      </c>
      <c r="I121" s="81"/>
      <c r="J121" s="89">
        <v>1184702</v>
      </c>
      <c r="K121" s="89">
        <v>5308223</v>
      </c>
      <c r="L121" s="89">
        <v>851018</v>
      </c>
      <c r="M121" s="89">
        <v>2127697</v>
      </c>
      <c r="N121" s="89">
        <f t="shared" si="2"/>
        <v>9471640</v>
      </c>
    </row>
    <row r="122" spans="1:14">
      <c r="A122" s="86" t="s">
        <v>183</v>
      </c>
      <c r="B122" s="87" t="s">
        <v>543</v>
      </c>
      <c r="C122" s="88" t="s">
        <v>182</v>
      </c>
      <c r="D122" s="89">
        <v>26618865</v>
      </c>
      <c r="E122" s="89">
        <v>14325941</v>
      </c>
      <c r="F122" s="89">
        <v>4424923</v>
      </c>
      <c r="G122" s="89">
        <v>8623628</v>
      </c>
      <c r="H122" s="89">
        <f t="shared" si="3"/>
        <v>53993357</v>
      </c>
      <c r="I122" s="81"/>
      <c r="J122" s="89">
        <v>33190997</v>
      </c>
      <c r="K122" s="89">
        <v>13793578</v>
      </c>
      <c r="L122" s="89">
        <v>5019873</v>
      </c>
      <c r="M122" s="89">
        <v>8554366</v>
      </c>
      <c r="N122" s="89">
        <f t="shared" si="2"/>
        <v>60558814</v>
      </c>
    </row>
    <row r="123" spans="1:14">
      <c r="A123" s="86" t="s">
        <v>184</v>
      </c>
      <c r="B123" s="87" t="s">
        <v>544</v>
      </c>
      <c r="C123" s="88" t="s">
        <v>182</v>
      </c>
      <c r="D123" s="89">
        <v>1295983</v>
      </c>
      <c r="E123" s="89">
        <v>5837685</v>
      </c>
      <c r="F123" s="89">
        <v>834348</v>
      </c>
      <c r="G123" s="89">
        <v>1520815</v>
      </c>
      <c r="H123" s="89">
        <f t="shared" si="3"/>
        <v>9488831</v>
      </c>
      <c r="I123" s="81"/>
      <c r="J123" s="89">
        <v>1525932</v>
      </c>
      <c r="K123" s="89">
        <v>4857080</v>
      </c>
      <c r="L123" s="89">
        <v>1041328</v>
      </c>
      <c r="M123" s="89">
        <v>1173853</v>
      </c>
      <c r="N123" s="89">
        <f t="shared" si="2"/>
        <v>8598193</v>
      </c>
    </row>
    <row r="124" spans="1:14">
      <c r="A124" s="86" t="s">
        <v>185</v>
      </c>
      <c r="B124" s="87" t="s">
        <v>545</v>
      </c>
      <c r="C124" s="88" t="s">
        <v>186</v>
      </c>
      <c r="D124" s="89">
        <v>21376203</v>
      </c>
      <c r="E124" s="89">
        <v>18581174</v>
      </c>
      <c r="F124" s="89">
        <v>4320131</v>
      </c>
      <c r="G124" s="89">
        <v>7257308</v>
      </c>
      <c r="H124" s="89">
        <f t="shared" si="3"/>
        <v>51534816</v>
      </c>
      <c r="I124" s="81"/>
      <c r="J124" s="89">
        <v>33475424</v>
      </c>
      <c r="K124" s="89">
        <v>24913565</v>
      </c>
      <c r="L124" s="89">
        <v>3764390</v>
      </c>
      <c r="M124" s="89">
        <v>5692366</v>
      </c>
      <c r="N124" s="89">
        <f t="shared" si="2"/>
        <v>67845745</v>
      </c>
    </row>
    <row r="125" spans="1:14">
      <c r="A125" s="86" t="s">
        <v>187</v>
      </c>
      <c r="B125" s="87" t="s">
        <v>546</v>
      </c>
      <c r="C125" s="88" t="s">
        <v>186</v>
      </c>
      <c r="D125" s="89">
        <v>14618820</v>
      </c>
      <c r="E125" s="89">
        <v>20933462</v>
      </c>
      <c r="F125" s="89">
        <v>2595569</v>
      </c>
      <c r="G125" s="89">
        <v>216516557</v>
      </c>
      <c r="H125" s="89">
        <f t="shared" si="3"/>
        <v>254664408</v>
      </c>
      <c r="I125" s="81"/>
      <c r="J125" s="89">
        <v>19831697</v>
      </c>
      <c r="K125" s="89">
        <v>24272225</v>
      </c>
      <c r="L125" s="89">
        <v>2210533</v>
      </c>
      <c r="M125" s="89">
        <v>166478664</v>
      </c>
      <c r="N125" s="89">
        <f t="shared" si="2"/>
        <v>212793119</v>
      </c>
    </row>
    <row r="126" spans="1:14">
      <c r="A126" s="86" t="s">
        <v>188</v>
      </c>
      <c r="B126" s="87" t="s">
        <v>547</v>
      </c>
      <c r="C126" s="88" t="s">
        <v>186</v>
      </c>
      <c r="D126" s="89">
        <v>2357192</v>
      </c>
      <c r="E126" s="89">
        <v>8515704</v>
      </c>
      <c r="F126" s="89">
        <v>1071254</v>
      </c>
      <c r="G126" s="89">
        <v>4539644</v>
      </c>
      <c r="H126" s="89">
        <f t="shared" si="3"/>
        <v>16483794</v>
      </c>
      <c r="I126" s="81"/>
      <c r="J126" s="89">
        <v>3209414</v>
      </c>
      <c r="K126" s="89">
        <v>8977904</v>
      </c>
      <c r="L126" s="89">
        <v>915477</v>
      </c>
      <c r="M126" s="89">
        <v>4432522</v>
      </c>
      <c r="N126" s="89">
        <f t="shared" si="2"/>
        <v>17535317</v>
      </c>
    </row>
    <row r="127" spans="1:14">
      <c r="A127" s="86" t="s">
        <v>189</v>
      </c>
      <c r="B127" s="87" t="s">
        <v>548</v>
      </c>
      <c r="C127" s="88" t="s">
        <v>186</v>
      </c>
      <c r="D127" s="89">
        <v>2882434</v>
      </c>
      <c r="E127" s="89">
        <v>17080796</v>
      </c>
      <c r="F127" s="89">
        <v>1856872</v>
      </c>
      <c r="G127" s="89">
        <v>2381592</v>
      </c>
      <c r="H127" s="89">
        <f t="shared" si="3"/>
        <v>24201694</v>
      </c>
      <c r="I127" s="81"/>
      <c r="J127" s="89">
        <v>5940883</v>
      </c>
      <c r="K127" s="89">
        <v>26861896</v>
      </c>
      <c r="L127" s="89">
        <v>1641883</v>
      </c>
      <c r="M127" s="89">
        <v>2478257</v>
      </c>
      <c r="N127" s="89">
        <f t="shared" si="2"/>
        <v>36922919</v>
      </c>
    </row>
    <row r="128" spans="1:14">
      <c r="A128" s="86" t="s">
        <v>190</v>
      </c>
      <c r="B128" s="87" t="s">
        <v>549</v>
      </c>
      <c r="C128" s="88" t="s">
        <v>32</v>
      </c>
      <c r="D128" s="89">
        <v>757377</v>
      </c>
      <c r="E128" s="89">
        <v>6051161</v>
      </c>
      <c r="F128" s="89">
        <v>157802</v>
      </c>
      <c r="G128" s="89">
        <v>799561</v>
      </c>
      <c r="H128" s="89">
        <f t="shared" si="3"/>
        <v>7765901</v>
      </c>
      <c r="I128" s="81"/>
      <c r="J128" s="92" t="s">
        <v>21</v>
      </c>
      <c r="K128" s="92" t="s">
        <v>21</v>
      </c>
      <c r="L128" s="92" t="s">
        <v>21</v>
      </c>
      <c r="M128" s="92" t="s">
        <v>21</v>
      </c>
      <c r="N128" s="92" t="s">
        <v>21</v>
      </c>
    </row>
    <row r="129" spans="1:14">
      <c r="A129" s="86" t="s">
        <v>191</v>
      </c>
      <c r="B129" s="87" t="s">
        <v>550</v>
      </c>
      <c r="C129" s="88" t="s">
        <v>32</v>
      </c>
      <c r="D129" s="89">
        <v>7662204</v>
      </c>
      <c r="E129" s="89">
        <v>10000581</v>
      </c>
      <c r="F129" s="89">
        <v>3428719</v>
      </c>
      <c r="G129" s="89">
        <v>3305675</v>
      </c>
      <c r="H129" s="89">
        <f t="shared" si="3"/>
        <v>24397179</v>
      </c>
      <c r="I129" s="81"/>
      <c r="J129" s="89">
        <v>8507200</v>
      </c>
      <c r="K129" s="89">
        <v>9392845</v>
      </c>
      <c r="L129" s="89">
        <v>4213761</v>
      </c>
      <c r="M129" s="89">
        <v>4173136</v>
      </c>
      <c r="N129" s="89">
        <f t="shared" si="2"/>
        <v>26286942</v>
      </c>
    </row>
    <row r="130" spans="1:14">
      <c r="A130" s="86" t="s">
        <v>192</v>
      </c>
      <c r="B130" s="87" t="s">
        <v>134</v>
      </c>
      <c r="C130" s="88" t="s">
        <v>32</v>
      </c>
      <c r="D130" s="89">
        <v>1506083</v>
      </c>
      <c r="E130" s="89">
        <v>6019360</v>
      </c>
      <c r="F130" s="89">
        <v>2993498</v>
      </c>
      <c r="G130" s="89">
        <v>870489</v>
      </c>
      <c r="H130" s="89">
        <f t="shared" si="3"/>
        <v>11389430</v>
      </c>
      <c r="I130" s="81"/>
      <c r="J130" s="89">
        <v>1670468</v>
      </c>
      <c r="K130" s="89">
        <v>4553806</v>
      </c>
      <c r="L130" s="89">
        <v>5827945</v>
      </c>
      <c r="M130" s="89">
        <v>1079624</v>
      </c>
      <c r="N130" s="89">
        <f t="shared" si="2"/>
        <v>13131843</v>
      </c>
    </row>
    <row r="131" spans="1:14">
      <c r="A131" s="86" t="s">
        <v>193</v>
      </c>
      <c r="B131" s="87" t="s">
        <v>194</v>
      </c>
      <c r="C131" s="88" t="s">
        <v>194</v>
      </c>
      <c r="D131" s="89">
        <v>9326026</v>
      </c>
      <c r="E131" s="89">
        <v>10034071</v>
      </c>
      <c r="F131" s="89">
        <v>3261753</v>
      </c>
      <c r="G131" s="89">
        <v>4794939</v>
      </c>
      <c r="H131" s="89">
        <f t="shared" si="3"/>
        <v>27416789</v>
      </c>
      <c r="I131" s="81"/>
      <c r="J131" s="89">
        <v>11799992</v>
      </c>
      <c r="K131" s="89">
        <v>11248988</v>
      </c>
      <c r="L131" s="89">
        <v>3011979</v>
      </c>
      <c r="M131" s="89">
        <v>7159164</v>
      </c>
      <c r="N131" s="89">
        <f t="shared" si="2"/>
        <v>33220123</v>
      </c>
    </row>
    <row r="132" spans="1:14">
      <c r="A132" s="86" t="s">
        <v>195</v>
      </c>
      <c r="B132" s="87" t="s">
        <v>551</v>
      </c>
      <c r="C132" s="88" t="s">
        <v>194</v>
      </c>
      <c r="D132" s="89">
        <v>4375875</v>
      </c>
      <c r="E132" s="89">
        <v>14408565</v>
      </c>
      <c r="F132" s="89">
        <v>4215902</v>
      </c>
      <c r="G132" s="89">
        <v>17242762</v>
      </c>
      <c r="H132" s="89">
        <f t="shared" si="3"/>
        <v>40243104</v>
      </c>
      <c r="I132" s="81"/>
      <c r="J132" s="89">
        <v>5308055</v>
      </c>
      <c r="K132" s="89">
        <v>18348173</v>
      </c>
      <c r="L132" s="89">
        <v>12346133</v>
      </c>
      <c r="M132" s="89">
        <v>28196825</v>
      </c>
      <c r="N132" s="89">
        <f t="shared" si="2"/>
        <v>64199186</v>
      </c>
    </row>
    <row r="133" spans="1:14">
      <c r="A133" s="86" t="s">
        <v>196</v>
      </c>
      <c r="B133" s="87" t="s">
        <v>552</v>
      </c>
      <c r="C133" s="88" t="s">
        <v>197</v>
      </c>
      <c r="D133" s="89">
        <v>7346436</v>
      </c>
      <c r="E133" s="89">
        <v>14951296</v>
      </c>
      <c r="F133" s="89">
        <v>2120283</v>
      </c>
      <c r="G133" s="89">
        <v>5636027</v>
      </c>
      <c r="H133" s="89">
        <f t="shared" si="3"/>
        <v>30054042</v>
      </c>
      <c r="I133" s="81"/>
      <c r="J133" s="89">
        <v>9218928</v>
      </c>
      <c r="K133" s="89">
        <v>16372522</v>
      </c>
      <c r="L133" s="89">
        <v>1599875</v>
      </c>
      <c r="M133" s="89">
        <v>6346469</v>
      </c>
      <c r="N133" s="89">
        <f t="shared" ref="N133:N196" si="4">SUM(J133:M133)</f>
        <v>33537794</v>
      </c>
    </row>
    <row r="134" spans="1:14">
      <c r="A134" s="86" t="s">
        <v>198</v>
      </c>
      <c r="B134" s="87" t="s">
        <v>553</v>
      </c>
      <c r="C134" s="88" t="s">
        <v>197</v>
      </c>
      <c r="D134" s="89">
        <v>1963237</v>
      </c>
      <c r="E134" s="89">
        <v>20541430</v>
      </c>
      <c r="F134" s="89">
        <v>1544761</v>
      </c>
      <c r="G134" s="89">
        <v>4462212</v>
      </c>
      <c r="H134" s="89">
        <f t="shared" si="3"/>
        <v>28511640</v>
      </c>
      <c r="I134" s="81"/>
      <c r="J134" s="89">
        <v>2155848</v>
      </c>
      <c r="K134" s="89">
        <v>24309561</v>
      </c>
      <c r="L134" s="89">
        <v>1296084</v>
      </c>
      <c r="M134" s="89">
        <v>3573437</v>
      </c>
      <c r="N134" s="89">
        <f t="shared" si="4"/>
        <v>31334930</v>
      </c>
    </row>
    <row r="135" spans="1:14">
      <c r="A135" s="86" t="s">
        <v>199</v>
      </c>
      <c r="B135" s="87" t="s">
        <v>200</v>
      </c>
      <c r="C135" s="88" t="s">
        <v>200</v>
      </c>
      <c r="D135" s="89">
        <v>15189508</v>
      </c>
      <c r="E135" s="89">
        <v>21623106</v>
      </c>
      <c r="F135" s="89">
        <v>14282344</v>
      </c>
      <c r="G135" s="89">
        <v>8241703</v>
      </c>
      <c r="H135" s="89">
        <f t="shared" si="3"/>
        <v>59336661</v>
      </c>
      <c r="I135" s="81"/>
      <c r="J135" s="89">
        <v>17723054</v>
      </c>
      <c r="K135" s="89">
        <v>21981007</v>
      </c>
      <c r="L135" s="89">
        <v>23406431</v>
      </c>
      <c r="M135" s="89">
        <v>9004382</v>
      </c>
      <c r="N135" s="89">
        <f t="shared" si="4"/>
        <v>72114874</v>
      </c>
    </row>
    <row r="136" spans="1:14">
      <c r="A136" s="86" t="s">
        <v>201</v>
      </c>
      <c r="B136" s="87" t="s">
        <v>554</v>
      </c>
      <c r="C136" s="88" t="s">
        <v>200</v>
      </c>
      <c r="D136" s="89">
        <v>1869236</v>
      </c>
      <c r="E136" s="89">
        <v>9311888</v>
      </c>
      <c r="F136" s="89">
        <v>7508299</v>
      </c>
      <c r="G136" s="89">
        <v>19258902</v>
      </c>
      <c r="H136" s="89">
        <f t="shared" si="3"/>
        <v>37948325</v>
      </c>
      <c r="I136" s="81"/>
      <c r="J136" s="89">
        <v>2109705</v>
      </c>
      <c r="K136" s="89">
        <v>8725134</v>
      </c>
      <c r="L136" s="89">
        <v>18010624</v>
      </c>
      <c r="M136" s="89">
        <v>33649834</v>
      </c>
      <c r="N136" s="89">
        <f t="shared" si="4"/>
        <v>62495297</v>
      </c>
    </row>
    <row r="137" spans="1:14">
      <c r="A137" s="86" t="s">
        <v>202</v>
      </c>
      <c r="B137" s="87" t="s">
        <v>555</v>
      </c>
      <c r="C137" s="88" t="s">
        <v>203</v>
      </c>
      <c r="D137" s="89">
        <v>18707222</v>
      </c>
      <c r="E137" s="89">
        <v>13927239</v>
      </c>
      <c r="F137" s="89">
        <v>3211716</v>
      </c>
      <c r="G137" s="89">
        <v>7472066</v>
      </c>
      <c r="H137" s="89">
        <f t="shared" si="3"/>
        <v>43318243</v>
      </c>
      <c r="I137" s="81"/>
      <c r="J137" s="89">
        <v>21342464</v>
      </c>
      <c r="K137" s="89">
        <v>14384901</v>
      </c>
      <c r="L137" s="89">
        <v>2815526</v>
      </c>
      <c r="M137" s="89">
        <v>7684218</v>
      </c>
      <c r="N137" s="89">
        <f t="shared" si="4"/>
        <v>46227109</v>
      </c>
    </row>
    <row r="138" spans="1:14">
      <c r="A138" s="86" t="s">
        <v>204</v>
      </c>
      <c r="B138" s="87" t="s">
        <v>556</v>
      </c>
      <c r="C138" s="88" t="s">
        <v>203</v>
      </c>
      <c r="D138" s="89">
        <v>1655756</v>
      </c>
      <c r="E138" s="89">
        <v>7871954</v>
      </c>
      <c r="F138" s="89">
        <v>404002</v>
      </c>
      <c r="G138" s="89">
        <v>6156993</v>
      </c>
      <c r="H138" s="89">
        <f t="shared" ref="H138:H201" si="5">SUM(D138:G138)</f>
        <v>16088705</v>
      </c>
      <c r="I138" s="81"/>
      <c r="J138" s="89">
        <v>1928555</v>
      </c>
      <c r="K138" s="89">
        <v>7607333</v>
      </c>
      <c r="L138" s="89">
        <v>420755</v>
      </c>
      <c r="M138" s="89">
        <v>8161519</v>
      </c>
      <c r="N138" s="89">
        <f t="shared" si="4"/>
        <v>18118162</v>
      </c>
    </row>
    <row r="139" spans="1:14">
      <c r="A139" s="86" t="s">
        <v>205</v>
      </c>
      <c r="B139" s="87" t="s">
        <v>557</v>
      </c>
      <c r="C139" s="88" t="s">
        <v>206</v>
      </c>
      <c r="D139" s="89">
        <v>1336557</v>
      </c>
      <c r="E139" s="89">
        <v>8840028</v>
      </c>
      <c r="F139" s="89">
        <v>703084</v>
      </c>
      <c r="G139" s="89">
        <v>2306531</v>
      </c>
      <c r="H139" s="89">
        <f t="shared" si="5"/>
        <v>13186200</v>
      </c>
      <c r="I139" s="81"/>
      <c r="J139" s="89">
        <v>1720332</v>
      </c>
      <c r="K139" s="89">
        <v>10433043</v>
      </c>
      <c r="L139" s="89">
        <v>476649</v>
      </c>
      <c r="M139" s="89">
        <v>1943480</v>
      </c>
      <c r="N139" s="89">
        <f t="shared" si="4"/>
        <v>14573504</v>
      </c>
    </row>
    <row r="140" spans="1:14">
      <c r="A140" s="86" t="s">
        <v>207</v>
      </c>
      <c r="B140" s="87" t="s">
        <v>558</v>
      </c>
      <c r="C140" s="88" t="s">
        <v>206</v>
      </c>
      <c r="D140" s="89">
        <v>14081000</v>
      </c>
      <c r="E140" s="89">
        <v>13604702</v>
      </c>
      <c r="F140" s="89">
        <v>2873517</v>
      </c>
      <c r="G140" s="89">
        <v>2219246</v>
      </c>
      <c r="H140" s="89">
        <f t="shared" si="5"/>
        <v>32778465</v>
      </c>
      <c r="I140" s="81"/>
      <c r="J140" s="89">
        <v>18802402</v>
      </c>
      <c r="K140" s="89">
        <v>17911476</v>
      </c>
      <c r="L140" s="89">
        <v>2123112</v>
      </c>
      <c r="M140" s="89">
        <v>1899232</v>
      </c>
      <c r="N140" s="89">
        <f t="shared" si="4"/>
        <v>40736222</v>
      </c>
    </row>
    <row r="141" spans="1:14">
      <c r="A141" s="86" t="s">
        <v>208</v>
      </c>
      <c r="B141" s="87" t="s">
        <v>559</v>
      </c>
      <c r="C141" s="88" t="s">
        <v>206</v>
      </c>
      <c r="D141" s="89">
        <v>2812591</v>
      </c>
      <c r="E141" s="89">
        <v>13251771</v>
      </c>
      <c r="F141" s="89">
        <v>1138117</v>
      </c>
      <c r="G141" s="89">
        <v>3942322</v>
      </c>
      <c r="H141" s="89">
        <f t="shared" si="5"/>
        <v>21144801</v>
      </c>
      <c r="I141" s="81"/>
      <c r="J141" s="89">
        <v>3811467</v>
      </c>
      <c r="K141" s="89">
        <v>17776881</v>
      </c>
      <c r="L141" s="89">
        <v>956340</v>
      </c>
      <c r="M141" s="89">
        <v>2902727</v>
      </c>
      <c r="N141" s="89">
        <f t="shared" si="4"/>
        <v>25447415</v>
      </c>
    </row>
    <row r="142" spans="1:14">
      <c r="A142" s="86" t="s">
        <v>209</v>
      </c>
      <c r="B142" s="87" t="s">
        <v>560</v>
      </c>
      <c r="C142" s="88" t="s">
        <v>210</v>
      </c>
      <c r="D142" s="89">
        <v>3893028</v>
      </c>
      <c r="E142" s="89">
        <v>7157749</v>
      </c>
      <c r="F142" s="89">
        <v>715121</v>
      </c>
      <c r="G142" s="89">
        <v>1000505</v>
      </c>
      <c r="H142" s="89">
        <f t="shared" si="5"/>
        <v>12766403</v>
      </c>
      <c r="I142" s="81"/>
      <c r="J142" s="89">
        <v>4918934</v>
      </c>
      <c r="K142" s="89">
        <v>8219659</v>
      </c>
      <c r="L142" s="89">
        <v>617326</v>
      </c>
      <c r="M142" s="89">
        <v>994615</v>
      </c>
      <c r="N142" s="89">
        <f t="shared" si="4"/>
        <v>14750534</v>
      </c>
    </row>
    <row r="143" spans="1:14">
      <c r="A143" s="86" t="s">
        <v>211</v>
      </c>
      <c r="B143" s="87" t="s">
        <v>561</v>
      </c>
      <c r="C143" s="88" t="s">
        <v>210</v>
      </c>
      <c r="D143" s="89">
        <v>3384132</v>
      </c>
      <c r="E143" s="89">
        <v>9390750</v>
      </c>
      <c r="F143" s="89">
        <v>520209</v>
      </c>
      <c r="G143" s="89">
        <v>2514169</v>
      </c>
      <c r="H143" s="89">
        <f t="shared" si="5"/>
        <v>15809260</v>
      </c>
      <c r="I143" s="81"/>
      <c r="J143" s="89">
        <v>3798294</v>
      </c>
      <c r="K143" s="89">
        <v>9631520</v>
      </c>
      <c r="L143" s="89">
        <v>470821</v>
      </c>
      <c r="M143" s="89">
        <v>1321312</v>
      </c>
      <c r="N143" s="89">
        <f t="shared" si="4"/>
        <v>15221947</v>
      </c>
    </row>
    <row r="144" spans="1:14">
      <c r="A144" s="86" t="s">
        <v>212</v>
      </c>
      <c r="B144" s="87" t="s">
        <v>562</v>
      </c>
      <c r="C144" s="88" t="s">
        <v>210</v>
      </c>
      <c r="D144" s="89">
        <v>5778481</v>
      </c>
      <c r="E144" s="89">
        <v>19578182</v>
      </c>
      <c r="F144" s="89">
        <v>2934825</v>
      </c>
      <c r="G144" s="89">
        <v>2127658</v>
      </c>
      <c r="H144" s="89">
        <f t="shared" si="5"/>
        <v>30419146</v>
      </c>
      <c r="I144" s="81"/>
      <c r="J144" s="89">
        <v>7544065</v>
      </c>
      <c r="K144" s="89">
        <v>24931010</v>
      </c>
      <c r="L144" s="89">
        <v>3609109</v>
      </c>
      <c r="M144" s="89">
        <v>1570810</v>
      </c>
      <c r="N144" s="89">
        <f t="shared" si="4"/>
        <v>37654994</v>
      </c>
    </row>
    <row r="145" spans="1:14">
      <c r="A145" s="86" t="s">
        <v>213</v>
      </c>
      <c r="B145" s="87" t="s">
        <v>563</v>
      </c>
      <c r="C145" s="88" t="s">
        <v>210</v>
      </c>
      <c r="D145" s="89">
        <v>5031936</v>
      </c>
      <c r="E145" s="89">
        <v>13654210</v>
      </c>
      <c r="F145" s="89">
        <v>1806438</v>
      </c>
      <c r="G145" s="89">
        <v>1787561</v>
      </c>
      <c r="H145" s="89">
        <f t="shared" si="5"/>
        <v>22280145</v>
      </c>
      <c r="I145" s="81"/>
      <c r="J145" s="89">
        <v>5970565</v>
      </c>
      <c r="K145" s="89">
        <v>16685381</v>
      </c>
      <c r="L145" s="89">
        <v>1493529</v>
      </c>
      <c r="M145" s="89">
        <v>1385979</v>
      </c>
      <c r="N145" s="89">
        <f t="shared" si="4"/>
        <v>25535454</v>
      </c>
    </row>
    <row r="146" spans="1:14">
      <c r="A146" s="86" t="s">
        <v>214</v>
      </c>
      <c r="B146" s="87" t="s">
        <v>564</v>
      </c>
      <c r="C146" s="88" t="s">
        <v>210</v>
      </c>
      <c r="D146" s="89">
        <v>3519530</v>
      </c>
      <c r="E146" s="89">
        <v>15125858</v>
      </c>
      <c r="F146" s="89">
        <v>1073665</v>
      </c>
      <c r="G146" s="89">
        <v>4195198</v>
      </c>
      <c r="H146" s="89">
        <f t="shared" si="5"/>
        <v>23914251</v>
      </c>
      <c r="I146" s="81"/>
      <c r="J146" s="89">
        <v>4318703</v>
      </c>
      <c r="K146" s="89">
        <v>19332767</v>
      </c>
      <c r="L146" s="89">
        <v>1404179</v>
      </c>
      <c r="M146" s="89">
        <v>3609295</v>
      </c>
      <c r="N146" s="89">
        <f t="shared" si="4"/>
        <v>28664944</v>
      </c>
    </row>
    <row r="147" spans="1:14">
      <c r="A147" s="86" t="s">
        <v>215</v>
      </c>
      <c r="B147" s="87" t="s">
        <v>565</v>
      </c>
      <c r="C147" s="88" t="s">
        <v>210</v>
      </c>
      <c r="D147" s="89">
        <v>6390059</v>
      </c>
      <c r="E147" s="89">
        <v>29252570</v>
      </c>
      <c r="F147" s="89">
        <v>6804112</v>
      </c>
      <c r="G147" s="89">
        <v>7160072</v>
      </c>
      <c r="H147" s="89">
        <f t="shared" si="5"/>
        <v>49606813</v>
      </c>
      <c r="I147" s="81"/>
      <c r="J147" s="89">
        <v>7892156</v>
      </c>
      <c r="K147" s="89">
        <v>34446029</v>
      </c>
      <c r="L147" s="89">
        <v>5614962</v>
      </c>
      <c r="M147" s="89">
        <v>6714836</v>
      </c>
      <c r="N147" s="89">
        <f t="shared" si="4"/>
        <v>54667983</v>
      </c>
    </row>
    <row r="148" spans="1:14">
      <c r="A148" s="86" t="s">
        <v>216</v>
      </c>
      <c r="B148" s="87" t="s">
        <v>566</v>
      </c>
      <c r="C148" s="88" t="s">
        <v>217</v>
      </c>
      <c r="D148" s="89">
        <v>3553233</v>
      </c>
      <c r="E148" s="89">
        <v>5113985</v>
      </c>
      <c r="F148" s="89">
        <v>460490</v>
      </c>
      <c r="G148" s="89">
        <v>1809418</v>
      </c>
      <c r="H148" s="89">
        <f t="shared" si="5"/>
        <v>10937126</v>
      </c>
      <c r="I148" s="81"/>
      <c r="J148" s="89">
        <v>4625414</v>
      </c>
      <c r="K148" s="89">
        <v>5785935</v>
      </c>
      <c r="L148" s="89">
        <v>1039818</v>
      </c>
      <c r="M148" s="89">
        <v>2210765</v>
      </c>
      <c r="N148" s="89">
        <f t="shared" si="4"/>
        <v>13661932</v>
      </c>
    </row>
    <row r="149" spans="1:14">
      <c r="A149" s="86" t="s">
        <v>218</v>
      </c>
      <c r="B149" s="87" t="s">
        <v>567</v>
      </c>
      <c r="C149" s="88" t="s">
        <v>219</v>
      </c>
      <c r="D149" s="89">
        <v>36535278</v>
      </c>
      <c r="E149" s="89">
        <v>100755960</v>
      </c>
      <c r="F149" s="89">
        <v>35501621</v>
      </c>
      <c r="G149" s="89">
        <v>17394264</v>
      </c>
      <c r="H149" s="89">
        <f t="shared" si="5"/>
        <v>190187123</v>
      </c>
      <c r="I149" s="81"/>
      <c r="J149" s="89">
        <v>48635223</v>
      </c>
      <c r="K149" s="89">
        <v>126172496</v>
      </c>
      <c r="L149" s="89">
        <v>26577908</v>
      </c>
      <c r="M149" s="89">
        <v>16113698</v>
      </c>
      <c r="N149" s="89">
        <f t="shared" si="4"/>
        <v>217499325</v>
      </c>
    </row>
    <row r="150" spans="1:14">
      <c r="A150" s="86" t="s">
        <v>220</v>
      </c>
      <c r="B150" s="87" t="s">
        <v>568</v>
      </c>
      <c r="C150" s="88" t="s">
        <v>217</v>
      </c>
      <c r="D150" s="89">
        <v>3691403</v>
      </c>
      <c r="E150" s="89">
        <v>16572701</v>
      </c>
      <c r="F150" s="89">
        <v>1967620</v>
      </c>
      <c r="G150" s="89">
        <v>3907758</v>
      </c>
      <c r="H150" s="89">
        <f t="shared" si="5"/>
        <v>26139482</v>
      </c>
      <c r="I150" s="81"/>
      <c r="J150" s="89">
        <v>4648518</v>
      </c>
      <c r="K150" s="89">
        <v>18242160</v>
      </c>
      <c r="L150" s="89">
        <v>1488997</v>
      </c>
      <c r="M150" s="89">
        <v>4654790</v>
      </c>
      <c r="N150" s="89">
        <f t="shared" si="4"/>
        <v>29034465</v>
      </c>
    </row>
    <row r="151" spans="1:14">
      <c r="A151" s="86" t="s">
        <v>221</v>
      </c>
      <c r="B151" s="87" t="s">
        <v>569</v>
      </c>
      <c r="C151" s="88" t="s">
        <v>222</v>
      </c>
      <c r="D151" s="89">
        <v>4416223</v>
      </c>
      <c r="E151" s="89">
        <v>7605012</v>
      </c>
      <c r="F151" s="89">
        <v>2942157</v>
      </c>
      <c r="G151" s="89">
        <v>6125267</v>
      </c>
      <c r="H151" s="89">
        <f t="shared" si="5"/>
        <v>21088659</v>
      </c>
      <c r="I151" s="81"/>
      <c r="J151" s="89">
        <v>4960675</v>
      </c>
      <c r="K151" s="89">
        <v>7645634</v>
      </c>
      <c r="L151" s="89">
        <v>3497190</v>
      </c>
      <c r="M151" s="89">
        <v>10220838</v>
      </c>
      <c r="N151" s="89">
        <f t="shared" si="4"/>
        <v>26324337</v>
      </c>
    </row>
    <row r="152" spans="1:14">
      <c r="A152" s="86" t="s">
        <v>223</v>
      </c>
      <c r="B152" s="87" t="s">
        <v>570</v>
      </c>
      <c r="C152" s="88" t="s">
        <v>224</v>
      </c>
      <c r="D152" s="89">
        <v>22921195</v>
      </c>
      <c r="E152" s="89">
        <v>30312429</v>
      </c>
      <c r="F152" s="89">
        <v>2445119</v>
      </c>
      <c r="G152" s="89">
        <v>4097381</v>
      </c>
      <c r="H152" s="89">
        <f t="shared" si="5"/>
        <v>59776124</v>
      </c>
      <c r="I152" s="81"/>
      <c r="J152" s="89">
        <v>29481535</v>
      </c>
      <c r="K152" s="89">
        <v>37617458</v>
      </c>
      <c r="L152" s="89">
        <v>2136482</v>
      </c>
      <c r="M152" s="89">
        <v>4320245</v>
      </c>
      <c r="N152" s="89">
        <f t="shared" si="4"/>
        <v>73555720</v>
      </c>
    </row>
    <row r="153" spans="1:14">
      <c r="A153" s="86" t="s">
        <v>225</v>
      </c>
      <c r="B153" s="87" t="s">
        <v>226</v>
      </c>
      <c r="C153" s="88" t="s">
        <v>226</v>
      </c>
      <c r="D153" s="89">
        <v>2194155</v>
      </c>
      <c r="E153" s="89">
        <v>7638982</v>
      </c>
      <c r="F153" s="89">
        <v>2010941</v>
      </c>
      <c r="G153" s="89">
        <v>2972558</v>
      </c>
      <c r="H153" s="89">
        <f t="shared" si="5"/>
        <v>14816636</v>
      </c>
      <c r="I153" s="81"/>
      <c r="J153" s="89">
        <v>2758613</v>
      </c>
      <c r="K153" s="89">
        <v>7724243</v>
      </c>
      <c r="L153" s="89">
        <v>2059168</v>
      </c>
      <c r="M153" s="89">
        <v>3537574</v>
      </c>
      <c r="N153" s="89">
        <f t="shared" si="4"/>
        <v>16079598</v>
      </c>
    </row>
    <row r="154" spans="1:14">
      <c r="A154" s="86" t="s">
        <v>227</v>
      </c>
      <c r="B154" s="87" t="s">
        <v>571</v>
      </c>
      <c r="C154" s="88" t="s">
        <v>226</v>
      </c>
      <c r="D154" s="89">
        <v>3733401</v>
      </c>
      <c r="E154" s="89">
        <v>9608714</v>
      </c>
      <c r="F154" s="89">
        <v>4683909</v>
      </c>
      <c r="G154" s="89">
        <v>3953443</v>
      </c>
      <c r="H154" s="89">
        <f t="shared" si="5"/>
        <v>21979467</v>
      </c>
      <c r="I154" s="81"/>
      <c r="J154" s="89">
        <v>4470475</v>
      </c>
      <c r="K154" s="89">
        <v>9257824</v>
      </c>
      <c r="L154" s="89">
        <v>14889108</v>
      </c>
      <c r="M154" s="89">
        <v>4408838</v>
      </c>
      <c r="N154" s="89">
        <f t="shared" si="4"/>
        <v>33026245</v>
      </c>
    </row>
    <row r="155" spans="1:14">
      <c r="A155" s="86" t="s">
        <v>228</v>
      </c>
      <c r="B155" s="87" t="s">
        <v>572</v>
      </c>
      <c r="C155" s="88" t="s">
        <v>226</v>
      </c>
      <c r="D155" s="89">
        <v>1326956</v>
      </c>
      <c r="E155" s="89">
        <v>12727703</v>
      </c>
      <c r="F155" s="89">
        <v>6150868</v>
      </c>
      <c r="G155" s="89">
        <v>7437466</v>
      </c>
      <c r="H155" s="89">
        <f t="shared" si="5"/>
        <v>27642993</v>
      </c>
      <c r="I155" s="81"/>
      <c r="J155" s="89">
        <v>1668490</v>
      </c>
      <c r="K155" s="89">
        <v>11137576</v>
      </c>
      <c r="L155" s="89">
        <v>9118368</v>
      </c>
      <c r="M155" s="89">
        <v>13069160</v>
      </c>
      <c r="N155" s="89">
        <f t="shared" si="4"/>
        <v>34993594</v>
      </c>
    </row>
    <row r="156" spans="1:14">
      <c r="A156" s="86" t="s">
        <v>229</v>
      </c>
      <c r="B156" s="87" t="s">
        <v>573</v>
      </c>
      <c r="C156" s="88" t="s">
        <v>230</v>
      </c>
      <c r="D156" s="89">
        <v>20822132</v>
      </c>
      <c r="E156" s="89">
        <v>21346464</v>
      </c>
      <c r="F156" s="89">
        <v>4393810</v>
      </c>
      <c r="G156" s="89">
        <v>7609817</v>
      </c>
      <c r="H156" s="89">
        <f t="shared" si="5"/>
        <v>54172223</v>
      </c>
      <c r="I156" s="81"/>
      <c r="J156" s="89">
        <v>22059188</v>
      </c>
      <c r="K156" s="89">
        <v>19029786</v>
      </c>
      <c r="L156" s="89">
        <v>5679318</v>
      </c>
      <c r="M156" s="89">
        <v>14573419</v>
      </c>
      <c r="N156" s="89">
        <f t="shared" si="4"/>
        <v>61341711</v>
      </c>
    </row>
    <row r="157" spans="1:14">
      <c r="A157" s="86" t="s">
        <v>231</v>
      </c>
      <c r="B157" s="87" t="s">
        <v>574</v>
      </c>
      <c r="C157" s="88" t="s">
        <v>232</v>
      </c>
      <c r="D157" s="89">
        <v>29677144</v>
      </c>
      <c r="E157" s="89">
        <v>11606227</v>
      </c>
      <c r="F157" s="89">
        <v>8725782</v>
      </c>
      <c r="G157" s="89">
        <v>6106922</v>
      </c>
      <c r="H157" s="89">
        <f t="shared" si="5"/>
        <v>56116075</v>
      </c>
      <c r="I157" s="81"/>
      <c r="J157" s="89">
        <v>37649084</v>
      </c>
      <c r="K157" s="89">
        <v>13037026</v>
      </c>
      <c r="L157" s="89">
        <v>6326812</v>
      </c>
      <c r="M157" s="89">
        <v>6838967</v>
      </c>
      <c r="N157" s="89">
        <f t="shared" si="4"/>
        <v>63851889</v>
      </c>
    </row>
    <row r="158" spans="1:14">
      <c r="A158" s="86" t="s">
        <v>233</v>
      </c>
      <c r="B158" s="87" t="s">
        <v>575</v>
      </c>
      <c r="C158" s="88" t="s">
        <v>234</v>
      </c>
      <c r="D158" s="89">
        <v>1808041</v>
      </c>
      <c r="E158" s="89">
        <v>5869750</v>
      </c>
      <c r="F158" s="89">
        <v>4514069</v>
      </c>
      <c r="G158" s="89">
        <v>1662047</v>
      </c>
      <c r="H158" s="89">
        <f t="shared" si="5"/>
        <v>13853907</v>
      </c>
      <c r="I158" s="81"/>
      <c r="J158" s="89">
        <v>1962819</v>
      </c>
      <c r="K158" s="89">
        <v>6267419</v>
      </c>
      <c r="L158" s="89">
        <v>12720874</v>
      </c>
      <c r="M158" s="89">
        <v>1538279</v>
      </c>
      <c r="N158" s="89">
        <f t="shared" si="4"/>
        <v>22489391</v>
      </c>
    </row>
    <row r="159" spans="1:14">
      <c r="A159" s="86" t="s">
        <v>235</v>
      </c>
      <c r="B159" s="87" t="s">
        <v>576</v>
      </c>
      <c r="C159" s="88" t="s">
        <v>234</v>
      </c>
      <c r="D159" s="89">
        <v>5658414</v>
      </c>
      <c r="E159" s="89">
        <v>6274105</v>
      </c>
      <c r="F159" s="89">
        <v>4850381</v>
      </c>
      <c r="G159" s="89">
        <v>2976187</v>
      </c>
      <c r="H159" s="89">
        <f t="shared" si="5"/>
        <v>19759087</v>
      </c>
      <c r="I159" s="81"/>
      <c r="J159" s="89">
        <v>7012007</v>
      </c>
      <c r="K159" s="89">
        <v>6619273</v>
      </c>
      <c r="L159" s="89">
        <v>12375480</v>
      </c>
      <c r="M159" s="89">
        <v>4315297</v>
      </c>
      <c r="N159" s="89">
        <f t="shared" si="4"/>
        <v>30322057</v>
      </c>
    </row>
    <row r="160" spans="1:14">
      <c r="A160" s="86" t="s">
        <v>236</v>
      </c>
      <c r="B160" s="87" t="s">
        <v>577</v>
      </c>
      <c r="C160" s="88" t="s">
        <v>232</v>
      </c>
      <c r="D160" s="89">
        <v>4663573</v>
      </c>
      <c r="E160" s="89">
        <v>8945866</v>
      </c>
      <c r="F160" s="89">
        <v>1632928</v>
      </c>
      <c r="G160" s="89">
        <v>1559307</v>
      </c>
      <c r="H160" s="89">
        <f t="shared" si="5"/>
        <v>16801674</v>
      </c>
      <c r="I160" s="81"/>
      <c r="J160" s="89">
        <v>5532268</v>
      </c>
      <c r="K160" s="89">
        <v>9145702</v>
      </c>
      <c r="L160" s="89">
        <v>2175053</v>
      </c>
      <c r="M160" s="89">
        <v>2439197</v>
      </c>
      <c r="N160" s="89">
        <f t="shared" si="4"/>
        <v>19292220</v>
      </c>
    </row>
    <row r="161" spans="1:14">
      <c r="A161" s="86" t="s">
        <v>237</v>
      </c>
      <c r="B161" s="87" t="s">
        <v>578</v>
      </c>
      <c r="C161" s="88" t="s">
        <v>232</v>
      </c>
      <c r="D161" s="89">
        <v>5061227</v>
      </c>
      <c r="E161" s="89">
        <v>8518079</v>
      </c>
      <c r="F161" s="89">
        <v>1055120</v>
      </c>
      <c r="G161" s="89">
        <v>2676456</v>
      </c>
      <c r="H161" s="89">
        <f t="shared" si="5"/>
        <v>17310882</v>
      </c>
      <c r="I161" s="81"/>
      <c r="J161" s="89">
        <v>6157905</v>
      </c>
      <c r="K161" s="89">
        <v>10195719</v>
      </c>
      <c r="L161" s="89">
        <v>812440</v>
      </c>
      <c r="M161" s="89">
        <v>3017866</v>
      </c>
      <c r="N161" s="89">
        <f t="shared" si="4"/>
        <v>20183930</v>
      </c>
    </row>
    <row r="162" spans="1:14">
      <c r="A162" s="86" t="s">
        <v>238</v>
      </c>
      <c r="B162" s="87" t="s">
        <v>579</v>
      </c>
      <c r="C162" s="88" t="s">
        <v>232</v>
      </c>
      <c r="D162" s="89">
        <v>3478533</v>
      </c>
      <c r="E162" s="89">
        <v>5774400</v>
      </c>
      <c r="F162" s="89">
        <v>2004419</v>
      </c>
      <c r="G162" s="89">
        <v>1965821</v>
      </c>
      <c r="H162" s="89">
        <f t="shared" si="5"/>
        <v>13223173</v>
      </c>
      <c r="I162" s="81"/>
      <c r="J162" s="89">
        <v>4767536</v>
      </c>
      <c r="K162" s="89">
        <v>5829048</v>
      </c>
      <c r="L162" s="89">
        <v>3559169</v>
      </c>
      <c r="M162" s="89">
        <v>1557059</v>
      </c>
      <c r="N162" s="89">
        <f t="shared" si="4"/>
        <v>15712812</v>
      </c>
    </row>
    <row r="163" spans="1:14">
      <c r="A163" s="86" t="s">
        <v>239</v>
      </c>
      <c r="B163" s="87" t="s">
        <v>580</v>
      </c>
      <c r="C163" s="88" t="s">
        <v>232</v>
      </c>
      <c r="D163" s="89">
        <v>1409795</v>
      </c>
      <c r="E163" s="89">
        <v>5640376</v>
      </c>
      <c r="F163" s="89">
        <v>885445</v>
      </c>
      <c r="G163" s="89">
        <v>2068745</v>
      </c>
      <c r="H163" s="89">
        <f t="shared" si="5"/>
        <v>10004361</v>
      </c>
      <c r="I163" s="81"/>
      <c r="J163" s="89">
        <v>1763439</v>
      </c>
      <c r="K163" s="89">
        <v>5212104</v>
      </c>
      <c r="L163" s="89">
        <v>2095873</v>
      </c>
      <c r="M163" s="89">
        <v>3510848</v>
      </c>
      <c r="N163" s="89">
        <f t="shared" si="4"/>
        <v>12582264</v>
      </c>
    </row>
    <row r="164" spans="1:14">
      <c r="A164" s="86" t="s">
        <v>240</v>
      </c>
      <c r="B164" s="87" t="s">
        <v>581</v>
      </c>
      <c r="C164" s="88" t="s">
        <v>232</v>
      </c>
      <c r="D164" s="89">
        <v>3456493</v>
      </c>
      <c r="E164" s="89">
        <v>5884918</v>
      </c>
      <c r="F164" s="89">
        <v>1222096</v>
      </c>
      <c r="G164" s="89">
        <v>3872597</v>
      </c>
      <c r="H164" s="89">
        <f t="shared" si="5"/>
        <v>14436104</v>
      </c>
      <c r="I164" s="81"/>
      <c r="J164" s="89">
        <v>3441278</v>
      </c>
      <c r="K164" s="89">
        <v>5279463</v>
      </c>
      <c r="L164" s="89">
        <v>1343599</v>
      </c>
      <c r="M164" s="89">
        <v>4058827</v>
      </c>
      <c r="N164" s="89">
        <f t="shared" si="4"/>
        <v>14123167</v>
      </c>
    </row>
    <row r="165" spans="1:14">
      <c r="A165" s="86" t="s">
        <v>241</v>
      </c>
      <c r="B165" s="87" t="s">
        <v>582</v>
      </c>
      <c r="C165" s="88" t="s">
        <v>242</v>
      </c>
      <c r="D165" s="89">
        <v>11632979</v>
      </c>
      <c r="E165" s="89">
        <v>17672562</v>
      </c>
      <c r="F165" s="89">
        <v>6296180</v>
      </c>
      <c r="G165" s="89">
        <v>5336954</v>
      </c>
      <c r="H165" s="89">
        <f t="shared" si="5"/>
        <v>40938675</v>
      </c>
      <c r="I165" s="81"/>
      <c r="J165" s="89">
        <v>12886166</v>
      </c>
      <c r="K165" s="89">
        <v>18984980</v>
      </c>
      <c r="L165" s="89">
        <v>10625329</v>
      </c>
      <c r="M165" s="89">
        <v>8281661</v>
      </c>
      <c r="N165" s="89">
        <f t="shared" si="4"/>
        <v>50778136</v>
      </c>
    </row>
    <row r="166" spans="1:14">
      <c r="A166" s="86" t="s">
        <v>243</v>
      </c>
      <c r="B166" s="87" t="s">
        <v>583</v>
      </c>
      <c r="C166" s="88" t="s">
        <v>217</v>
      </c>
      <c r="D166" s="89">
        <v>10791114</v>
      </c>
      <c r="E166" s="89">
        <v>23808461</v>
      </c>
      <c r="F166" s="89">
        <v>3515563</v>
      </c>
      <c r="G166" s="89">
        <v>94621058</v>
      </c>
      <c r="H166" s="89">
        <f t="shared" si="5"/>
        <v>132736196</v>
      </c>
      <c r="I166" s="81"/>
      <c r="J166" s="89">
        <v>13236920</v>
      </c>
      <c r="K166" s="89">
        <v>26739794</v>
      </c>
      <c r="L166" s="89">
        <v>2851615</v>
      </c>
      <c r="M166" s="89">
        <v>84169258</v>
      </c>
      <c r="N166" s="89">
        <f t="shared" si="4"/>
        <v>126997587</v>
      </c>
    </row>
    <row r="167" spans="1:14">
      <c r="A167" s="86" t="s">
        <v>244</v>
      </c>
      <c r="B167" s="87" t="s">
        <v>584</v>
      </c>
      <c r="C167" s="88" t="s">
        <v>245</v>
      </c>
      <c r="D167" s="89">
        <v>6281593</v>
      </c>
      <c r="E167" s="89">
        <v>17150334</v>
      </c>
      <c r="F167" s="89">
        <v>75680326</v>
      </c>
      <c r="G167" s="89">
        <v>56455525</v>
      </c>
      <c r="H167" s="89">
        <f t="shared" si="5"/>
        <v>155567778</v>
      </c>
      <c r="I167" s="81"/>
      <c r="J167" s="89">
        <v>7797373</v>
      </c>
      <c r="K167" s="89">
        <v>16628542</v>
      </c>
      <c r="L167" s="89">
        <v>82741706</v>
      </c>
      <c r="M167" s="89">
        <v>69764747</v>
      </c>
      <c r="N167" s="89">
        <f t="shared" si="4"/>
        <v>176932368</v>
      </c>
    </row>
    <row r="168" spans="1:14">
      <c r="A168" s="86" t="s">
        <v>246</v>
      </c>
      <c r="B168" s="87" t="s">
        <v>585</v>
      </c>
      <c r="C168" s="88" t="s">
        <v>247</v>
      </c>
      <c r="D168" s="89">
        <v>14825019</v>
      </c>
      <c r="E168" s="89">
        <v>17370917</v>
      </c>
      <c r="F168" s="89">
        <v>4762439</v>
      </c>
      <c r="G168" s="89">
        <v>11100836</v>
      </c>
      <c r="H168" s="89">
        <f t="shared" si="5"/>
        <v>48059211</v>
      </c>
      <c r="I168" s="81"/>
      <c r="J168" s="89">
        <v>19776492</v>
      </c>
      <c r="K168" s="89">
        <v>16403434</v>
      </c>
      <c r="L168" s="89">
        <v>3333060</v>
      </c>
      <c r="M168" s="89">
        <v>20508585</v>
      </c>
      <c r="N168" s="89">
        <f t="shared" si="4"/>
        <v>60021571</v>
      </c>
    </row>
    <row r="169" spans="1:14">
      <c r="A169" s="86" t="s">
        <v>248</v>
      </c>
      <c r="B169" s="87" t="s">
        <v>586</v>
      </c>
      <c r="C169" s="88" t="s">
        <v>249</v>
      </c>
      <c r="D169" s="89">
        <v>14849672</v>
      </c>
      <c r="E169" s="89">
        <v>23080188</v>
      </c>
      <c r="F169" s="89">
        <v>2559846</v>
      </c>
      <c r="G169" s="89">
        <v>18146086</v>
      </c>
      <c r="H169" s="89">
        <f t="shared" si="5"/>
        <v>58635792</v>
      </c>
      <c r="I169" s="81"/>
      <c r="J169" s="89">
        <v>18390111</v>
      </c>
      <c r="K169" s="89">
        <v>22904490</v>
      </c>
      <c r="L169" s="89">
        <v>2584653</v>
      </c>
      <c r="M169" s="89">
        <v>15322801</v>
      </c>
      <c r="N169" s="89">
        <f t="shared" si="4"/>
        <v>59202055</v>
      </c>
    </row>
    <row r="170" spans="1:14">
      <c r="A170" s="86" t="s">
        <v>250</v>
      </c>
      <c r="B170" s="87" t="s">
        <v>251</v>
      </c>
      <c r="C170" s="88" t="s">
        <v>251</v>
      </c>
      <c r="D170" s="89">
        <v>4229039</v>
      </c>
      <c r="E170" s="89">
        <v>12458727</v>
      </c>
      <c r="F170" s="89">
        <v>1997130</v>
      </c>
      <c r="G170" s="89">
        <v>4976586</v>
      </c>
      <c r="H170" s="89">
        <f t="shared" si="5"/>
        <v>23661482</v>
      </c>
      <c r="I170" s="81"/>
      <c r="J170" s="89">
        <v>4678775</v>
      </c>
      <c r="K170" s="89">
        <v>10704166</v>
      </c>
      <c r="L170" s="89">
        <v>3370815</v>
      </c>
      <c r="M170" s="89">
        <v>4300394</v>
      </c>
      <c r="N170" s="89">
        <f t="shared" si="4"/>
        <v>23054150</v>
      </c>
    </row>
    <row r="171" spans="1:14">
      <c r="A171" s="86" t="s">
        <v>252</v>
      </c>
      <c r="B171" s="87" t="s">
        <v>587</v>
      </c>
      <c r="C171" s="88" t="s">
        <v>253</v>
      </c>
      <c r="D171" s="89">
        <v>15075977</v>
      </c>
      <c r="E171" s="89">
        <v>14477973</v>
      </c>
      <c r="F171" s="89">
        <v>2363063</v>
      </c>
      <c r="G171" s="89">
        <v>8957480</v>
      </c>
      <c r="H171" s="89">
        <f t="shared" si="5"/>
        <v>40874493</v>
      </c>
      <c r="I171" s="81"/>
      <c r="J171" s="89">
        <v>17857084</v>
      </c>
      <c r="K171" s="89">
        <v>16136008</v>
      </c>
      <c r="L171" s="89">
        <v>1462474</v>
      </c>
      <c r="M171" s="89">
        <v>8681084</v>
      </c>
      <c r="N171" s="89">
        <f t="shared" si="4"/>
        <v>44136650</v>
      </c>
    </row>
    <row r="172" spans="1:14">
      <c r="A172" s="86" t="s">
        <v>254</v>
      </c>
      <c r="B172" s="87" t="s">
        <v>588</v>
      </c>
      <c r="C172" s="88" t="s">
        <v>253</v>
      </c>
      <c r="D172" s="89">
        <v>32752665</v>
      </c>
      <c r="E172" s="89">
        <v>52700174</v>
      </c>
      <c r="F172" s="89">
        <v>7602478</v>
      </c>
      <c r="G172" s="89">
        <v>13386059</v>
      </c>
      <c r="H172" s="89">
        <f t="shared" si="5"/>
        <v>106441376</v>
      </c>
      <c r="I172" s="81"/>
      <c r="J172" s="89">
        <v>43957949</v>
      </c>
      <c r="K172" s="89">
        <v>63653239</v>
      </c>
      <c r="L172" s="89">
        <v>6555866</v>
      </c>
      <c r="M172" s="89">
        <v>18106840</v>
      </c>
      <c r="N172" s="89">
        <f t="shared" si="4"/>
        <v>132273894</v>
      </c>
    </row>
    <row r="173" spans="1:14">
      <c r="A173" s="86" t="s">
        <v>255</v>
      </c>
      <c r="B173" s="87" t="s">
        <v>589</v>
      </c>
      <c r="C173" s="88" t="s">
        <v>256</v>
      </c>
      <c r="D173" s="89">
        <v>2557014</v>
      </c>
      <c r="E173" s="89">
        <v>5785837</v>
      </c>
      <c r="F173" s="89">
        <v>2473696</v>
      </c>
      <c r="G173" s="89">
        <v>2125372</v>
      </c>
      <c r="H173" s="89">
        <f t="shared" si="5"/>
        <v>12941919</v>
      </c>
      <c r="I173" s="81"/>
      <c r="J173" s="89">
        <v>3110097</v>
      </c>
      <c r="K173" s="89">
        <v>6063916</v>
      </c>
      <c r="L173" s="89">
        <v>4184783</v>
      </c>
      <c r="M173" s="89">
        <v>2449890</v>
      </c>
      <c r="N173" s="89">
        <f t="shared" si="4"/>
        <v>15808686</v>
      </c>
    </row>
    <row r="174" spans="1:14">
      <c r="A174" s="86" t="s">
        <v>257</v>
      </c>
      <c r="B174" s="87" t="s">
        <v>590</v>
      </c>
      <c r="C174" s="88" t="s">
        <v>16</v>
      </c>
      <c r="D174" s="89">
        <v>3997757</v>
      </c>
      <c r="E174" s="89">
        <v>7573409</v>
      </c>
      <c r="F174" s="89">
        <v>1222089</v>
      </c>
      <c r="G174" s="89">
        <v>2061618</v>
      </c>
      <c r="H174" s="89">
        <f t="shared" si="5"/>
        <v>14854873</v>
      </c>
      <c r="I174" s="81"/>
      <c r="J174" s="89">
        <v>4255761</v>
      </c>
      <c r="K174" s="89">
        <v>6747693</v>
      </c>
      <c r="L174" s="89">
        <v>776326</v>
      </c>
      <c r="M174" s="89">
        <v>2959331</v>
      </c>
      <c r="N174" s="89">
        <f t="shared" si="4"/>
        <v>14739111</v>
      </c>
    </row>
    <row r="175" spans="1:14">
      <c r="A175" s="86" t="s">
        <v>258</v>
      </c>
      <c r="B175" s="87" t="s">
        <v>591</v>
      </c>
      <c r="C175" s="88" t="s">
        <v>219</v>
      </c>
      <c r="D175" s="89">
        <v>6724986</v>
      </c>
      <c r="E175" s="89">
        <v>13206829</v>
      </c>
      <c r="F175" s="89">
        <v>1696040</v>
      </c>
      <c r="G175" s="89">
        <v>2811159</v>
      </c>
      <c r="H175" s="89">
        <f t="shared" si="5"/>
        <v>24439014</v>
      </c>
      <c r="I175" s="81"/>
      <c r="J175" s="89">
        <v>7917754</v>
      </c>
      <c r="K175" s="89">
        <v>16434778</v>
      </c>
      <c r="L175" s="89">
        <v>1233136</v>
      </c>
      <c r="M175" s="89">
        <v>2643251</v>
      </c>
      <c r="N175" s="89">
        <f t="shared" si="4"/>
        <v>28228919</v>
      </c>
    </row>
    <row r="176" spans="1:14">
      <c r="A176" s="86" t="s">
        <v>259</v>
      </c>
      <c r="B176" s="87" t="s">
        <v>592</v>
      </c>
      <c r="C176" s="88" t="s">
        <v>256</v>
      </c>
      <c r="D176" s="89">
        <v>88461092</v>
      </c>
      <c r="E176" s="89">
        <v>13234370</v>
      </c>
      <c r="F176" s="89">
        <v>10094509</v>
      </c>
      <c r="G176" s="89">
        <v>9749046</v>
      </c>
      <c r="H176" s="89">
        <f t="shared" si="5"/>
        <v>121539017</v>
      </c>
      <c r="I176" s="81"/>
      <c r="J176" s="89">
        <v>111072298</v>
      </c>
      <c r="K176" s="89">
        <v>15028409</v>
      </c>
      <c r="L176" s="89">
        <v>7089185</v>
      </c>
      <c r="M176" s="89">
        <v>10199597</v>
      </c>
      <c r="N176" s="89">
        <f t="shared" si="4"/>
        <v>143389489</v>
      </c>
    </row>
    <row r="177" spans="1:14">
      <c r="A177" s="86" t="s">
        <v>260</v>
      </c>
      <c r="B177" s="87" t="s">
        <v>593</v>
      </c>
      <c r="C177" s="88" t="s">
        <v>261</v>
      </c>
      <c r="D177" s="89">
        <v>5914014</v>
      </c>
      <c r="E177" s="89">
        <v>13265572</v>
      </c>
      <c r="F177" s="89">
        <v>54269472</v>
      </c>
      <c r="G177" s="89">
        <v>15038899</v>
      </c>
      <c r="H177" s="89">
        <f t="shared" si="5"/>
        <v>88487957</v>
      </c>
      <c r="I177" s="81"/>
      <c r="J177" s="89">
        <v>6405127</v>
      </c>
      <c r="K177" s="89">
        <v>11914401</v>
      </c>
      <c r="L177" s="89">
        <v>93415438</v>
      </c>
      <c r="M177" s="89">
        <v>13240269</v>
      </c>
      <c r="N177" s="89">
        <f t="shared" si="4"/>
        <v>124975235</v>
      </c>
    </row>
    <row r="178" spans="1:14">
      <c r="A178" s="86" t="s">
        <v>262</v>
      </c>
      <c r="B178" s="87" t="s">
        <v>594</v>
      </c>
      <c r="C178" s="88" t="s">
        <v>42</v>
      </c>
      <c r="D178" s="89">
        <v>51191247</v>
      </c>
      <c r="E178" s="89">
        <v>27563830</v>
      </c>
      <c r="F178" s="89">
        <v>19556979</v>
      </c>
      <c r="G178" s="89">
        <v>13626226</v>
      </c>
      <c r="H178" s="89">
        <f t="shared" si="5"/>
        <v>111938282</v>
      </c>
      <c r="I178" s="81"/>
      <c r="J178" s="89">
        <v>89660819</v>
      </c>
      <c r="K178" s="89">
        <v>36934394</v>
      </c>
      <c r="L178" s="89">
        <v>19471105</v>
      </c>
      <c r="M178" s="89">
        <v>12913962</v>
      </c>
      <c r="N178" s="89">
        <f t="shared" si="4"/>
        <v>158980280</v>
      </c>
    </row>
    <row r="179" spans="1:14">
      <c r="A179" s="86" t="s">
        <v>263</v>
      </c>
      <c r="B179" s="87" t="s">
        <v>595</v>
      </c>
      <c r="C179" s="88" t="s">
        <v>264</v>
      </c>
      <c r="D179" s="89">
        <v>6359245</v>
      </c>
      <c r="E179" s="89">
        <v>7054399</v>
      </c>
      <c r="F179" s="89">
        <v>1930136</v>
      </c>
      <c r="G179" s="89">
        <v>8356667</v>
      </c>
      <c r="H179" s="89">
        <f t="shared" si="5"/>
        <v>23700447</v>
      </c>
      <c r="I179" s="81"/>
      <c r="J179" s="89">
        <v>7324698</v>
      </c>
      <c r="K179" s="89">
        <v>6541106</v>
      </c>
      <c r="L179" s="89">
        <v>4345520</v>
      </c>
      <c r="M179" s="89">
        <v>5693900</v>
      </c>
      <c r="N179" s="89">
        <f t="shared" si="4"/>
        <v>23905224</v>
      </c>
    </row>
    <row r="180" spans="1:14">
      <c r="A180" s="86" t="s">
        <v>265</v>
      </c>
      <c r="B180" s="87" t="s">
        <v>596</v>
      </c>
      <c r="C180" s="88" t="s">
        <v>266</v>
      </c>
      <c r="D180" s="89">
        <v>3952832</v>
      </c>
      <c r="E180" s="89">
        <v>24395487</v>
      </c>
      <c r="F180" s="89">
        <v>2571314</v>
      </c>
      <c r="G180" s="89">
        <v>5837249</v>
      </c>
      <c r="H180" s="89">
        <f t="shared" si="5"/>
        <v>36756882</v>
      </c>
      <c r="I180" s="81"/>
      <c r="J180" s="89">
        <v>6110891</v>
      </c>
      <c r="K180" s="89">
        <v>26365231</v>
      </c>
      <c r="L180" s="89">
        <v>2152572</v>
      </c>
      <c r="M180" s="89">
        <v>5195861</v>
      </c>
      <c r="N180" s="89">
        <f t="shared" si="4"/>
        <v>39824555</v>
      </c>
    </row>
    <row r="181" spans="1:14">
      <c r="A181" s="86" t="s">
        <v>267</v>
      </c>
      <c r="B181" s="87" t="s">
        <v>597</v>
      </c>
      <c r="C181" s="88" t="s">
        <v>268</v>
      </c>
      <c r="D181" s="89">
        <v>4425651</v>
      </c>
      <c r="E181" s="89">
        <v>14418800</v>
      </c>
      <c r="F181" s="89">
        <v>1575231</v>
      </c>
      <c r="G181" s="89">
        <v>1729785</v>
      </c>
      <c r="H181" s="89">
        <f t="shared" si="5"/>
        <v>22149467</v>
      </c>
      <c r="I181" s="81"/>
      <c r="J181" s="89">
        <v>9754735</v>
      </c>
      <c r="K181" s="89">
        <v>20799921</v>
      </c>
      <c r="L181" s="89">
        <v>1889540</v>
      </c>
      <c r="M181" s="89">
        <v>1772851</v>
      </c>
      <c r="N181" s="89">
        <f t="shared" si="4"/>
        <v>34217047</v>
      </c>
    </row>
    <row r="182" spans="1:14">
      <c r="A182" s="86" t="s">
        <v>269</v>
      </c>
      <c r="B182" s="87" t="s">
        <v>598</v>
      </c>
      <c r="C182" s="88" t="s">
        <v>270</v>
      </c>
      <c r="D182" s="89">
        <v>21058359</v>
      </c>
      <c r="E182" s="89">
        <v>25366102</v>
      </c>
      <c r="F182" s="89">
        <v>2612748</v>
      </c>
      <c r="G182" s="89">
        <v>5064510</v>
      </c>
      <c r="H182" s="89">
        <f t="shared" si="5"/>
        <v>54101719</v>
      </c>
      <c r="I182" s="81"/>
      <c r="J182" s="89">
        <v>30934901</v>
      </c>
      <c r="K182" s="89">
        <v>28045452</v>
      </c>
      <c r="L182" s="89">
        <v>2614444</v>
      </c>
      <c r="M182" s="89">
        <v>5875193</v>
      </c>
      <c r="N182" s="89">
        <f t="shared" si="4"/>
        <v>67469990</v>
      </c>
    </row>
    <row r="183" spans="1:14">
      <c r="A183" s="86" t="s">
        <v>271</v>
      </c>
      <c r="B183" s="87" t="s">
        <v>599</v>
      </c>
      <c r="C183" s="88" t="s">
        <v>247</v>
      </c>
      <c r="D183" s="89">
        <v>3277689</v>
      </c>
      <c r="E183" s="89">
        <v>14999066</v>
      </c>
      <c r="F183" s="89">
        <v>1200188</v>
      </c>
      <c r="G183" s="89">
        <v>3699131</v>
      </c>
      <c r="H183" s="89">
        <f t="shared" si="5"/>
        <v>23176074</v>
      </c>
      <c r="I183" s="81"/>
      <c r="J183" s="89">
        <v>4263023</v>
      </c>
      <c r="K183" s="89">
        <v>13862492</v>
      </c>
      <c r="L183" s="89">
        <v>1298601</v>
      </c>
      <c r="M183" s="89">
        <v>2835864</v>
      </c>
      <c r="N183" s="89">
        <f t="shared" si="4"/>
        <v>22259980</v>
      </c>
    </row>
    <row r="184" spans="1:14">
      <c r="A184" s="86" t="s">
        <v>272</v>
      </c>
      <c r="B184" s="87" t="s">
        <v>600</v>
      </c>
      <c r="C184" s="88" t="s">
        <v>273</v>
      </c>
      <c r="D184" s="89">
        <v>2943722</v>
      </c>
      <c r="E184" s="89">
        <v>4202933</v>
      </c>
      <c r="F184" s="89">
        <v>769776</v>
      </c>
      <c r="G184" s="89">
        <v>2796231</v>
      </c>
      <c r="H184" s="89">
        <f t="shared" si="5"/>
        <v>10712662</v>
      </c>
      <c r="I184" s="81"/>
      <c r="J184" s="89">
        <v>3336170</v>
      </c>
      <c r="K184" s="89">
        <v>3713195</v>
      </c>
      <c r="L184" s="89">
        <v>758621</v>
      </c>
      <c r="M184" s="89">
        <v>9062220</v>
      </c>
      <c r="N184" s="89">
        <f t="shared" si="4"/>
        <v>16870206</v>
      </c>
    </row>
    <row r="185" spans="1:14">
      <c r="A185" s="86" t="s">
        <v>274</v>
      </c>
      <c r="B185" s="87" t="s">
        <v>275</v>
      </c>
      <c r="C185" s="88" t="s">
        <v>275</v>
      </c>
      <c r="D185" s="89">
        <v>26134473</v>
      </c>
      <c r="E185" s="89">
        <v>12950244</v>
      </c>
      <c r="F185" s="89">
        <v>7590601</v>
      </c>
      <c r="G185" s="89">
        <v>10128870</v>
      </c>
      <c r="H185" s="89">
        <f t="shared" si="5"/>
        <v>56804188</v>
      </c>
      <c r="I185" s="81"/>
      <c r="J185" s="89">
        <v>33112803</v>
      </c>
      <c r="K185" s="89">
        <v>20312869</v>
      </c>
      <c r="L185" s="89">
        <v>14765538</v>
      </c>
      <c r="M185" s="89">
        <v>16295716</v>
      </c>
      <c r="N185" s="89">
        <f t="shared" si="4"/>
        <v>84486926</v>
      </c>
    </row>
    <row r="186" spans="1:14">
      <c r="A186" s="86" t="s">
        <v>276</v>
      </c>
      <c r="B186" s="87" t="s">
        <v>601</v>
      </c>
      <c r="C186" s="88" t="s">
        <v>268</v>
      </c>
      <c r="D186" s="89">
        <v>265487345</v>
      </c>
      <c r="E186" s="89">
        <v>39041439</v>
      </c>
      <c r="F186" s="89">
        <v>26715937</v>
      </c>
      <c r="G186" s="89">
        <v>19679353</v>
      </c>
      <c r="H186" s="89">
        <f t="shared" si="5"/>
        <v>350924074</v>
      </c>
      <c r="I186" s="81"/>
      <c r="J186" s="89">
        <v>416440493</v>
      </c>
      <c r="K186" s="89">
        <v>66556609</v>
      </c>
      <c r="L186" s="89">
        <v>20634451</v>
      </c>
      <c r="M186" s="89">
        <v>16199714</v>
      </c>
      <c r="N186" s="89">
        <f t="shared" si="4"/>
        <v>519831267</v>
      </c>
    </row>
    <row r="187" spans="1:14">
      <c r="A187" s="86" t="s">
        <v>277</v>
      </c>
      <c r="B187" s="87" t="s">
        <v>469</v>
      </c>
      <c r="C187" s="88" t="s">
        <v>268</v>
      </c>
      <c r="D187" s="89">
        <v>1069992</v>
      </c>
      <c r="E187" s="89">
        <v>10119437</v>
      </c>
      <c r="F187" s="89">
        <v>617291</v>
      </c>
      <c r="G187" s="89">
        <v>1088346</v>
      </c>
      <c r="H187" s="89">
        <f t="shared" si="5"/>
        <v>12895066</v>
      </c>
      <c r="I187" s="81"/>
      <c r="J187" s="89">
        <v>1798151</v>
      </c>
      <c r="K187" s="89">
        <v>12650392</v>
      </c>
      <c r="L187" s="89">
        <v>760974</v>
      </c>
      <c r="M187" s="89">
        <v>749137</v>
      </c>
      <c r="N187" s="89">
        <f t="shared" si="4"/>
        <v>15958654</v>
      </c>
    </row>
    <row r="188" spans="1:14">
      <c r="A188" s="86" t="s">
        <v>278</v>
      </c>
      <c r="B188" s="87" t="s">
        <v>602</v>
      </c>
      <c r="C188" s="88" t="s">
        <v>42</v>
      </c>
      <c r="D188" s="89">
        <v>95890682</v>
      </c>
      <c r="E188" s="89">
        <v>46209412</v>
      </c>
      <c r="F188" s="89">
        <v>6275645</v>
      </c>
      <c r="G188" s="89">
        <v>6495111</v>
      </c>
      <c r="H188" s="89">
        <f t="shared" si="5"/>
        <v>154870850</v>
      </c>
      <c r="I188" s="81"/>
      <c r="J188" s="89">
        <v>202125140</v>
      </c>
      <c r="K188" s="89">
        <v>50503556</v>
      </c>
      <c r="L188" s="89">
        <v>4745422</v>
      </c>
      <c r="M188" s="89">
        <v>5779388</v>
      </c>
      <c r="N188" s="89">
        <f t="shared" si="4"/>
        <v>263153506</v>
      </c>
    </row>
    <row r="189" spans="1:14">
      <c r="A189" s="86" t="s">
        <v>279</v>
      </c>
      <c r="B189" s="87" t="s">
        <v>603</v>
      </c>
      <c r="C189" s="88" t="s">
        <v>280</v>
      </c>
      <c r="D189" s="89">
        <v>1879071</v>
      </c>
      <c r="E189" s="89">
        <v>5832436</v>
      </c>
      <c r="F189" s="89">
        <v>1565105</v>
      </c>
      <c r="G189" s="89">
        <v>3146193</v>
      </c>
      <c r="H189" s="89">
        <f t="shared" si="5"/>
        <v>12422805</v>
      </c>
      <c r="I189" s="81"/>
      <c r="J189" s="89">
        <v>2055970</v>
      </c>
      <c r="K189" s="89">
        <v>5259056</v>
      </c>
      <c r="L189" s="89">
        <v>2896409</v>
      </c>
      <c r="M189" s="89">
        <v>2702163</v>
      </c>
      <c r="N189" s="89">
        <f t="shared" si="4"/>
        <v>12913598</v>
      </c>
    </row>
    <row r="190" spans="1:14">
      <c r="A190" s="86" t="s">
        <v>281</v>
      </c>
      <c r="B190" s="87" t="s">
        <v>604</v>
      </c>
      <c r="C190" s="88" t="s">
        <v>282</v>
      </c>
      <c r="D190" s="89">
        <v>848907</v>
      </c>
      <c r="E190" s="89">
        <v>7892780</v>
      </c>
      <c r="F190" s="89">
        <v>2133703</v>
      </c>
      <c r="G190" s="89">
        <v>3993744</v>
      </c>
      <c r="H190" s="89">
        <f t="shared" si="5"/>
        <v>14869134</v>
      </c>
      <c r="I190" s="81"/>
      <c r="J190" s="89">
        <v>1032634</v>
      </c>
      <c r="K190" s="89">
        <v>7718966</v>
      </c>
      <c r="L190" s="89">
        <v>11903347</v>
      </c>
      <c r="M190" s="89">
        <v>8528747</v>
      </c>
      <c r="N190" s="89">
        <f t="shared" si="4"/>
        <v>29183694</v>
      </c>
    </row>
    <row r="191" spans="1:14">
      <c r="A191" s="86" t="s">
        <v>283</v>
      </c>
      <c r="B191" s="87" t="s">
        <v>284</v>
      </c>
      <c r="C191" s="88" t="s">
        <v>284</v>
      </c>
      <c r="D191" s="89">
        <v>6751137</v>
      </c>
      <c r="E191" s="89">
        <v>5614770</v>
      </c>
      <c r="F191" s="89">
        <v>6985794</v>
      </c>
      <c r="G191" s="89">
        <v>3038264</v>
      </c>
      <c r="H191" s="89">
        <f t="shared" si="5"/>
        <v>22389965</v>
      </c>
      <c r="I191" s="81"/>
      <c r="J191" s="89">
        <v>9888698</v>
      </c>
      <c r="K191" s="89">
        <v>5331309</v>
      </c>
      <c r="L191" s="89">
        <v>12507990</v>
      </c>
      <c r="M191" s="89">
        <v>2744401</v>
      </c>
      <c r="N191" s="89">
        <f t="shared" si="4"/>
        <v>30472398</v>
      </c>
    </row>
    <row r="192" spans="1:14">
      <c r="A192" s="86" t="s">
        <v>285</v>
      </c>
      <c r="B192" s="87" t="s">
        <v>605</v>
      </c>
      <c r="C192" s="88" t="s">
        <v>280</v>
      </c>
      <c r="D192" s="89">
        <v>8151317</v>
      </c>
      <c r="E192" s="89">
        <v>12359820</v>
      </c>
      <c r="F192" s="89">
        <v>2272301</v>
      </c>
      <c r="G192" s="89">
        <v>7077458</v>
      </c>
      <c r="H192" s="89">
        <f t="shared" si="5"/>
        <v>29860896</v>
      </c>
      <c r="I192" s="81"/>
      <c r="J192" s="89">
        <v>8867424</v>
      </c>
      <c r="K192" s="89">
        <v>11183899</v>
      </c>
      <c r="L192" s="89">
        <v>2316072</v>
      </c>
      <c r="M192" s="89">
        <v>5229891</v>
      </c>
      <c r="N192" s="89">
        <f t="shared" si="4"/>
        <v>27597286</v>
      </c>
    </row>
    <row r="193" spans="1:14">
      <c r="A193" s="86" t="s">
        <v>286</v>
      </c>
      <c r="B193" s="87" t="s">
        <v>408</v>
      </c>
      <c r="C193" s="88" t="s">
        <v>280</v>
      </c>
      <c r="D193" s="89">
        <v>488496</v>
      </c>
      <c r="E193" s="89">
        <v>3795385</v>
      </c>
      <c r="F193" s="89">
        <v>975217</v>
      </c>
      <c r="G193" s="89">
        <v>2253776</v>
      </c>
      <c r="H193" s="89">
        <f t="shared" si="5"/>
        <v>7512874</v>
      </c>
      <c r="I193" s="81"/>
      <c r="J193" s="89">
        <v>502098</v>
      </c>
      <c r="K193" s="89">
        <v>2774778</v>
      </c>
      <c r="L193" s="89">
        <v>1931736</v>
      </c>
      <c r="M193" s="89">
        <v>1839413</v>
      </c>
      <c r="N193" s="89">
        <f t="shared" si="4"/>
        <v>7048025</v>
      </c>
    </row>
    <row r="194" spans="1:14">
      <c r="A194" s="86" t="s">
        <v>287</v>
      </c>
      <c r="B194" s="87" t="s">
        <v>288</v>
      </c>
      <c r="C194" s="88" t="s">
        <v>288</v>
      </c>
      <c r="D194" s="89">
        <v>4008378</v>
      </c>
      <c r="E194" s="89">
        <v>10536230</v>
      </c>
      <c r="F194" s="89">
        <v>1767856</v>
      </c>
      <c r="G194" s="89">
        <v>1298728</v>
      </c>
      <c r="H194" s="89">
        <f t="shared" si="5"/>
        <v>17611192</v>
      </c>
      <c r="I194" s="81"/>
      <c r="J194" s="89">
        <v>4410067</v>
      </c>
      <c r="K194" s="89">
        <v>8831676</v>
      </c>
      <c r="L194" s="89">
        <v>1468443</v>
      </c>
      <c r="M194" s="89">
        <v>1728489</v>
      </c>
      <c r="N194" s="89">
        <f t="shared" si="4"/>
        <v>16438675</v>
      </c>
    </row>
    <row r="195" spans="1:14">
      <c r="A195" s="86" t="s">
        <v>289</v>
      </c>
      <c r="B195" s="87" t="s">
        <v>606</v>
      </c>
      <c r="C195" s="88" t="s">
        <v>290</v>
      </c>
      <c r="D195" s="89">
        <v>3774668</v>
      </c>
      <c r="E195" s="89">
        <v>9332190</v>
      </c>
      <c r="F195" s="89">
        <v>1518542</v>
      </c>
      <c r="G195" s="89">
        <v>2842003</v>
      </c>
      <c r="H195" s="89">
        <f t="shared" si="5"/>
        <v>17467403</v>
      </c>
      <c r="I195" s="81"/>
      <c r="J195" s="89">
        <v>5717034</v>
      </c>
      <c r="K195" s="89">
        <v>10495097</v>
      </c>
      <c r="L195" s="89">
        <v>1380024</v>
      </c>
      <c r="M195" s="89">
        <v>2852838</v>
      </c>
      <c r="N195" s="89">
        <f t="shared" si="4"/>
        <v>20444993</v>
      </c>
    </row>
    <row r="196" spans="1:14">
      <c r="A196" s="86" t="s">
        <v>291</v>
      </c>
      <c r="B196" s="87" t="s">
        <v>607</v>
      </c>
      <c r="C196" s="88" t="s">
        <v>42</v>
      </c>
      <c r="D196" s="89">
        <v>16222890</v>
      </c>
      <c r="E196" s="89">
        <v>23676705</v>
      </c>
      <c r="F196" s="89">
        <v>1702222</v>
      </c>
      <c r="G196" s="89">
        <v>3808364</v>
      </c>
      <c r="H196" s="89">
        <f t="shared" si="5"/>
        <v>45410181</v>
      </c>
      <c r="I196" s="81"/>
      <c r="J196" s="89">
        <v>22598374</v>
      </c>
      <c r="K196" s="89">
        <v>30206932</v>
      </c>
      <c r="L196" s="89">
        <v>1479076</v>
      </c>
      <c r="M196" s="89">
        <v>3409706</v>
      </c>
      <c r="N196" s="89">
        <f t="shared" si="4"/>
        <v>57694088</v>
      </c>
    </row>
    <row r="197" spans="1:14">
      <c r="A197" s="86" t="s">
        <v>292</v>
      </c>
      <c r="B197" s="87" t="s">
        <v>608</v>
      </c>
      <c r="C197" s="88" t="s">
        <v>293</v>
      </c>
      <c r="D197" s="89">
        <v>5222317</v>
      </c>
      <c r="E197" s="89">
        <v>8462014</v>
      </c>
      <c r="F197" s="89">
        <v>3539614</v>
      </c>
      <c r="G197" s="89">
        <v>4130509</v>
      </c>
      <c r="H197" s="89">
        <f t="shared" si="5"/>
        <v>21354454</v>
      </c>
      <c r="I197" s="81"/>
      <c r="J197" s="89">
        <v>5959901</v>
      </c>
      <c r="K197" s="89">
        <v>7033400</v>
      </c>
      <c r="L197" s="89">
        <v>4179249</v>
      </c>
      <c r="M197" s="89">
        <v>3204993</v>
      </c>
      <c r="N197" s="89">
        <f t="shared" ref="N197:N260" si="6">SUM(J197:M197)</f>
        <v>20377543</v>
      </c>
    </row>
    <row r="198" spans="1:14">
      <c r="A198" s="86" t="s">
        <v>294</v>
      </c>
      <c r="B198" s="87" t="s">
        <v>609</v>
      </c>
      <c r="C198" s="88" t="s">
        <v>42</v>
      </c>
      <c r="D198" s="89">
        <v>5559989</v>
      </c>
      <c r="E198" s="89">
        <v>10957163</v>
      </c>
      <c r="F198" s="89">
        <v>1479439</v>
      </c>
      <c r="G198" s="89">
        <v>2611306</v>
      </c>
      <c r="H198" s="89">
        <f t="shared" si="5"/>
        <v>20607897</v>
      </c>
      <c r="I198" s="81"/>
      <c r="J198" s="89">
        <v>6343131</v>
      </c>
      <c r="K198" s="89">
        <v>13380827</v>
      </c>
      <c r="L198" s="89">
        <v>1328330</v>
      </c>
      <c r="M198" s="89">
        <v>3111293</v>
      </c>
      <c r="N198" s="89">
        <f t="shared" si="6"/>
        <v>24163581</v>
      </c>
    </row>
    <row r="199" spans="1:14">
      <c r="A199" s="86" t="s">
        <v>295</v>
      </c>
      <c r="B199" s="87" t="s">
        <v>610</v>
      </c>
      <c r="C199" s="88" t="s">
        <v>296</v>
      </c>
      <c r="D199" s="89">
        <v>1166753</v>
      </c>
      <c r="E199" s="89">
        <v>10424211</v>
      </c>
      <c r="F199" s="89">
        <v>1315185</v>
      </c>
      <c r="G199" s="89">
        <v>4637613</v>
      </c>
      <c r="H199" s="89">
        <f t="shared" si="5"/>
        <v>17543762</v>
      </c>
      <c r="I199" s="81"/>
      <c r="J199" s="89">
        <v>1401145</v>
      </c>
      <c r="K199" s="89">
        <v>9537360</v>
      </c>
      <c r="L199" s="89">
        <v>1479417</v>
      </c>
      <c r="M199" s="89">
        <v>5758483</v>
      </c>
      <c r="N199" s="89">
        <f t="shared" si="6"/>
        <v>18176405</v>
      </c>
    </row>
    <row r="200" spans="1:14">
      <c r="A200" s="86" t="s">
        <v>297</v>
      </c>
      <c r="B200" s="87" t="s">
        <v>611</v>
      </c>
      <c r="C200" s="88" t="s">
        <v>296</v>
      </c>
      <c r="D200" s="89">
        <v>3474476</v>
      </c>
      <c r="E200" s="89">
        <v>9202601</v>
      </c>
      <c r="F200" s="89">
        <v>1331529</v>
      </c>
      <c r="G200" s="89">
        <v>4810772</v>
      </c>
      <c r="H200" s="89">
        <f t="shared" si="5"/>
        <v>18819378</v>
      </c>
      <c r="I200" s="81"/>
      <c r="J200" s="89">
        <v>4108629</v>
      </c>
      <c r="K200" s="89">
        <v>8676913</v>
      </c>
      <c r="L200" s="89">
        <v>2592415</v>
      </c>
      <c r="M200" s="89">
        <v>5241970</v>
      </c>
      <c r="N200" s="89">
        <f t="shared" si="6"/>
        <v>20619927</v>
      </c>
    </row>
    <row r="201" spans="1:14">
      <c r="A201" s="86" t="s">
        <v>298</v>
      </c>
      <c r="B201" s="87" t="s">
        <v>612</v>
      </c>
      <c r="C201" s="88" t="s">
        <v>299</v>
      </c>
      <c r="D201" s="89">
        <v>605794</v>
      </c>
      <c r="E201" s="89">
        <v>6650225</v>
      </c>
      <c r="F201" s="89">
        <v>4711621</v>
      </c>
      <c r="G201" s="89">
        <v>4806455</v>
      </c>
      <c r="H201" s="89">
        <f t="shared" si="5"/>
        <v>16774095</v>
      </c>
      <c r="I201" s="81"/>
      <c r="J201" s="89">
        <v>672319</v>
      </c>
      <c r="K201" s="89">
        <v>5592967</v>
      </c>
      <c r="L201" s="89">
        <v>12607518</v>
      </c>
      <c r="M201" s="89">
        <v>5457121</v>
      </c>
      <c r="N201" s="89">
        <f t="shared" si="6"/>
        <v>24329925</v>
      </c>
    </row>
    <row r="202" spans="1:14">
      <c r="A202" s="86" t="s">
        <v>300</v>
      </c>
      <c r="B202" s="87" t="s">
        <v>613</v>
      </c>
      <c r="C202" s="88" t="s">
        <v>301</v>
      </c>
      <c r="D202" s="89">
        <v>18002911</v>
      </c>
      <c r="E202" s="89">
        <v>19841936</v>
      </c>
      <c r="F202" s="89">
        <v>3153484</v>
      </c>
      <c r="G202" s="89">
        <v>4717512</v>
      </c>
      <c r="H202" s="89">
        <f t="shared" ref="H202:H265" si="7">SUM(D202:G202)</f>
        <v>45715843</v>
      </c>
      <c r="I202" s="81"/>
      <c r="J202" s="89">
        <v>21481684</v>
      </c>
      <c r="K202" s="89">
        <v>22245231</v>
      </c>
      <c r="L202" s="89">
        <v>4326360</v>
      </c>
      <c r="M202" s="89">
        <v>5211399</v>
      </c>
      <c r="N202" s="89">
        <f t="shared" si="6"/>
        <v>53264674</v>
      </c>
    </row>
    <row r="203" spans="1:14">
      <c r="A203" s="86" t="s">
        <v>302</v>
      </c>
      <c r="B203" s="87" t="s">
        <v>144</v>
      </c>
      <c r="C203" s="88" t="s">
        <v>264</v>
      </c>
      <c r="D203" s="89">
        <v>788731</v>
      </c>
      <c r="E203" s="89">
        <v>6693043</v>
      </c>
      <c r="F203" s="89">
        <v>3090613</v>
      </c>
      <c r="G203" s="89">
        <v>2774071</v>
      </c>
      <c r="H203" s="89">
        <f t="shared" si="7"/>
        <v>13346458</v>
      </c>
      <c r="I203" s="81"/>
      <c r="J203" s="89">
        <v>777069</v>
      </c>
      <c r="K203" s="89">
        <v>7419694</v>
      </c>
      <c r="L203" s="89">
        <v>6256328</v>
      </c>
      <c r="M203" s="89">
        <v>2859351</v>
      </c>
      <c r="N203" s="89">
        <f t="shared" si="6"/>
        <v>17312442</v>
      </c>
    </row>
    <row r="204" spans="1:14">
      <c r="A204" s="86" t="s">
        <v>303</v>
      </c>
      <c r="B204" s="87" t="s">
        <v>614</v>
      </c>
      <c r="C204" s="88" t="s">
        <v>42</v>
      </c>
      <c r="D204" s="89">
        <v>38323443</v>
      </c>
      <c r="E204" s="89">
        <v>15623597</v>
      </c>
      <c r="F204" s="89">
        <v>6462891</v>
      </c>
      <c r="G204" s="89">
        <v>4726388</v>
      </c>
      <c r="H204" s="89">
        <f t="shared" si="7"/>
        <v>65136319</v>
      </c>
      <c r="I204" s="81"/>
      <c r="J204" s="89">
        <v>48222890</v>
      </c>
      <c r="K204" s="89">
        <v>20295094</v>
      </c>
      <c r="L204" s="89">
        <v>5317643</v>
      </c>
      <c r="M204" s="89">
        <v>5380538</v>
      </c>
      <c r="N204" s="89">
        <f t="shared" si="6"/>
        <v>79216165</v>
      </c>
    </row>
    <row r="205" spans="1:14">
      <c r="A205" s="86" t="s">
        <v>304</v>
      </c>
      <c r="B205" s="87" t="s">
        <v>615</v>
      </c>
      <c r="C205" s="88" t="s">
        <v>293</v>
      </c>
      <c r="D205" s="89">
        <v>2029276</v>
      </c>
      <c r="E205" s="89">
        <v>9056917</v>
      </c>
      <c r="F205" s="89">
        <v>2138847</v>
      </c>
      <c r="G205" s="89">
        <v>3133379</v>
      </c>
      <c r="H205" s="89">
        <f t="shared" si="7"/>
        <v>16358419</v>
      </c>
      <c r="I205" s="81"/>
      <c r="J205" s="89">
        <v>2270152</v>
      </c>
      <c r="K205" s="89">
        <v>9393707</v>
      </c>
      <c r="L205" s="89">
        <v>3265315</v>
      </c>
      <c r="M205" s="89">
        <v>3559344</v>
      </c>
      <c r="N205" s="89">
        <f t="shared" si="6"/>
        <v>18488518</v>
      </c>
    </row>
    <row r="206" spans="1:14">
      <c r="A206" s="86" t="s">
        <v>305</v>
      </c>
      <c r="B206" s="87" t="s">
        <v>616</v>
      </c>
      <c r="C206" s="88" t="s">
        <v>306</v>
      </c>
      <c r="D206" s="89">
        <v>0</v>
      </c>
      <c r="E206" s="89">
        <v>13029903</v>
      </c>
      <c r="F206" s="89">
        <v>637453</v>
      </c>
      <c r="G206" s="89">
        <v>12067333</v>
      </c>
      <c r="H206" s="89">
        <f t="shared" si="7"/>
        <v>25734689</v>
      </c>
      <c r="I206" s="81"/>
      <c r="J206" s="89">
        <v>0</v>
      </c>
      <c r="K206" s="89">
        <v>15696147</v>
      </c>
      <c r="L206" s="89">
        <v>700893</v>
      </c>
      <c r="M206" s="89">
        <v>12630413</v>
      </c>
      <c r="N206" s="89">
        <f t="shared" si="6"/>
        <v>29027453</v>
      </c>
    </row>
    <row r="207" spans="1:14">
      <c r="A207" s="86" t="s">
        <v>307</v>
      </c>
      <c r="B207" s="87" t="s">
        <v>617</v>
      </c>
      <c r="C207" s="88" t="s">
        <v>264</v>
      </c>
      <c r="D207" s="89">
        <v>10262428</v>
      </c>
      <c r="E207" s="89">
        <v>6724464</v>
      </c>
      <c r="F207" s="89">
        <v>3636707</v>
      </c>
      <c r="G207" s="89">
        <v>11413440</v>
      </c>
      <c r="H207" s="89">
        <f t="shared" si="7"/>
        <v>32037039</v>
      </c>
      <c r="I207" s="81"/>
      <c r="J207" s="89">
        <v>11827647</v>
      </c>
      <c r="K207" s="89">
        <v>7099314</v>
      </c>
      <c r="L207" s="89">
        <v>2345974</v>
      </c>
      <c r="M207" s="89">
        <v>14400008</v>
      </c>
      <c r="N207" s="89">
        <f t="shared" si="6"/>
        <v>35672943</v>
      </c>
    </row>
    <row r="208" spans="1:14">
      <c r="A208" s="86" t="s">
        <v>308</v>
      </c>
      <c r="B208" s="87" t="s">
        <v>618</v>
      </c>
      <c r="C208" s="88" t="s">
        <v>34</v>
      </c>
      <c r="D208" s="89">
        <v>5484872</v>
      </c>
      <c r="E208" s="89">
        <v>5772258</v>
      </c>
      <c r="F208" s="89">
        <v>944701</v>
      </c>
      <c r="G208" s="89">
        <v>1384354</v>
      </c>
      <c r="H208" s="89">
        <f t="shared" si="7"/>
        <v>13586185</v>
      </c>
      <c r="I208" s="81"/>
      <c r="J208" s="89">
        <v>7896496</v>
      </c>
      <c r="K208" s="89">
        <v>6339818</v>
      </c>
      <c r="L208" s="89">
        <v>893489</v>
      </c>
      <c r="M208" s="89">
        <v>3255242</v>
      </c>
      <c r="N208" s="89">
        <f t="shared" si="6"/>
        <v>18385045</v>
      </c>
    </row>
    <row r="209" spans="1:14">
      <c r="A209" s="86" t="s">
        <v>309</v>
      </c>
      <c r="B209" s="87" t="s">
        <v>619</v>
      </c>
      <c r="C209" s="88" t="s">
        <v>299</v>
      </c>
      <c r="D209" s="89">
        <v>21899269</v>
      </c>
      <c r="E209" s="89">
        <v>14083429</v>
      </c>
      <c r="F209" s="89">
        <v>11822500</v>
      </c>
      <c r="G209" s="89">
        <v>5891505</v>
      </c>
      <c r="H209" s="89">
        <f t="shared" si="7"/>
        <v>53696703</v>
      </c>
      <c r="I209" s="81"/>
      <c r="J209" s="89">
        <v>26278615</v>
      </c>
      <c r="K209" s="89">
        <v>14227651</v>
      </c>
      <c r="L209" s="89">
        <v>25011264</v>
      </c>
      <c r="M209" s="89">
        <v>7634193</v>
      </c>
      <c r="N209" s="89">
        <f t="shared" si="6"/>
        <v>73151723</v>
      </c>
    </row>
    <row r="210" spans="1:14">
      <c r="A210" s="86" t="s">
        <v>310</v>
      </c>
      <c r="B210" s="87" t="s">
        <v>296</v>
      </c>
      <c r="C210" s="88" t="s">
        <v>296</v>
      </c>
      <c r="D210" s="89">
        <v>8275999</v>
      </c>
      <c r="E210" s="89">
        <v>10956350</v>
      </c>
      <c r="F210" s="89">
        <v>2315252</v>
      </c>
      <c r="G210" s="89">
        <v>4891300</v>
      </c>
      <c r="H210" s="89">
        <f t="shared" si="7"/>
        <v>26438901</v>
      </c>
      <c r="I210" s="81"/>
      <c r="J210" s="89">
        <v>10041452</v>
      </c>
      <c r="K210" s="89">
        <v>11099630</v>
      </c>
      <c r="L210" s="89">
        <v>2160880</v>
      </c>
      <c r="M210" s="89">
        <v>5671576</v>
      </c>
      <c r="N210" s="89">
        <f t="shared" si="6"/>
        <v>28973538</v>
      </c>
    </row>
    <row r="211" spans="1:14">
      <c r="A211" s="86" t="s">
        <v>311</v>
      </c>
      <c r="B211" s="87" t="s">
        <v>266</v>
      </c>
      <c r="C211" s="88" t="s">
        <v>266</v>
      </c>
      <c r="D211" s="89">
        <v>43932170</v>
      </c>
      <c r="E211" s="89">
        <v>9540768</v>
      </c>
      <c r="F211" s="89">
        <v>9529562</v>
      </c>
      <c r="G211" s="89">
        <v>8972858</v>
      </c>
      <c r="H211" s="89">
        <f t="shared" si="7"/>
        <v>71975358</v>
      </c>
      <c r="I211" s="81"/>
      <c r="J211" s="89">
        <v>57365925</v>
      </c>
      <c r="K211" s="89">
        <v>9476087</v>
      </c>
      <c r="L211" s="89">
        <v>7388433</v>
      </c>
      <c r="M211" s="89">
        <v>7256051</v>
      </c>
      <c r="N211" s="89">
        <f t="shared" si="6"/>
        <v>81486496</v>
      </c>
    </row>
    <row r="212" spans="1:14">
      <c r="A212" s="86" t="s">
        <v>312</v>
      </c>
      <c r="B212" s="87" t="s">
        <v>620</v>
      </c>
      <c r="C212" s="88" t="s">
        <v>296</v>
      </c>
      <c r="D212" s="89">
        <v>12491673</v>
      </c>
      <c r="E212" s="89">
        <v>11312930</v>
      </c>
      <c r="F212" s="89">
        <v>2166583</v>
      </c>
      <c r="G212" s="89">
        <v>3403394</v>
      </c>
      <c r="H212" s="89">
        <f t="shared" si="7"/>
        <v>29374580</v>
      </c>
      <c r="I212" s="81"/>
      <c r="J212" s="89">
        <v>15159337</v>
      </c>
      <c r="K212" s="89">
        <v>11150620</v>
      </c>
      <c r="L212" s="89">
        <v>2241330</v>
      </c>
      <c r="M212" s="89">
        <v>3485855</v>
      </c>
      <c r="N212" s="89">
        <f t="shared" si="6"/>
        <v>32037142</v>
      </c>
    </row>
    <row r="213" spans="1:14">
      <c r="A213" s="86" t="s">
        <v>313</v>
      </c>
      <c r="B213" s="87" t="s">
        <v>621</v>
      </c>
      <c r="C213" s="88" t="s">
        <v>296</v>
      </c>
      <c r="D213" s="89">
        <v>1474444</v>
      </c>
      <c r="E213" s="89">
        <v>7777322</v>
      </c>
      <c r="F213" s="89">
        <v>363667</v>
      </c>
      <c r="G213" s="89">
        <v>1682942</v>
      </c>
      <c r="H213" s="89">
        <f t="shared" si="7"/>
        <v>11298375</v>
      </c>
      <c r="I213" s="81"/>
      <c r="J213" s="89">
        <v>1791176</v>
      </c>
      <c r="K213" s="89">
        <v>8211420</v>
      </c>
      <c r="L213" s="89">
        <v>342519</v>
      </c>
      <c r="M213" s="89">
        <v>1477732</v>
      </c>
      <c r="N213" s="89">
        <f t="shared" si="6"/>
        <v>11822847</v>
      </c>
    </row>
    <row r="214" spans="1:14">
      <c r="A214" s="86" t="s">
        <v>314</v>
      </c>
      <c r="B214" s="87" t="s">
        <v>622</v>
      </c>
      <c r="C214" s="88" t="s">
        <v>315</v>
      </c>
      <c r="D214" s="89">
        <v>4448713</v>
      </c>
      <c r="E214" s="89">
        <v>14033348</v>
      </c>
      <c r="F214" s="89">
        <v>2405617</v>
      </c>
      <c r="G214" s="89">
        <v>2685794</v>
      </c>
      <c r="H214" s="89">
        <f t="shared" si="7"/>
        <v>23573472</v>
      </c>
      <c r="I214" s="81"/>
      <c r="J214" s="89">
        <v>5169175</v>
      </c>
      <c r="K214" s="89">
        <v>13003084</v>
      </c>
      <c r="L214" s="89">
        <v>7133167</v>
      </c>
      <c r="M214" s="89">
        <v>3194830</v>
      </c>
      <c r="N214" s="89">
        <f t="shared" si="6"/>
        <v>28500256</v>
      </c>
    </row>
    <row r="215" spans="1:14">
      <c r="A215" s="86" t="s">
        <v>316</v>
      </c>
      <c r="B215" s="87" t="s">
        <v>623</v>
      </c>
      <c r="C215" s="88" t="s">
        <v>14</v>
      </c>
      <c r="D215" s="89">
        <v>30285806</v>
      </c>
      <c r="E215" s="89">
        <v>9899621</v>
      </c>
      <c r="F215" s="89">
        <v>7819843</v>
      </c>
      <c r="G215" s="89">
        <v>3285785</v>
      </c>
      <c r="H215" s="89">
        <f t="shared" si="7"/>
        <v>51291055</v>
      </c>
      <c r="I215" s="81"/>
      <c r="J215" s="89">
        <v>36924898</v>
      </c>
      <c r="K215" s="89">
        <v>11398592</v>
      </c>
      <c r="L215" s="89">
        <v>11755112</v>
      </c>
      <c r="M215" s="89">
        <v>5437605</v>
      </c>
      <c r="N215" s="89">
        <f t="shared" si="6"/>
        <v>65516207</v>
      </c>
    </row>
    <row r="216" spans="1:14">
      <c r="A216" s="86" t="s">
        <v>317</v>
      </c>
      <c r="B216" s="87" t="s">
        <v>624</v>
      </c>
      <c r="C216" s="88" t="s">
        <v>318</v>
      </c>
      <c r="D216" s="89">
        <v>14834135</v>
      </c>
      <c r="E216" s="89">
        <v>24518877</v>
      </c>
      <c r="F216" s="89">
        <v>2472109</v>
      </c>
      <c r="G216" s="89">
        <v>7365971</v>
      </c>
      <c r="H216" s="89">
        <f t="shared" si="7"/>
        <v>49191092</v>
      </c>
      <c r="I216" s="81"/>
      <c r="J216" s="89">
        <v>18754615</v>
      </c>
      <c r="K216" s="89">
        <v>26536571</v>
      </c>
      <c r="L216" s="89">
        <v>2372672</v>
      </c>
      <c r="M216" s="89">
        <v>19397473</v>
      </c>
      <c r="N216" s="89">
        <f t="shared" si="6"/>
        <v>67061331</v>
      </c>
    </row>
    <row r="217" spans="1:14">
      <c r="A217" s="86" t="s">
        <v>319</v>
      </c>
      <c r="B217" s="87" t="s">
        <v>625</v>
      </c>
      <c r="C217" s="88" t="s">
        <v>253</v>
      </c>
      <c r="D217" s="89">
        <v>26343171</v>
      </c>
      <c r="E217" s="89">
        <v>46748790</v>
      </c>
      <c r="F217" s="89">
        <v>6253681</v>
      </c>
      <c r="G217" s="89">
        <v>18254777</v>
      </c>
      <c r="H217" s="89">
        <f t="shared" si="7"/>
        <v>97600419</v>
      </c>
      <c r="I217" s="81"/>
      <c r="J217" s="89">
        <v>38995326</v>
      </c>
      <c r="K217" s="89">
        <v>56965706</v>
      </c>
      <c r="L217" s="89">
        <v>4822135</v>
      </c>
      <c r="M217" s="89">
        <v>18497300</v>
      </c>
      <c r="N217" s="89">
        <f t="shared" si="6"/>
        <v>119280467</v>
      </c>
    </row>
    <row r="218" spans="1:14">
      <c r="A218" s="86" t="s">
        <v>320</v>
      </c>
      <c r="B218" s="87" t="s">
        <v>626</v>
      </c>
      <c r="C218" s="88" t="s">
        <v>321</v>
      </c>
      <c r="D218" s="89">
        <v>11105688</v>
      </c>
      <c r="E218" s="89">
        <v>21873132</v>
      </c>
      <c r="F218" s="89">
        <v>3646659</v>
      </c>
      <c r="G218" s="89">
        <v>8593684</v>
      </c>
      <c r="H218" s="89">
        <f t="shared" si="7"/>
        <v>45219163</v>
      </c>
      <c r="I218" s="81"/>
      <c r="J218" s="89">
        <v>13941944</v>
      </c>
      <c r="K218" s="89">
        <v>25237276</v>
      </c>
      <c r="L218" s="89">
        <v>4299318</v>
      </c>
      <c r="M218" s="89">
        <v>10298027</v>
      </c>
      <c r="N218" s="89">
        <f t="shared" si="6"/>
        <v>53776565</v>
      </c>
    </row>
    <row r="219" spans="1:14">
      <c r="A219" s="86" t="s">
        <v>322</v>
      </c>
      <c r="B219" s="87" t="s">
        <v>301</v>
      </c>
      <c r="C219" s="88" t="s">
        <v>301</v>
      </c>
      <c r="D219" s="89">
        <v>77929948</v>
      </c>
      <c r="E219" s="89">
        <v>34323224</v>
      </c>
      <c r="F219" s="89">
        <v>24306748</v>
      </c>
      <c r="G219" s="89">
        <v>14057667</v>
      </c>
      <c r="H219" s="89">
        <f t="shared" si="7"/>
        <v>150617587</v>
      </c>
      <c r="I219" s="81"/>
      <c r="J219" s="89">
        <v>92598657</v>
      </c>
      <c r="K219" s="89">
        <v>37482552</v>
      </c>
      <c r="L219" s="89">
        <v>19593153</v>
      </c>
      <c r="M219" s="89">
        <v>12230714</v>
      </c>
      <c r="N219" s="89">
        <f t="shared" si="6"/>
        <v>161905076</v>
      </c>
    </row>
    <row r="220" spans="1:14">
      <c r="A220" s="86" t="s">
        <v>323</v>
      </c>
      <c r="B220" s="87" t="s">
        <v>627</v>
      </c>
      <c r="C220" s="88" t="s">
        <v>301</v>
      </c>
      <c r="D220" s="89">
        <v>5998140</v>
      </c>
      <c r="E220" s="89">
        <v>9829251</v>
      </c>
      <c r="F220" s="89">
        <v>2339827</v>
      </c>
      <c r="G220" s="89">
        <v>3245568</v>
      </c>
      <c r="H220" s="89">
        <f t="shared" si="7"/>
        <v>21412786</v>
      </c>
      <c r="I220" s="81"/>
      <c r="J220" s="89">
        <v>7717110</v>
      </c>
      <c r="K220" s="89">
        <v>11211324</v>
      </c>
      <c r="L220" s="89">
        <v>3948121</v>
      </c>
      <c r="M220" s="89">
        <v>3641470</v>
      </c>
      <c r="N220" s="89">
        <f t="shared" si="6"/>
        <v>26518025</v>
      </c>
    </row>
    <row r="221" spans="1:14">
      <c r="A221" s="86" t="s">
        <v>324</v>
      </c>
      <c r="B221" s="87" t="s">
        <v>628</v>
      </c>
      <c r="C221" s="88" t="s">
        <v>325</v>
      </c>
      <c r="D221" s="89">
        <v>13173946</v>
      </c>
      <c r="E221" s="89">
        <v>7271904</v>
      </c>
      <c r="F221" s="89">
        <v>1701893</v>
      </c>
      <c r="G221" s="89">
        <v>1975041</v>
      </c>
      <c r="H221" s="89">
        <f t="shared" si="7"/>
        <v>24122784</v>
      </c>
      <c r="I221" s="81"/>
      <c r="J221" s="89">
        <v>15833711</v>
      </c>
      <c r="K221" s="89">
        <v>7202038</v>
      </c>
      <c r="L221" s="89">
        <v>2214462</v>
      </c>
      <c r="M221" s="89">
        <v>1794720</v>
      </c>
      <c r="N221" s="89">
        <f t="shared" si="6"/>
        <v>27044931</v>
      </c>
    </row>
    <row r="222" spans="1:14">
      <c r="A222" s="86" t="s">
        <v>326</v>
      </c>
      <c r="B222" s="87" t="s">
        <v>629</v>
      </c>
      <c r="C222" s="88" t="s">
        <v>325</v>
      </c>
      <c r="D222" s="89">
        <v>4463205</v>
      </c>
      <c r="E222" s="89">
        <v>10272720</v>
      </c>
      <c r="F222" s="89">
        <v>1652883</v>
      </c>
      <c r="G222" s="89">
        <v>1971305</v>
      </c>
      <c r="H222" s="89">
        <f t="shared" si="7"/>
        <v>18360113</v>
      </c>
      <c r="I222" s="81"/>
      <c r="J222" s="89">
        <v>5331110</v>
      </c>
      <c r="K222" s="89">
        <v>11795078</v>
      </c>
      <c r="L222" s="89">
        <v>1271982</v>
      </c>
      <c r="M222" s="89">
        <v>2054353</v>
      </c>
      <c r="N222" s="89">
        <f t="shared" si="6"/>
        <v>20452523</v>
      </c>
    </row>
    <row r="223" spans="1:14">
      <c r="A223" s="86" t="s">
        <v>327</v>
      </c>
      <c r="B223" s="87" t="s">
        <v>630</v>
      </c>
      <c r="C223" s="88" t="s">
        <v>328</v>
      </c>
      <c r="D223" s="89">
        <v>4224153</v>
      </c>
      <c r="E223" s="89">
        <v>5650558</v>
      </c>
      <c r="F223" s="89">
        <v>3691458</v>
      </c>
      <c r="G223" s="89">
        <v>8594131</v>
      </c>
      <c r="H223" s="89">
        <f t="shared" si="7"/>
        <v>22160300</v>
      </c>
      <c r="I223" s="81"/>
      <c r="J223" s="89">
        <v>4832584</v>
      </c>
      <c r="K223" s="89">
        <v>6855399</v>
      </c>
      <c r="L223" s="89">
        <v>6326334</v>
      </c>
      <c r="M223" s="89">
        <v>19623340</v>
      </c>
      <c r="N223" s="89">
        <f t="shared" si="6"/>
        <v>37637657</v>
      </c>
    </row>
    <row r="224" spans="1:14">
      <c r="A224" s="86" t="s">
        <v>329</v>
      </c>
      <c r="B224" s="87" t="s">
        <v>631</v>
      </c>
      <c r="C224" s="88" t="s">
        <v>301</v>
      </c>
      <c r="D224" s="89">
        <v>7827026</v>
      </c>
      <c r="E224" s="89">
        <v>13658343</v>
      </c>
      <c r="F224" s="89">
        <v>9047029</v>
      </c>
      <c r="G224" s="89">
        <v>6532424</v>
      </c>
      <c r="H224" s="89">
        <f t="shared" si="7"/>
        <v>37064822</v>
      </c>
      <c r="I224" s="81"/>
      <c r="J224" s="89">
        <v>10148965</v>
      </c>
      <c r="K224" s="89">
        <v>15254237</v>
      </c>
      <c r="L224" s="89">
        <v>9877906</v>
      </c>
      <c r="M224" s="89">
        <v>4047574</v>
      </c>
      <c r="N224" s="89">
        <f t="shared" si="6"/>
        <v>39328682</v>
      </c>
    </row>
    <row r="225" spans="1:14">
      <c r="A225" s="86" t="s">
        <v>330</v>
      </c>
      <c r="B225" s="87" t="s">
        <v>632</v>
      </c>
      <c r="C225" s="88" t="s">
        <v>328</v>
      </c>
      <c r="D225" s="89">
        <v>524540</v>
      </c>
      <c r="E225" s="89">
        <v>3961933</v>
      </c>
      <c r="F225" s="89">
        <v>1516910</v>
      </c>
      <c r="G225" s="89">
        <v>7880554</v>
      </c>
      <c r="H225" s="89">
        <f t="shared" si="7"/>
        <v>13883937</v>
      </c>
      <c r="I225" s="81"/>
      <c r="J225" s="89">
        <v>734076</v>
      </c>
      <c r="K225" s="89">
        <v>3694733</v>
      </c>
      <c r="L225" s="89">
        <v>2181303</v>
      </c>
      <c r="M225" s="89">
        <v>22550219</v>
      </c>
      <c r="N225" s="89">
        <f t="shared" si="6"/>
        <v>29160331</v>
      </c>
    </row>
    <row r="226" spans="1:14">
      <c r="A226" s="86" t="s">
        <v>331</v>
      </c>
      <c r="B226" s="90" t="s">
        <v>633</v>
      </c>
      <c r="C226" s="88" t="s">
        <v>34</v>
      </c>
      <c r="D226" s="89">
        <v>2787725</v>
      </c>
      <c r="E226" s="89">
        <v>8024952</v>
      </c>
      <c r="F226" s="89">
        <v>465251</v>
      </c>
      <c r="G226" s="89">
        <v>604172</v>
      </c>
      <c r="H226" s="89">
        <f t="shared" si="7"/>
        <v>11882100</v>
      </c>
      <c r="I226" s="81"/>
      <c r="J226" s="92" t="s">
        <v>21</v>
      </c>
      <c r="K226" s="92" t="s">
        <v>21</v>
      </c>
      <c r="L226" s="92" t="s">
        <v>21</v>
      </c>
      <c r="M226" s="92" t="s">
        <v>21</v>
      </c>
      <c r="N226" s="92" t="s">
        <v>21</v>
      </c>
    </row>
    <row r="227" spans="1:14">
      <c r="A227" s="86" t="s">
        <v>332</v>
      </c>
      <c r="B227" s="87" t="s">
        <v>634</v>
      </c>
      <c r="C227" s="88" t="s">
        <v>30</v>
      </c>
      <c r="D227" s="89">
        <v>1533959</v>
      </c>
      <c r="E227" s="89">
        <v>8684336</v>
      </c>
      <c r="F227" s="89">
        <v>608438</v>
      </c>
      <c r="G227" s="89">
        <v>1695679</v>
      </c>
      <c r="H227" s="89">
        <f t="shared" si="7"/>
        <v>12522412</v>
      </c>
      <c r="I227" s="81"/>
      <c r="J227" s="89">
        <v>1644319</v>
      </c>
      <c r="K227" s="89">
        <v>8240186</v>
      </c>
      <c r="L227" s="89">
        <v>621919</v>
      </c>
      <c r="M227" s="89">
        <v>1753835</v>
      </c>
      <c r="N227" s="89">
        <f t="shared" si="6"/>
        <v>12260259</v>
      </c>
    </row>
    <row r="228" spans="1:14">
      <c r="A228" s="86" t="s">
        <v>333</v>
      </c>
      <c r="B228" s="90" t="s">
        <v>635</v>
      </c>
      <c r="C228" s="88" t="s">
        <v>30</v>
      </c>
      <c r="D228" s="89">
        <v>7057949</v>
      </c>
      <c r="E228" s="89">
        <v>14602516</v>
      </c>
      <c r="F228" s="89">
        <v>1269953</v>
      </c>
      <c r="G228" s="89">
        <v>3065750</v>
      </c>
      <c r="H228" s="89">
        <f t="shared" si="7"/>
        <v>25996168</v>
      </c>
      <c r="I228" s="81"/>
      <c r="J228" s="92" t="s">
        <v>21</v>
      </c>
      <c r="K228" s="92" t="s">
        <v>21</v>
      </c>
      <c r="L228" s="92" t="s">
        <v>21</v>
      </c>
      <c r="M228" s="92" t="s">
        <v>21</v>
      </c>
      <c r="N228" s="92" t="s">
        <v>21</v>
      </c>
    </row>
    <row r="229" spans="1:14">
      <c r="A229" s="86" t="s">
        <v>334</v>
      </c>
      <c r="B229" s="87" t="s">
        <v>636</v>
      </c>
      <c r="C229" s="88" t="s">
        <v>234</v>
      </c>
      <c r="D229" s="89">
        <v>60071287</v>
      </c>
      <c r="E229" s="89">
        <v>18760364</v>
      </c>
      <c r="F229" s="89">
        <v>14372284</v>
      </c>
      <c r="G229" s="89">
        <v>13953534</v>
      </c>
      <c r="H229" s="89">
        <f t="shared" si="7"/>
        <v>107157469</v>
      </c>
      <c r="I229" s="81"/>
      <c r="J229" s="89">
        <v>77074305</v>
      </c>
      <c r="K229" s="89">
        <v>22211438</v>
      </c>
      <c r="L229" s="89">
        <v>17942494</v>
      </c>
      <c r="M229" s="89">
        <v>20707675</v>
      </c>
      <c r="N229" s="89">
        <f t="shared" si="6"/>
        <v>137935912</v>
      </c>
    </row>
    <row r="230" spans="1:14">
      <c r="A230" s="86" t="s">
        <v>335</v>
      </c>
      <c r="B230" s="87" t="s">
        <v>637</v>
      </c>
      <c r="C230" s="88" t="s">
        <v>34</v>
      </c>
      <c r="D230" s="89">
        <v>2899452</v>
      </c>
      <c r="E230" s="89">
        <v>7100138</v>
      </c>
      <c r="F230" s="89">
        <v>565534</v>
      </c>
      <c r="G230" s="89">
        <v>1075823</v>
      </c>
      <c r="H230" s="89">
        <f t="shared" si="7"/>
        <v>11640947</v>
      </c>
      <c r="I230" s="81"/>
      <c r="J230" s="89">
        <v>3643608</v>
      </c>
      <c r="K230" s="89">
        <v>8303275</v>
      </c>
      <c r="L230" s="89">
        <v>591397</v>
      </c>
      <c r="M230" s="89">
        <v>3265791</v>
      </c>
      <c r="N230" s="89">
        <f t="shared" si="6"/>
        <v>15804071</v>
      </c>
    </row>
    <row r="231" spans="1:14">
      <c r="A231" s="86" t="s">
        <v>336</v>
      </c>
      <c r="B231" s="87" t="s">
        <v>638</v>
      </c>
      <c r="C231" s="88" t="s">
        <v>318</v>
      </c>
      <c r="D231" s="89">
        <v>4841274</v>
      </c>
      <c r="E231" s="89">
        <v>9345732</v>
      </c>
      <c r="F231" s="89">
        <v>852251</v>
      </c>
      <c r="G231" s="89">
        <v>4262052</v>
      </c>
      <c r="H231" s="89">
        <f t="shared" si="7"/>
        <v>19301309</v>
      </c>
      <c r="I231" s="81"/>
      <c r="J231" s="89">
        <v>6705900</v>
      </c>
      <c r="K231" s="89">
        <v>9948330</v>
      </c>
      <c r="L231" s="89">
        <v>886302</v>
      </c>
      <c r="M231" s="89">
        <v>3192871</v>
      </c>
      <c r="N231" s="89">
        <f t="shared" si="6"/>
        <v>20733403</v>
      </c>
    </row>
    <row r="232" spans="1:14">
      <c r="A232" s="86" t="s">
        <v>337</v>
      </c>
      <c r="B232" s="87" t="s">
        <v>639</v>
      </c>
      <c r="C232" s="88" t="s">
        <v>234</v>
      </c>
      <c r="D232" s="89">
        <v>7267710</v>
      </c>
      <c r="E232" s="89">
        <v>10041949</v>
      </c>
      <c r="F232" s="89">
        <v>5980292</v>
      </c>
      <c r="G232" s="89">
        <v>3597584</v>
      </c>
      <c r="H232" s="89">
        <f t="shared" si="7"/>
        <v>26887535</v>
      </c>
      <c r="I232" s="81"/>
      <c r="J232" s="89">
        <v>8363925</v>
      </c>
      <c r="K232" s="89">
        <v>11024526</v>
      </c>
      <c r="L232" s="89">
        <v>12518018</v>
      </c>
      <c r="M232" s="89">
        <v>3781935</v>
      </c>
      <c r="N232" s="89">
        <f t="shared" si="6"/>
        <v>35688404</v>
      </c>
    </row>
    <row r="233" spans="1:14">
      <c r="A233" s="86" t="s">
        <v>338</v>
      </c>
      <c r="B233" s="87" t="s">
        <v>640</v>
      </c>
      <c r="C233" s="88" t="s">
        <v>284</v>
      </c>
      <c r="D233" s="89">
        <v>4696397</v>
      </c>
      <c r="E233" s="89">
        <v>6313743</v>
      </c>
      <c r="F233" s="89">
        <v>5369792</v>
      </c>
      <c r="G233" s="89">
        <v>1981080</v>
      </c>
      <c r="H233" s="89">
        <f t="shared" si="7"/>
        <v>18361012</v>
      </c>
      <c r="I233" s="81"/>
      <c r="J233" s="89">
        <v>6416019</v>
      </c>
      <c r="K233" s="89">
        <v>6816295</v>
      </c>
      <c r="L233" s="89">
        <v>12525247</v>
      </c>
      <c r="M233" s="89">
        <v>2429834</v>
      </c>
      <c r="N233" s="89">
        <f t="shared" si="6"/>
        <v>28187395</v>
      </c>
    </row>
    <row r="234" spans="1:14">
      <c r="A234" s="86" t="s">
        <v>339</v>
      </c>
      <c r="B234" s="90" t="s">
        <v>641</v>
      </c>
      <c r="C234" s="88" t="s">
        <v>34</v>
      </c>
      <c r="D234" s="89">
        <v>671306</v>
      </c>
      <c r="E234" s="89">
        <v>12275552</v>
      </c>
      <c r="F234" s="89">
        <v>215095</v>
      </c>
      <c r="G234" s="89">
        <v>1813354</v>
      </c>
      <c r="H234" s="89">
        <f t="shared" si="7"/>
        <v>14975307</v>
      </c>
      <c r="I234" s="81"/>
      <c r="J234" s="92" t="s">
        <v>21</v>
      </c>
      <c r="K234" s="92" t="s">
        <v>21</v>
      </c>
      <c r="L234" s="92" t="s">
        <v>21</v>
      </c>
      <c r="M234" s="92" t="s">
        <v>21</v>
      </c>
      <c r="N234" s="92" t="s">
        <v>21</v>
      </c>
    </row>
    <row r="235" spans="1:14">
      <c r="A235" s="86" t="s">
        <v>340</v>
      </c>
      <c r="B235" s="87" t="s">
        <v>642</v>
      </c>
      <c r="C235" s="88" t="s">
        <v>325</v>
      </c>
      <c r="D235" s="89">
        <v>10930878</v>
      </c>
      <c r="E235" s="89">
        <v>21368369</v>
      </c>
      <c r="F235" s="89">
        <v>1943791</v>
      </c>
      <c r="G235" s="89">
        <v>5157492</v>
      </c>
      <c r="H235" s="89">
        <f t="shared" si="7"/>
        <v>39400530</v>
      </c>
      <c r="I235" s="81"/>
      <c r="J235" s="89">
        <v>13341219</v>
      </c>
      <c r="K235" s="89">
        <v>24458681</v>
      </c>
      <c r="L235" s="89">
        <v>1854313</v>
      </c>
      <c r="M235" s="89">
        <v>5231761</v>
      </c>
      <c r="N235" s="89">
        <f t="shared" si="6"/>
        <v>44885974</v>
      </c>
    </row>
    <row r="236" spans="1:14">
      <c r="A236" s="86" t="s">
        <v>341</v>
      </c>
      <c r="B236" s="87" t="s">
        <v>643</v>
      </c>
      <c r="C236" s="88" t="s">
        <v>290</v>
      </c>
      <c r="D236" s="89">
        <v>29581027</v>
      </c>
      <c r="E236" s="89">
        <v>12468965</v>
      </c>
      <c r="F236" s="89">
        <v>3669093</v>
      </c>
      <c r="G236" s="89">
        <v>8624346</v>
      </c>
      <c r="H236" s="89">
        <f t="shared" si="7"/>
        <v>54343431</v>
      </c>
      <c r="I236" s="81"/>
      <c r="J236" s="89">
        <v>45014754</v>
      </c>
      <c r="K236" s="89">
        <v>16820641</v>
      </c>
      <c r="L236" s="89">
        <v>5011801</v>
      </c>
      <c r="M236" s="89">
        <v>7904601</v>
      </c>
      <c r="N236" s="89">
        <f t="shared" si="6"/>
        <v>74751797</v>
      </c>
    </row>
    <row r="237" spans="1:14">
      <c r="A237" s="86" t="s">
        <v>342</v>
      </c>
      <c r="B237" s="87" t="s">
        <v>644</v>
      </c>
      <c r="C237" s="88" t="s">
        <v>343</v>
      </c>
      <c r="D237" s="89">
        <v>6516820</v>
      </c>
      <c r="E237" s="89">
        <v>7606426</v>
      </c>
      <c r="F237" s="89">
        <v>4262080</v>
      </c>
      <c r="G237" s="89">
        <v>4843854</v>
      </c>
      <c r="H237" s="89">
        <f t="shared" si="7"/>
        <v>23229180</v>
      </c>
      <c r="I237" s="81"/>
      <c r="J237" s="89">
        <v>8327257</v>
      </c>
      <c r="K237" s="89">
        <v>8901935</v>
      </c>
      <c r="L237" s="89">
        <v>8677635</v>
      </c>
      <c r="M237" s="89">
        <v>7846710</v>
      </c>
      <c r="N237" s="89">
        <f t="shared" si="6"/>
        <v>33753537</v>
      </c>
    </row>
    <row r="238" spans="1:14">
      <c r="A238" s="86" t="s">
        <v>344</v>
      </c>
      <c r="B238" s="87" t="s">
        <v>645</v>
      </c>
      <c r="C238" s="88" t="s">
        <v>219</v>
      </c>
      <c r="D238" s="89">
        <v>210248323</v>
      </c>
      <c r="E238" s="89">
        <v>113569392</v>
      </c>
      <c r="F238" s="89">
        <v>30338102</v>
      </c>
      <c r="G238" s="89">
        <v>12165217</v>
      </c>
      <c r="H238" s="89">
        <f t="shared" si="7"/>
        <v>366321034</v>
      </c>
      <c r="I238" s="81"/>
      <c r="J238" s="89">
        <v>266621425</v>
      </c>
      <c r="K238" s="89">
        <v>131755372</v>
      </c>
      <c r="L238" s="89">
        <v>21552066</v>
      </c>
      <c r="M238" s="89">
        <v>11085063</v>
      </c>
      <c r="N238" s="89">
        <f t="shared" si="6"/>
        <v>431013926</v>
      </c>
    </row>
    <row r="239" spans="1:14">
      <c r="A239" s="86" t="s">
        <v>345</v>
      </c>
      <c r="B239" s="87" t="s">
        <v>646</v>
      </c>
      <c r="C239" s="88" t="s">
        <v>275</v>
      </c>
      <c r="D239" s="89">
        <v>909205</v>
      </c>
      <c r="E239" s="89">
        <v>12028494</v>
      </c>
      <c r="F239" s="89">
        <v>2575547</v>
      </c>
      <c r="G239" s="89">
        <v>4220351</v>
      </c>
      <c r="H239" s="89">
        <f t="shared" si="7"/>
        <v>19733597</v>
      </c>
      <c r="I239" s="81"/>
      <c r="J239" s="89">
        <v>1813063</v>
      </c>
      <c r="K239" s="89">
        <v>11722565</v>
      </c>
      <c r="L239" s="89">
        <v>5851376</v>
      </c>
      <c r="M239" s="89">
        <v>7011609</v>
      </c>
      <c r="N239" s="89">
        <f t="shared" si="6"/>
        <v>26398613</v>
      </c>
    </row>
    <row r="240" spans="1:14">
      <c r="A240" s="86" t="s">
        <v>346</v>
      </c>
      <c r="B240" s="87" t="s">
        <v>116</v>
      </c>
      <c r="C240" s="88" t="s">
        <v>256</v>
      </c>
      <c r="D240" s="89">
        <v>5821306</v>
      </c>
      <c r="E240" s="89">
        <v>3939088</v>
      </c>
      <c r="F240" s="89">
        <v>1029733</v>
      </c>
      <c r="G240" s="89">
        <v>1629704</v>
      </c>
      <c r="H240" s="89">
        <f t="shared" si="7"/>
        <v>12419831</v>
      </c>
      <c r="I240" s="81"/>
      <c r="J240" s="89">
        <v>7384136</v>
      </c>
      <c r="K240" s="89">
        <v>4491744</v>
      </c>
      <c r="L240" s="89">
        <v>468387</v>
      </c>
      <c r="M240" s="89">
        <v>1957990</v>
      </c>
      <c r="N240" s="89">
        <f t="shared" si="6"/>
        <v>14302257</v>
      </c>
    </row>
    <row r="241" spans="1:14">
      <c r="A241" s="86" t="s">
        <v>347</v>
      </c>
      <c r="B241" s="87" t="s">
        <v>647</v>
      </c>
      <c r="C241" s="88" t="s">
        <v>256</v>
      </c>
      <c r="D241" s="89">
        <v>10114972</v>
      </c>
      <c r="E241" s="89">
        <v>12822846</v>
      </c>
      <c r="F241" s="89">
        <v>2381652</v>
      </c>
      <c r="G241" s="89">
        <v>4354476</v>
      </c>
      <c r="H241" s="89">
        <f t="shared" si="7"/>
        <v>29673946</v>
      </c>
      <c r="I241" s="81"/>
      <c r="J241" s="89">
        <v>13684077</v>
      </c>
      <c r="K241" s="89">
        <v>13845252</v>
      </c>
      <c r="L241" s="89">
        <v>2091440</v>
      </c>
      <c r="M241" s="89">
        <v>4452995</v>
      </c>
      <c r="N241" s="89">
        <f t="shared" si="6"/>
        <v>34073764</v>
      </c>
    </row>
    <row r="242" spans="1:14">
      <c r="A242" s="86" t="s">
        <v>348</v>
      </c>
      <c r="B242" s="87" t="s">
        <v>648</v>
      </c>
      <c r="C242" s="88" t="s">
        <v>349</v>
      </c>
      <c r="D242" s="89">
        <v>12525824</v>
      </c>
      <c r="E242" s="89">
        <v>16430039</v>
      </c>
      <c r="F242" s="89">
        <v>4173518</v>
      </c>
      <c r="G242" s="89">
        <v>3950659</v>
      </c>
      <c r="H242" s="89">
        <f t="shared" si="7"/>
        <v>37080040</v>
      </c>
      <c r="I242" s="81"/>
      <c r="J242" s="89">
        <v>15300690</v>
      </c>
      <c r="K242" s="89">
        <v>17148073</v>
      </c>
      <c r="L242" s="89">
        <v>3712957</v>
      </c>
      <c r="M242" s="89">
        <v>8430387</v>
      </c>
      <c r="N242" s="89">
        <f t="shared" si="6"/>
        <v>44592107</v>
      </c>
    </row>
    <row r="243" spans="1:14">
      <c r="A243" s="86" t="s">
        <v>350</v>
      </c>
      <c r="B243" s="87" t="s">
        <v>649</v>
      </c>
      <c r="C243" s="88" t="s">
        <v>349</v>
      </c>
      <c r="D243" s="89">
        <v>11253626</v>
      </c>
      <c r="E243" s="89">
        <v>7430257</v>
      </c>
      <c r="F243" s="89">
        <v>3046742</v>
      </c>
      <c r="G243" s="89">
        <v>2468949</v>
      </c>
      <c r="H243" s="89">
        <f t="shared" si="7"/>
        <v>24199574</v>
      </c>
      <c r="I243" s="81"/>
      <c r="J243" s="89">
        <v>14737192</v>
      </c>
      <c r="K243" s="89">
        <v>7961110</v>
      </c>
      <c r="L243" s="89">
        <v>2608777</v>
      </c>
      <c r="M243" s="89">
        <v>7498586</v>
      </c>
      <c r="N243" s="89">
        <f t="shared" si="6"/>
        <v>32805665</v>
      </c>
    </row>
    <row r="244" spans="1:14">
      <c r="A244" s="86" t="s">
        <v>351</v>
      </c>
      <c r="B244" s="87" t="s">
        <v>650</v>
      </c>
      <c r="C244" s="88" t="s">
        <v>273</v>
      </c>
      <c r="D244" s="89">
        <v>103151441</v>
      </c>
      <c r="E244" s="89">
        <v>27748214</v>
      </c>
      <c r="F244" s="89">
        <v>29572646</v>
      </c>
      <c r="G244" s="89">
        <v>16333609</v>
      </c>
      <c r="H244" s="89">
        <f t="shared" si="7"/>
        <v>176805910</v>
      </c>
      <c r="I244" s="81"/>
      <c r="J244" s="89">
        <v>107208743</v>
      </c>
      <c r="K244" s="89">
        <v>28382938</v>
      </c>
      <c r="L244" s="89">
        <v>21535165</v>
      </c>
      <c r="M244" s="89">
        <v>26239508</v>
      </c>
      <c r="N244" s="89">
        <f t="shared" si="6"/>
        <v>183366354</v>
      </c>
    </row>
    <row r="245" spans="1:14">
      <c r="A245" s="86" t="s">
        <v>352</v>
      </c>
      <c r="B245" s="87" t="s">
        <v>651</v>
      </c>
      <c r="C245" s="88" t="s">
        <v>264</v>
      </c>
      <c r="D245" s="89">
        <v>1262127</v>
      </c>
      <c r="E245" s="89">
        <v>10923603</v>
      </c>
      <c r="F245" s="89">
        <v>3368451</v>
      </c>
      <c r="G245" s="89">
        <v>9125703</v>
      </c>
      <c r="H245" s="89">
        <f t="shared" si="7"/>
        <v>24679884</v>
      </c>
      <c r="I245" s="81"/>
      <c r="J245" s="89">
        <v>1588634</v>
      </c>
      <c r="K245" s="89">
        <v>11508900</v>
      </c>
      <c r="L245" s="89">
        <v>3906293</v>
      </c>
      <c r="M245" s="89">
        <v>11518525</v>
      </c>
      <c r="N245" s="89">
        <f t="shared" si="6"/>
        <v>28522352</v>
      </c>
    </row>
    <row r="246" spans="1:14">
      <c r="A246" s="86" t="s">
        <v>353</v>
      </c>
      <c r="B246" s="87" t="s">
        <v>652</v>
      </c>
      <c r="C246" s="88" t="s">
        <v>343</v>
      </c>
      <c r="D246" s="89">
        <v>32128560</v>
      </c>
      <c r="E246" s="89">
        <v>15536328</v>
      </c>
      <c r="F246" s="89">
        <v>25455188</v>
      </c>
      <c r="G246" s="89">
        <v>6921369</v>
      </c>
      <c r="H246" s="89">
        <f t="shared" si="7"/>
        <v>80041445</v>
      </c>
      <c r="I246" s="81"/>
      <c r="J246" s="89">
        <v>101829694</v>
      </c>
      <c r="K246" s="89">
        <v>57051082</v>
      </c>
      <c r="L246" s="89">
        <v>9971921</v>
      </c>
      <c r="M246" s="89">
        <v>6127690</v>
      </c>
      <c r="N246" s="89">
        <f t="shared" si="6"/>
        <v>174980387</v>
      </c>
    </row>
    <row r="247" spans="1:14">
      <c r="A247" s="86" t="s">
        <v>354</v>
      </c>
      <c r="B247" s="87" t="s">
        <v>653</v>
      </c>
      <c r="C247" s="88" t="s">
        <v>343</v>
      </c>
      <c r="D247" s="89">
        <v>35555245</v>
      </c>
      <c r="E247" s="89">
        <v>19118706</v>
      </c>
      <c r="F247" s="89">
        <v>9446375</v>
      </c>
      <c r="G247" s="89">
        <v>12479564</v>
      </c>
      <c r="H247" s="89">
        <f t="shared" si="7"/>
        <v>76599890</v>
      </c>
      <c r="I247" s="81"/>
      <c r="J247" s="89">
        <v>41926125</v>
      </c>
      <c r="K247" s="89">
        <v>29273363</v>
      </c>
      <c r="L247" s="89">
        <v>15979795</v>
      </c>
      <c r="M247" s="89">
        <v>18832759</v>
      </c>
      <c r="N247" s="89">
        <f t="shared" si="6"/>
        <v>106012042</v>
      </c>
    </row>
    <row r="248" spans="1:14">
      <c r="A248" s="86" t="s">
        <v>355</v>
      </c>
      <c r="B248" s="87" t="s">
        <v>654</v>
      </c>
      <c r="C248" s="88" t="s">
        <v>343</v>
      </c>
      <c r="D248" s="89">
        <v>4286474</v>
      </c>
      <c r="E248" s="89">
        <v>4553180</v>
      </c>
      <c r="F248" s="89">
        <v>1835901</v>
      </c>
      <c r="G248" s="89">
        <v>4139164</v>
      </c>
      <c r="H248" s="89">
        <f t="shared" si="7"/>
        <v>14814719</v>
      </c>
      <c r="I248" s="81"/>
      <c r="J248" s="89">
        <v>6065433</v>
      </c>
      <c r="K248" s="89">
        <v>7422379</v>
      </c>
      <c r="L248" s="89">
        <v>7602026</v>
      </c>
      <c r="M248" s="89">
        <v>6340286</v>
      </c>
      <c r="N248" s="89">
        <f t="shared" si="6"/>
        <v>27430124</v>
      </c>
    </row>
    <row r="249" spans="1:14">
      <c r="A249" s="86" t="s">
        <v>356</v>
      </c>
      <c r="B249" s="87" t="s">
        <v>655</v>
      </c>
      <c r="C249" s="88" t="s">
        <v>301</v>
      </c>
      <c r="D249" s="89">
        <v>4626930</v>
      </c>
      <c r="E249" s="89">
        <v>12237638</v>
      </c>
      <c r="F249" s="89">
        <v>1226126</v>
      </c>
      <c r="G249" s="89">
        <v>4696456</v>
      </c>
      <c r="H249" s="89">
        <f t="shared" si="7"/>
        <v>22787150</v>
      </c>
      <c r="I249" s="81"/>
      <c r="J249" s="89">
        <v>5562545</v>
      </c>
      <c r="K249" s="89">
        <v>12645704</v>
      </c>
      <c r="L249" s="89">
        <v>1338938</v>
      </c>
      <c r="M249" s="89">
        <v>6684374</v>
      </c>
      <c r="N249" s="89">
        <f t="shared" si="6"/>
        <v>26231561</v>
      </c>
    </row>
    <row r="250" spans="1:14">
      <c r="A250" s="86" t="s">
        <v>357</v>
      </c>
      <c r="B250" s="87" t="s">
        <v>656</v>
      </c>
      <c r="C250" s="88" t="s">
        <v>45</v>
      </c>
      <c r="D250" s="89">
        <v>585330</v>
      </c>
      <c r="E250" s="89">
        <v>22522787</v>
      </c>
      <c r="F250" s="89">
        <v>935425</v>
      </c>
      <c r="G250" s="89">
        <v>3701252</v>
      </c>
      <c r="H250" s="89">
        <f t="shared" si="7"/>
        <v>27744794</v>
      </c>
      <c r="I250" s="81"/>
      <c r="J250" s="89">
        <v>640384</v>
      </c>
      <c r="K250" s="89">
        <v>25288233</v>
      </c>
      <c r="L250" s="89">
        <v>1228258</v>
      </c>
      <c r="M250" s="89">
        <v>3180910</v>
      </c>
      <c r="N250" s="89">
        <f t="shared" si="6"/>
        <v>30337785</v>
      </c>
    </row>
    <row r="251" spans="1:14">
      <c r="A251" s="86" t="s">
        <v>358</v>
      </c>
      <c r="B251" s="87" t="s">
        <v>657</v>
      </c>
      <c r="C251" s="88" t="s">
        <v>219</v>
      </c>
      <c r="D251" s="89">
        <v>29054731</v>
      </c>
      <c r="E251" s="89">
        <v>76783020</v>
      </c>
      <c r="F251" s="89">
        <v>11529857</v>
      </c>
      <c r="G251" s="89">
        <v>37094813</v>
      </c>
      <c r="H251" s="89">
        <f t="shared" si="7"/>
        <v>154462421</v>
      </c>
      <c r="I251" s="81"/>
      <c r="J251" s="89">
        <v>43060531</v>
      </c>
      <c r="K251" s="89">
        <v>94170483</v>
      </c>
      <c r="L251" s="89">
        <v>7197582</v>
      </c>
      <c r="M251" s="89">
        <v>26901078</v>
      </c>
      <c r="N251" s="89">
        <f t="shared" si="6"/>
        <v>171329674</v>
      </c>
    </row>
    <row r="252" spans="1:14">
      <c r="A252" s="86" t="s">
        <v>359</v>
      </c>
      <c r="B252" s="87" t="s">
        <v>360</v>
      </c>
      <c r="C252" s="88" t="s">
        <v>349</v>
      </c>
      <c r="D252" s="89">
        <v>0</v>
      </c>
      <c r="E252" s="89">
        <v>6539539</v>
      </c>
      <c r="F252" s="89">
        <v>319922</v>
      </c>
      <c r="G252" s="89">
        <v>1257288</v>
      </c>
      <c r="H252" s="89">
        <f t="shared" si="7"/>
        <v>8116749</v>
      </c>
      <c r="I252" s="81"/>
      <c r="J252" s="89">
        <v>0</v>
      </c>
      <c r="K252" s="89">
        <v>6187646</v>
      </c>
      <c r="L252" s="89">
        <v>318618</v>
      </c>
      <c r="M252" s="89">
        <v>6469320</v>
      </c>
      <c r="N252" s="89">
        <f t="shared" si="6"/>
        <v>12975584</v>
      </c>
    </row>
    <row r="253" spans="1:14">
      <c r="A253" s="86" t="s">
        <v>361</v>
      </c>
      <c r="B253" s="87" t="s">
        <v>658</v>
      </c>
      <c r="C253" s="88" t="s">
        <v>362</v>
      </c>
      <c r="D253" s="89">
        <v>5177149</v>
      </c>
      <c r="E253" s="89">
        <v>17337455</v>
      </c>
      <c r="F253" s="89">
        <v>67334990</v>
      </c>
      <c r="G253" s="89">
        <v>5222074</v>
      </c>
      <c r="H253" s="89">
        <f t="shared" si="7"/>
        <v>95071668</v>
      </c>
      <c r="I253" s="81"/>
      <c r="J253" s="89">
        <v>5474995</v>
      </c>
      <c r="K253" s="89">
        <v>13026439</v>
      </c>
      <c r="L253" s="89">
        <v>82050399</v>
      </c>
      <c r="M253" s="89">
        <v>4893451</v>
      </c>
      <c r="N253" s="89">
        <f t="shared" si="6"/>
        <v>105445284</v>
      </c>
    </row>
    <row r="254" spans="1:14">
      <c r="A254" s="86" t="s">
        <v>363</v>
      </c>
      <c r="B254" s="87" t="s">
        <v>45</v>
      </c>
      <c r="C254" s="88" t="s">
        <v>45</v>
      </c>
      <c r="D254" s="89">
        <v>142176916</v>
      </c>
      <c r="E254" s="89">
        <v>1859900</v>
      </c>
      <c r="F254" s="89">
        <v>13711642</v>
      </c>
      <c r="G254" s="89">
        <v>9491170</v>
      </c>
      <c r="H254" s="89">
        <f t="shared" si="7"/>
        <v>167239628</v>
      </c>
      <c r="I254" s="81"/>
      <c r="J254" s="89">
        <v>175245767</v>
      </c>
      <c r="K254" s="89">
        <v>2094221</v>
      </c>
      <c r="L254" s="89">
        <v>7740821</v>
      </c>
      <c r="M254" s="89">
        <v>7692116</v>
      </c>
      <c r="N254" s="89">
        <f t="shared" si="6"/>
        <v>192772925</v>
      </c>
    </row>
    <row r="255" spans="1:14">
      <c r="A255" s="86" t="s">
        <v>364</v>
      </c>
      <c r="B255" s="87" t="s">
        <v>659</v>
      </c>
      <c r="C255" s="88" t="s">
        <v>325</v>
      </c>
      <c r="D255" s="89">
        <v>3310867</v>
      </c>
      <c r="E255" s="89">
        <v>5639310</v>
      </c>
      <c r="F255" s="89">
        <v>503095</v>
      </c>
      <c r="G255" s="89">
        <v>1302121</v>
      </c>
      <c r="H255" s="89">
        <f t="shared" si="7"/>
        <v>10755393</v>
      </c>
      <c r="I255" s="81"/>
      <c r="J255" s="89">
        <v>3804182</v>
      </c>
      <c r="K255" s="89">
        <v>5890481</v>
      </c>
      <c r="L255" s="89">
        <v>337908</v>
      </c>
      <c r="M255" s="89">
        <v>1117278</v>
      </c>
      <c r="N255" s="89">
        <f t="shared" si="6"/>
        <v>11149849</v>
      </c>
    </row>
    <row r="256" spans="1:14">
      <c r="A256" s="86" t="s">
        <v>365</v>
      </c>
      <c r="B256" s="90" t="s">
        <v>660</v>
      </c>
      <c r="C256" s="88" t="s">
        <v>30</v>
      </c>
      <c r="D256" s="89">
        <v>475459</v>
      </c>
      <c r="E256" s="89">
        <v>7081365</v>
      </c>
      <c r="F256" s="89">
        <v>196205</v>
      </c>
      <c r="G256" s="89">
        <v>1643605</v>
      </c>
      <c r="H256" s="89">
        <f t="shared" si="7"/>
        <v>9396634</v>
      </c>
      <c r="I256" s="81"/>
      <c r="J256" s="92" t="s">
        <v>21</v>
      </c>
      <c r="K256" s="92" t="s">
        <v>21</v>
      </c>
      <c r="L256" s="92" t="s">
        <v>21</v>
      </c>
      <c r="M256" s="92" t="s">
        <v>21</v>
      </c>
      <c r="N256" s="92" t="s">
        <v>21</v>
      </c>
    </row>
    <row r="257" spans="1:14">
      <c r="A257" s="86" t="s">
        <v>366</v>
      </c>
      <c r="B257" s="87" t="s">
        <v>661</v>
      </c>
      <c r="C257" s="88" t="s">
        <v>325</v>
      </c>
      <c r="D257" s="89">
        <v>1917001</v>
      </c>
      <c r="E257" s="89">
        <v>6427106</v>
      </c>
      <c r="F257" s="89">
        <v>1849101</v>
      </c>
      <c r="G257" s="89">
        <v>4165133</v>
      </c>
      <c r="H257" s="89">
        <f t="shared" si="7"/>
        <v>14358341</v>
      </c>
      <c r="I257" s="81"/>
      <c r="J257" s="89">
        <v>2110918</v>
      </c>
      <c r="K257" s="89">
        <v>6488762</v>
      </c>
      <c r="L257" s="89">
        <v>776734</v>
      </c>
      <c r="M257" s="89">
        <v>5301145</v>
      </c>
      <c r="N257" s="89">
        <f t="shared" si="6"/>
        <v>14677559</v>
      </c>
    </row>
    <row r="258" spans="1:14">
      <c r="A258" s="86" t="s">
        <v>367</v>
      </c>
      <c r="B258" s="87" t="s">
        <v>662</v>
      </c>
      <c r="C258" s="88" t="s">
        <v>245</v>
      </c>
      <c r="D258" s="89">
        <v>120617527</v>
      </c>
      <c r="E258" s="89">
        <v>59852882</v>
      </c>
      <c r="F258" s="89">
        <v>93643007</v>
      </c>
      <c r="G258" s="89">
        <v>19684889</v>
      </c>
      <c r="H258" s="89">
        <f t="shared" si="7"/>
        <v>293798305</v>
      </c>
      <c r="I258" s="81"/>
      <c r="J258" s="89">
        <v>139283065</v>
      </c>
      <c r="K258" s="89">
        <v>63468746</v>
      </c>
      <c r="L258" s="89">
        <v>88163622</v>
      </c>
      <c r="M258" s="89">
        <v>24478388</v>
      </c>
      <c r="N258" s="89">
        <f t="shared" si="6"/>
        <v>315393821</v>
      </c>
    </row>
    <row r="259" spans="1:14">
      <c r="A259" s="86" t="s">
        <v>368</v>
      </c>
      <c r="B259" s="87" t="s">
        <v>663</v>
      </c>
      <c r="C259" s="88" t="s">
        <v>45</v>
      </c>
      <c r="D259" s="89">
        <v>25432770</v>
      </c>
      <c r="E259" s="89">
        <v>56563187</v>
      </c>
      <c r="F259" s="89">
        <v>2937222</v>
      </c>
      <c r="G259" s="89">
        <v>6809493</v>
      </c>
      <c r="H259" s="89">
        <f t="shared" si="7"/>
        <v>91742672</v>
      </c>
      <c r="I259" s="81"/>
      <c r="J259" s="89">
        <v>44699036</v>
      </c>
      <c r="K259" s="89">
        <v>72314579</v>
      </c>
      <c r="L259" s="89">
        <v>3643078</v>
      </c>
      <c r="M259" s="89">
        <v>6083457</v>
      </c>
      <c r="N259" s="89">
        <f t="shared" si="6"/>
        <v>126740150</v>
      </c>
    </row>
    <row r="260" spans="1:14">
      <c r="A260" s="86" t="s">
        <v>369</v>
      </c>
      <c r="B260" s="87" t="s">
        <v>664</v>
      </c>
      <c r="C260" s="88" t="s">
        <v>273</v>
      </c>
      <c r="D260" s="89">
        <v>3032299</v>
      </c>
      <c r="E260" s="89">
        <v>8222307</v>
      </c>
      <c r="F260" s="89">
        <v>1663531</v>
      </c>
      <c r="G260" s="89">
        <v>4885332</v>
      </c>
      <c r="H260" s="89">
        <f t="shared" si="7"/>
        <v>17803469</v>
      </c>
      <c r="I260" s="81"/>
      <c r="J260" s="89">
        <v>3371302</v>
      </c>
      <c r="K260" s="89">
        <v>6685043</v>
      </c>
      <c r="L260" s="89">
        <v>11242809</v>
      </c>
      <c r="M260" s="89">
        <v>6970604</v>
      </c>
      <c r="N260" s="89">
        <f t="shared" si="6"/>
        <v>28269758</v>
      </c>
    </row>
    <row r="261" spans="1:14">
      <c r="A261" s="86" t="s">
        <v>370</v>
      </c>
      <c r="B261" s="87" t="s">
        <v>665</v>
      </c>
      <c r="C261" s="88" t="s">
        <v>256</v>
      </c>
      <c r="D261" s="89">
        <v>17133891</v>
      </c>
      <c r="E261" s="89">
        <v>6716208</v>
      </c>
      <c r="F261" s="89">
        <v>6045179</v>
      </c>
      <c r="G261" s="89">
        <v>3864174</v>
      </c>
      <c r="H261" s="89">
        <f t="shared" si="7"/>
        <v>33759452</v>
      </c>
      <c r="I261" s="81"/>
      <c r="J261" s="89">
        <v>21006820</v>
      </c>
      <c r="K261" s="89">
        <v>7313556</v>
      </c>
      <c r="L261" s="89">
        <v>3386118</v>
      </c>
      <c r="M261" s="89">
        <v>3993872</v>
      </c>
      <c r="N261" s="89">
        <f t="shared" ref="N261:N309" si="8">SUM(J261:M261)</f>
        <v>35700366</v>
      </c>
    </row>
    <row r="262" spans="1:14">
      <c r="A262" s="86" t="s">
        <v>371</v>
      </c>
      <c r="B262" s="87" t="s">
        <v>666</v>
      </c>
      <c r="C262" s="88" t="s">
        <v>282</v>
      </c>
      <c r="D262" s="89">
        <v>6331483</v>
      </c>
      <c r="E262" s="89">
        <v>6774800</v>
      </c>
      <c r="F262" s="89">
        <v>6218190</v>
      </c>
      <c r="G262" s="89">
        <v>2939884</v>
      </c>
      <c r="H262" s="89">
        <f t="shared" si="7"/>
        <v>22264357</v>
      </c>
      <c r="I262" s="81"/>
      <c r="J262" s="89">
        <v>8605831</v>
      </c>
      <c r="K262" s="89">
        <v>7398352</v>
      </c>
      <c r="L262" s="89">
        <v>10238652</v>
      </c>
      <c r="M262" s="89">
        <v>8624567</v>
      </c>
      <c r="N262" s="89">
        <f t="shared" si="8"/>
        <v>34867402</v>
      </c>
    </row>
    <row r="263" spans="1:14">
      <c r="A263" s="86" t="s">
        <v>372</v>
      </c>
      <c r="B263" s="87" t="s">
        <v>667</v>
      </c>
      <c r="C263" s="88" t="s">
        <v>373</v>
      </c>
      <c r="D263" s="89">
        <v>1894627</v>
      </c>
      <c r="E263" s="89">
        <v>7179822</v>
      </c>
      <c r="F263" s="89">
        <v>871310</v>
      </c>
      <c r="G263" s="89">
        <v>2855456</v>
      </c>
      <c r="H263" s="89">
        <f t="shared" si="7"/>
        <v>12801215</v>
      </c>
      <c r="I263" s="81"/>
      <c r="J263" s="89">
        <v>2030697</v>
      </c>
      <c r="K263" s="89">
        <v>6156883</v>
      </c>
      <c r="L263" s="89">
        <v>1306942</v>
      </c>
      <c r="M263" s="89">
        <v>2235276</v>
      </c>
      <c r="N263" s="89">
        <f t="shared" si="8"/>
        <v>11729798</v>
      </c>
    </row>
    <row r="264" spans="1:14">
      <c r="A264" s="86" t="s">
        <v>374</v>
      </c>
      <c r="B264" s="87" t="s">
        <v>668</v>
      </c>
      <c r="C264" s="88" t="s">
        <v>373</v>
      </c>
      <c r="D264" s="89">
        <v>2275989</v>
      </c>
      <c r="E264" s="89">
        <v>6925339</v>
      </c>
      <c r="F264" s="89">
        <v>584239</v>
      </c>
      <c r="G264" s="89">
        <v>3349068</v>
      </c>
      <c r="H264" s="89">
        <f t="shared" si="7"/>
        <v>13134635</v>
      </c>
      <c r="I264" s="81"/>
      <c r="J264" s="89">
        <v>2638925</v>
      </c>
      <c r="K264" s="89">
        <v>7886411</v>
      </c>
      <c r="L264" s="89">
        <v>919048</v>
      </c>
      <c r="M264" s="89">
        <v>4116266</v>
      </c>
      <c r="N264" s="89">
        <f t="shared" si="8"/>
        <v>15560650</v>
      </c>
    </row>
    <row r="265" spans="1:14">
      <c r="A265" s="86" t="s">
        <v>375</v>
      </c>
      <c r="B265" s="87" t="s">
        <v>669</v>
      </c>
      <c r="C265" s="88" t="s">
        <v>45</v>
      </c>
      <c r="D265" s="89">
        <v>22956898</v>
      </c>
      <c r="E265" s="89">
        <v>34252108</v>
      </c>
      <c r="F265" s="89">
        <v>2965818</v>
      </c>
      <c r="G265" s="89">
        <v>8050406</v>
      </c>
      <c r="H265" s="89">
        <f t="shared" si="7"/>
        <v>68225230</v>
      </c>
      <c r="I265" s="81"/>
      <c r="J265" s="89">
        <v>33941560</v>
      </c>
      <c r="K265" s="89">
        <v>44780446</v>
      </c>
      <c r="L265" s="89">
        <v>3047473</v>
      </c>
      <c r="M265" s="89">
        <v>8262539</v>
      </c>
      <c r="N265" s="89">
        <f t="shared" si="8"/>
        <v>90032018</v>
      </c>
    </row>
    <row r="266" spans="1:14">
      <c r="A266" s="86" t="s">
        <v>376</v>
      </c>
      <c r="B266" s="87" t="s">
        <v>670</v>
      </c>
      <c r="C266" s="88" t="s">
        <v>373</v>
      </c>
      <c r="D266" s="89">
        <v>46686103</v>
      </c>
      <c r="E266" s="89">
        <v>19142753</v>
      </c>
      <c r="F266" s="89">
        <v>15173700</v>
      </c>
      <c r="G266" s="89">
        <v>6533772</v>
      </c>
      <c r="H266" s="89">
        <f t="shared" ref="H266:H309" si="9">SUM(D266:G266)</f>
        <v>87536328</v>
      </c>
      <c r="I266" s="81"/>
      <c r="J266" s="89">
        <v>56551912</v>
      </c>
      <c r="K266" s="89">
        <v>19472600</v>
      </c>
      <c r="L266" s="89">
        <v>13785222</v>
      </c>
      <c r="M266" s="89">
        <v>7729249</v>
      </c>
      <c r="N266" s="89">
        <f t="shared" si="8"/>
        <v>97538983</v>
      </c>
    </row>
    <row r="267" spans="1:14">
      <c r="A267" s="86" t="s">
        <v>377</v>
      </c>
      <c r="B267" s="87" t="s">
        <v>671</v>
      </c>
      <c r="C267" s="88" t="s">
        <v>378</v>
      </c>
      <c r="D267" s="89">
        <v>15191680</v>
      </c>
      <c r="E267" s="89">
        <v>27720281</v>
      </c>
      <c r="F267" s="89">
        <v>6741298</v>
      </c>
      <c r="G267" s="89">
        <v>15489987</v>
      </c>
      <c r="H267" s="89">
        <f t="shared" si="9"/>
        <v>65143246</v>
      </c>
      <c r="I267" s="81"/>
      <c r="J267" s="89">
        <v>16286513</v>
      </c>
      <c r="K267" s="89">
        <v>21876977</v>
      </c>
      <c r="L267" s="89">
        <v>16834855</v>
      </c>
      <c r="M267" s="89">
        <v>22191559</v>
      </c>
      <c r="N267" s="89">
        <f t="shared" si="8"/>
        <v>77189904</v>
      </c>
    </row>
    <row r="268" spans="1:14">
      <c r="A268" s="86" t="s">
        <v>379</v>
      </c>
      <c r="B268" s="87" t="s">
        <v>672</v>
      </c>
      <c r="C268" s="88" t="s">
        <v>380</v>
      </c>
      <c r="D268" s="89">
        <v>4590165</v>
      </c>
      <c r="E268" s="89">
        <v>23452553</v>
      </c>
      <c r="F268" s="89">
        <v>2929209</v>
      </c>
      <c r="G268" s="89">
        <v>2933956</v>
      </c>
      <c r="H268" s="89">
        <f t="shared" si="9"/>
        <v>33905883</v>
      </c>
      <c r="I268" s="81"/>
      <c r="J268" s="89">
        <v>4966566</v>
      </c>
      <c r="K268" s="89">
        <v>17200458</v>
      </c>
      <c r="L268" s="89">
        <v>3275614</v>
      </c>
      <c r="M268" s="89">
        <v>2567109</v>
      </c>
      <c r="N268" s="89">
        <f t="shared" si="8"/>
        <v>28009747</v>
      </c>
    </row>
    <row r="269" spans="1:14">
      <c r="A269" s="86" t="s">
        <v>381</v>
      </c>
      <c r="B269" s="87" t="s">
        <v>673</v>
      </c>
      <c r="C269" s="88" t="s">
        <v>382</v>
      </c>
      <c r="D269" s="89">
        <v>0</v>
      </c>
      <c r="E269" s="89">
        <v>3791213</v>
      </c>
      <c r="F269" s="89">
        <v>1741734</v>
      </c>
      <c r="G269" s="89">
        <v>869774</v>
      </c>
      <c r="H269" s="89">
        <f t="shared" si="9"/>
        <v>6402721</v>
      </c>
      <c r="I269" s="81"/>
      <c r="J269" s="89">
        <v>0</v>
      </c>
      <c r="K269" s="89">
        <v>2681906</v>
      </c>
      <c r="L269" s="89">
        <v>3969634</v>
      </c>
      <c r="M269" s="89">
        <v>772095</v>
      </c>
      <c r="N269" s="89">
        <f t="shared" si="8"/>
        <v>7423635</v>
      </c>
    </row>
    <row r="270" spans="1:14">
      <c r="A270" s="86" t="s">
        <v>383</v>
      </c>
      <c r="B270" s="87" t="s">
        <v>674</v>
      </c>
      <c r="C270" s="88" t="s">
        <v>45</v>
      </c>
      <c r="D270" s="89">
        <v>52111650</v>
      </c>
      <c r="E270" s="89">
        <v>20336383</v>
      </c>
      <c r="F270" s="89">
        <v>3757335</v>
      </c>
      <c r="G270" s="89">
        <v>4106617</v>
      </c>
      <c r="H270" s="89">
        <f t="shared" si="9"/>
        <v>80311985</v>
      </c>
      <c r="I270" s="81"/>
      <c r="J270" s="89">
        <v>81475159</v>
      </c>
      <c r="K270" s="89">
        <v>22986945</v>
      </c>
      <c r="L270" s="89">
        <v>4002777</v>
      </c>
      <c r="M270" s="89">
        <v>3483857</v>
      </c>
      <c r="N270" s="89">
        <f t="shared" si="8"/>
        <v>111948738</v>
      </c>
    </row>
    <row r="271" spans="1:14">
      <c r="A271" s="86" t="s">
        <v>384</v>
      </c>
      <c r="B271" s="87" t="s">
        <v>675</v>
      </c>
      <c r="C271" s="88" t="s">
        <v>373</v>
      </c>
      <c r="D271" s="89">
        <v>36796248</v>
      </c>
      <c r="E271" s="89">
        <v>18458512</v>
      </c>
      <c r="F271" s="89">
        <v>8910636</v>
      </c>
      <c r="G271" s="89">
        <v>8424216</v>
      </c>
      <c r="H271" s="89">
        <f t="shared" si="9"/>
        <v>72589612</v>
      </c>
      <c r="I271" s="81"/>
      <c r="J271" s="89">
        <v>42381285</v>
      </c>
      <c r="K271" s="89">
        <v>20000422</v>
      </c>
      <c r="L271" s="89">
        <v>8974549</v>
      </c>
      <c r="M271" s="89">
        <v>8271609</v>
      </c>
      <c r="N271" s="89">
        <f t="shared" si="8"/>
        <v>79627865</v>
      </c>
    </row>
    <row r="272" spans="1:14">
      <c r="A272" s="86" t="s">
        <v>385</v>
      </c>
      <c r="B272" s="87" t="s">
        <v>676</v>
      </c>
      <c r="C272" s="88" t="s">
        <v>373</v>
      </c>
      <c r="D272" s="89">
        <v>486089</v>
      </c>
      <c r="E272" s="89">
        <v>3395645</v>
      </c>
      <c r="F272" s="89">
        <v>708968</v>
      </c>
      <c r="G272" s="89">
        <v>1352358</v>
      </c>
      <c r="H272" s="89">
        <f t="shared" si="9"/>
        <v>5943060</v>
      </c>
      <c r="I272" s="81"/>
      <c r="J272" s="89">
        <v>498970</v>
      </c>
      <c r="K272" s="89">
        <v>2645977</v>
      </c>
      <c r="L272" s="89">
        <v>1158155</v>
      </c>
      <c r="M272" s="89">
        <v>1650326</v>
      </c>
      <c r="N272" s="89">
        <f t="shared" si="8"/>
        <v>5953428</v>
      </c>
    </row>
    <row r="273" spans="1:14">
      <c r="A273" s="86" t="s">
        <v>386</v>
      </c>
      <c r="B273" s="87" t="s">
        <v>677</v>
      </c>
      <c r="C273" s="88" t="s">
        <v>290</v>
      </c>
      <c r="D273" s="89">
        <v>5517776</v>
      </c>
      <c r="E273" s="89">
        <v>28800717</v>
      </c>
      <c r="F273" s="89">
        <v>2530748</v>
      </c>
      <c r="G273" s="89">
        <v>11184282</v>
      </c>
      <c r="H273" s="89">
        <f t="shared" si="9"/>
        <v>48033523</v>
      </c>
      <c r="I273" s="81"/>
      <c r="J273" s="89">
        <v>9408527</v>
      </c>
      <c r="K273" s="89">
        <v>36672513</v>
      </c>
      <c r="L273" s="89">
        <v>2272944</v>
      </c>
      <c r="M273" s="89">
        <v>11800400</v>
      </c>
      <c r="N273" s="89">
        <f t="shared" si="8"/>
        <v>60154384</v>
      </c>
    </row>
    <row r="274" spans="1:14">
      <c r="A274" s="86" t="s">
        <v>387</v>
      </c>
      <c r="B274" s="87" t="s">
        <v>678</v>
      </c>
      <c r="C274" s="88" t="s">
        <v>328</v>
      </c>
      <c r="D274" s="89">
        <v>1082837</v>
      </c>
      <c r="E274" s="89">
        <v>4523526</v>
      </c>
      <c r="F274" s="89">
        <v>6361886</v>
      </c>
      <c r="G274" s="89">
        <v>3506952</v>
      </c>
      <c r="H274" s="89">
        <f t="shared" si="9"/>
        <v>15475201</v>
      </c>
      <c r="I274" s="81"/>
      <c r="J274" s="89">
        <v>1530510</v>
      </c>
      <c r="K274" s="89">
        <v>3966547</v>
      </c>
      <c r="L274" s="89">
        <v>8205337</v>
      </c>
      <c r="M274" s="89">
        <v>6619163</v>
      </c>
      <c r="N274" s="89">
        <f t="shared" si="8"/>
        <v>20321557</v>
      </c>
    </row>
    <row r="275" spans="1:14">
      <c r="A275" s="86" t="s">
        <v>388</v>
      </c>
      <c r="B275" s="87" t="s">
        <v>679</v>
      </c>
      <c r="C275" s="88" t="s">
        <v>389</v>
      </c>
      <c r="D275" s="89">
        <v>75965162</v>
      </c>
      <c r="E275" s="89">
        <v>13494640</v>
      </c>
      <c r="F275" s="89">
        <v>12926215</v>
      </c>
      <c r="G275" s="89">
        <v>11471604</v>
      </c>
      <c r="H275" s="89">
        <f t="shared" si="9"/>
        <v>113857621</v>
      </c>
      <c r="I275" s="81"/>
      <c r="J275" s="89">
        <v>161042300</v>
      </c>
      <c r="K275" s="89">
        <v>19881726</v>
      </c>
      <c r="L275" s="89">
        <v>8763476</v>
      </c>
      <c r="M275" s="89">
        <v>11155763</v>
      </c>
      <c r="N275" s="89">
        <f t="shared" si="8"/>
        <v>200843265</v>
      </c>
    </row>
    <row r="276" spans="1:14">
      <c r="A276" s="86" t="s">
        <v>390</v>
      </c>
      <c r="B276" s="87" t="s">
        <v>680</v>
      </c>
      <c r="C276" s="88" t="s">
        <v>16</v>
      </c>
      <c r="D276" s="89">
        <v>1215025</v>
      </c>
      <c r="E276" s="89">
        <v>7796616</v>
      </c>
      <c r="F276" s="89">
        <v>931404</v>
      </c>
      <c r="G276" s="89">
        <v>1503478</v>
      </c>
      <c r="H276" s="89">
        <f t="shared" si="9"/>
        <v>11446523</v>
      </c>
      <c r="I276" s="81"/>
      <c r="J276" s="89">
        <v>1283669</v>
      </c>
      <c r="K276" s="89">
        <v>5807077</v>
      </c>
      <c r="L276" s="89">
        <v>3061114</v>
      </c>
      <c r="M276" s="89">
        <v>1803810</v>
      </c>
      <c r="N276" s="89">
        <f t="shared" si="8"/>
        <v>11955670</v>
      </c>
    </row>
    <row r="277" spans="1:14">
      <c r="A277" s="86" t="s">
        <v>391</v>
      </c>
      <c r="B277" s="87" t="s">
        <v>681</v>
      </c>
      <c r="C277" s="88" t="s">
        <v>16</v>
      </c>
      <c r="D277" s="89">
        <v>808320</v>
      </c>
      <c r="E277" s="89">
        <v>11618914</v>
      </c>
      <c r="F277" s="89">
        <v>1465990</v>
      </c>
      <c r="G277" s="89">
        <v>1878079</v>
      </c>
      <c r="H277" s="89">
        <f t="shared" si="9"/>
        <v>15771303</v>
      </c>
      <c r="I277" s="81"/>
      <c r="J277" s="89">
        <v>889237</v>
      </c>
      <c r="K277" s="89">
        <v>10527540</v>
      </c>
      <c r="L277" s="89">
        <v>2483009</v>
      </c>
      <c r="M277" s="89">
        <v>2275216</v>
      </c>
      <c r="N277" s="89">
        <f t="shared" si="8"/>
        <v>16175002</v>
      </c>
    </row>
    <row r="278" spans="1:14">
      <c r="A278" s="86" t="s">
        <v>392</v>
      </c>
      <c r="B278" s="87" t="s">
        <v>682</v>
      </c>
      <c r="C278" s="88" t="s">
        <v>249</v>
      </c>
      <c r="D278" s="89">
        <v>1120412</v>
      </c>
      <c r="E278" s="89">
        <v>7228202</v>
      </c>
      <c r="F278" s="89">
        <v>686525</v>
      </c>
      <c r="G278" s="89">
        <v>5548571</v>
      </c>
      <c r="H278" s="89">
        <f t="shared" si="9"/>
        <v>14583710</v>
      </c>
      <c r="I278" s="81"/>
      <c r="J278" s="89">
        <v>1444975</v>
      </c>
      <c r="K278" s="89">
        <v>6407220</v>
      </c>
      <c r="L278" s="89">
        <v>919359</v>
      </c>
      <c r="M278" s="89">
        <v>4328967</v>
      </c>
      <c r="N278" s="89">
        <f t="shared" si="8"/>
        <v>13100521</v>
      </c>
    </row>
    <row r="279" spans="1:14">
      <c r="A279" s="86" t="s">
        <v>393</v>
      </c>
      <c r="B279" s="87" t="s">
        <v>683</v>
      </c>
      <c r="C279" s="88" t="s">
        <v>394</v>
      </c>
      <c r="D279" s="89">
        <v>73560556</v>
      </c>
      <c r="E279" s="89">
        <v>20108132</v>
      </c>
      <c r="F279" s="89">
        <v>46038101</v>
      </c>
      <c r="G279" s="89">
        <v>12161834</v>
      </c>
      <c r="H279" s="89">
        <f t="shared" si="9"/>
        <v>151868623</v>
      </c>
      <c r="I279" s="81"/>
      <c r="J279" s="89">
        <v>91233891</v>
      </c>
      <c r="K279" s="89">
        <v>20798166</v>
      </c>
      <c r="L279" s="89">
        <v>52576374</v>
      </c>
      <c r="M279" s="89">
        <v>24249889</v>
      </c>
      <c r="N279" s="89">
        <f t="shared" si="8"/>
        <v>188858320</v>
      </c>
    </row>
    <row r="280" spans="1:14">
      <c r="A280" s="86" t="s">
        <v>395</v>
      </c>
      <c r="B280" s="87" t="s">
        <v>684</v>
      </c>
      <c r="C280" s="88" t="s">
        <v>290</v>
      </c>
      <c r="D280" s="89">
        <v>2490071</v>
      </c>
      <c r="E280" s="89">
        <v>11138474</v>
      </c>
      <c r="F280" s="89">
        <v>1035943</v>
      </c>
      <c r="G280" s="89">
        <v>4372426</v>
      </c>
      <c r="H280" s="89">
        <f t="shared" si="9"/>
        <v>19036914</v>
      </c>
      <c r="I280" s="81"/>
      <c r="J280" s="89">
        <v>4568813</v>
      </c>
      <c r="K280" s="89">
        <v>11561656</v>
      </c>
      <c r="L280" s="89">
        <v>1274749</v>
      </c>
      <c r="M280" s="89">
        <v>5722387</v>
      </c>
      <c r="N280" s="89">
        <f t="shared" si="8"/>
        <v>23127605</v>
      </c>
    </row>
    <row r="281" spans="1:14">
      <c r="A281" s="86" t="s">
        <v>396</v>
      </c>
      <c r="B281" s="87" t="s">
        <v>685</v>
      </c>
      <c r="C281" s="88" t="s">
        <v>382</v>
      </c>
      <c r="D281" s="89">
        <v>3499507</v>
      </c>
      <c r="E281" s="89">
        <v>10614598</v>
      </c>
      <c r="F281" s="89">
        <v>4578292</v>
      </c>
      <c r="G281" s="89">
        <v>2373578</v>
      </c>
      <c r="H281" s="89">
        <f t="shared" si="9"/>
        <v>21065975</v>
      </c>
      <c r="I281" s="81"/>
      <c r="J281" s="89">
        <v>3245811</v>
      </c>
      <c r="K281" s="89">
        <v>7457778</v>
      </c>
      <c r="L281" s="89">
        <v>20322296</v>
      </c>
      <c r="M281" s="89">
        <v>7655716</v>
      </c>
      <c r="N281" s="89">
        <f t="shared" si="8"/>
        <v>38681601</v>
      </c>
    </row>
    <row r="282" spans="1:14">
      <c r="A282" s="86" t="s">
        <v>397</v>
      </c>
      <c r="B282" s="87" t="s">
        <v>686</v>
      </c>
      <c r="C282" s="88" t="s">
        <v>394</v>
      </c>
      <c r="D282" s="89">
        <v>4126070</v>
      </c>
      <c r="E282" s="89">
        <v>16170095</v>
      </c>
      <c r="F282" s="89">
        <v>25002650</v>
      </c>
      <c r="G282" s="89">
        <v>12777375</v>
      </c>
      <c r="H282" s="89">
        <f t="shared" si="9"/>
        <v>58076190</v>
      </c>
      <c r="I282" s="81"/>
      <c r="J282" s="89">
        <v>4656909</v>
      </c>
      <c r="K282" s="89">
        <v>13904011</v>
      </c>
      <c r="L282" s="89">
        <v>44910510</v>
      </c>
      <c r="M282" s="89">
        <v>24906256</v>
      </c>
      <c r="N282" s="89">
        <f t="shared" si="8"/>
        <v>88377686</v>
      </c>
    </row>
    <row r="283" spans="1:14">
      <c r="A283" s="86" t="s">
        <v>398</v>
      </c>
      <c r="B283" s="87" t="s">
        <v>687</v>
      </c>
      <c r="C283" s="88" t="s">
        <v>282</v>
      </c>
      <c r="D283" s="89">
        <v>8294534</v>
      </c>
      <c r="E283" s="89">
        <v>15077613</v>
      </c>
      <c r="F283" s="89">
        <v>5300582</v>
      </c>
      <c r="G283" s="89">
        <v>4340968</v>
      </c>
      <c r="H283" s="89">
        <f t="shared" si="9"/>
        <v>33013697</v>
      </c>
      <c r="I283" s="81"/>
      <c r="J283" s="89">
        <v>9813933</v>
      </c>
      <c r="K283" s="89">
        <v>14809696</v>
      </c>
      <c r="L283" s="89">
        <v>15009634</v>
      </c>
      <c r="M283" s="89">
        <v>6918948</v>
      </c>
      <c r="N283" s="89">
        <f t="shared" si="8"/>
        <v>46552211</v>
      </c>
    </row>
    <row r="284" spans="1:14">
      <c r="A284" s="86" t="s">
        <v>399</v>
      </c>
      <c r="B284" s="87" t="s">
        <v>688</v>
      </c>
      <c r="C284" s="88" t="s">
        <v>34</v>
      </c>
      <c r="D284" s="89">
        <v>7864609</v>
      </c>
      <c r="E284" s="89">
        <v>295555</v>
      </c>
      <c r="F284" s="89">
        <v>4101141</v>
      </c>
      <c r="G284" s="89">
        <v>456483</v>
      </c>
      <c r="H284" s="89">
        <f t="shared" si="9"/>
        <v>12717788</v>
      </c>
      <c r="I284" s="81"/>
      <c r="J284" s="89">
        <v>8697729</v>
      </c>
      <c r="K284" s="89">
        <v>217416</v>
      </c>
      <c r="L284" s="89">
        <v>2879153</v>
      </c>
      <c r="M284" s="89">
        <v>489458</v>
      </c>
      <c r="N284" s="89">
        <f t="shared" si="8"/>
        <v>12283756</v>
      </c>
    </row>
    <row r="285" spans="1:14">
      <c r="A285" s="86" t="s">
        <v>400</v>
      </c>
      <c r="B285" s="87" t="s">
        <v>689</v>
      </c>
      <c r="C285" s="88" t="s">
        <v>290</v>
      </c>
      <c r="D285" s="89">
        <v>5956793</v>
      </c>
      <c r="E285" s="89">
        <v>4315008</v>
      </c>
      <c r="F285" s="89">
        <v>1277118</v>
      </c>
      <c r="G285" s="89">
        <v>3126616</v>
      </c>
      <c r="H285" s="89">
        <f t="shared" si="9"/>
        <v>14675535</v>
      </c>
      <c r="I285" s="81"/>
      <c r="J285" s="89">
        <v>9071752</v>
      </c>
      <c r="K285" s="89">
        <v>4630677</v>
      </c>
      <c r="L285" s="89">
        <v>1101069</v>
      </c>
      <c r="M285" s="89">
        <v>3662859</v>
      </c>
      <c r="N285" s="89">
        <f t="shared" si="8"/>
        <v>18466357</v>
      </c>
    </row>
    <row r="286" spans="1:14">
      <c r="A286" s="86" t="s">
        <v>401</v>
      </c>
      <c r="B286" s="87" t="s">
        <v>690</v>
      </c>
      <c r="C286" s="88" t="s">
        <v>247</v>
      </c>
      <c r="D286" s="89">
        <v>2514461</v>
      </c>
      <c r="E286" s="89">
        <v>10198385</v>
      </c>
      <c r="F286" s="89">
        <v>1399604</v>
      </c>
      <c r="G286" s="89">
        <v>2193501</v>
      </c>
      <c r="H286" s="89">
        <f t="shared" si="9"/>
        <v>16305951</v>
      </c>
      <c r="I286" s="81"/>
      <c r="J286" s="89">
        <v>3159623</v>
      </c>
      <c r="K286" s="89">
        <v>9537080</v>
      </c>
      <c r="L286" s="89">
        <v>1094951</v>
      </c>
      <c r="M286" s="89">
        <v>9207746</v>
      </c>
      <c r="N286" s="89">
        <f t="shared" si="8"/>
        <v>22999400</v>
      </c>
    </row>
    <row r="287" spans="1:14">
      <c r="A287" s="86" t="s">
        <v>402</v>
      </c>
      <c r="B287" s="87" t="s">
        <v>691</v>
      </c>
      <c r="C287" s="88" t="s">
        <v>284</v>
      </c>
      <c r="D287" s="89">
        <v>126969046</v>
      </c>
      <c r="E287" s="89">
        <v>23678440</v>
      </c>
      <c r="F287" s="89">
        <v>20759687</v>
      </c>
      <c r="G287" s="89">
        <v>13657915</v>
      </c>
      <c r="H287" s="89">
        <f t="shared" si="9"/>
        <v>185065088</v>
      </c>
      <c r="I287" s="81"/>
      <c r="J287" s="89">
        <v>164869106</v>
      </c>
      <c r="K287" s="89">
        <v>31525169</v>
      </c>
      <c r="L287" s="89">
        <v>31970532</v>
      </c>
      <c r="M287" s="89">
        <v>13505482</v>
      </c>
      <c r="N287" s="89">
        <f t="shared" si="8"/>
        <v>241870289</v>
      </c>
    </row>
    <row r="288" spans="1:14">
      <c r="A288" s="86" t="s">
        <v>403</v>
      </c>
      <c r="B288" s="87" t="s">
        <v>692</v>
      </c>
      <c r="C288" s="88" t="s">
        <v>42</v>
      </c>
      <c r="D288" s="89">
        <v>46140814</v>
      </c>
      <c r="E288" s="89">
        <v>24162413</v>
      </c>
      <c r="F288" s="89">
        <v>8945608</v>
      </c>
      <c r="G288" s="89">
        <v>10713901</v>
      </c>
      <c r="H288" s="89">
        <f t="shared" si="9"/>
        <v>89962736</v>
      </c>
      <c r="I288" s="81"/>
      <c r="J288" s="89">
        <v>57087550</v>
      </c>
      <c r="K288" s="89">
        <v>79877175</v>
      </c>
      <c r="L288" s="89">
        <v>6912834</v>
      </c>
      <c r="M288" s="89">
        <v>10981372</v>
      </c>
      <c r="N288" s="89">
        <f t="shared" si="8"/>
        <v>154858931</v>
      </c>
    </row>
    <row r="289" spans="1:14">
      <c r="A289" s="86" t="s">
        <v>404</v>
      </c>
      <c r="B289" s="87" t="s">
        <v>693</v>
      </c>
      <c r="C289" s="88" t="s">
        <v>224</v>
      </c>
      <c r="D289" s="89">
        <v>28231150</v>
      </c>
      <c r="E289" s="89">
        <v>11674338</v>
      </c>
      <c r="F289" s="89">
        <v>2915166</v>
      </c>
      <c r="G289" s="89">
        <v>2936507</v>
      </c>
      <c r="H289" s="89">
        <f t="shared" si="9"/>
        <v>45757161</v>
      </c>
      <c r="I289" s="81"/>
      <c r="J289" s="89">
        <v>38222765</v>
      </c>
      <c r="K289" s="89">
        <v>13809451</v>
      </c>
      <c r="L289" s="89">
        <v>1752170</v>
      </c>
      <c r="M289" s="89">
        <v>2770090</v>
      </c>
      <c r="N289" s="89">
        <f t="shared" si="8"/>
        <v>56554476</v>
      </c>
    </row>
    <row r="290" spans="1:14">
      <c r="A290" s="86" t="s">
        <v>405</v>
      </c>
      <c r="B290" s="87" t="s">
        <v>694</v>
      </c>
      <c r="C290" s="88" t="s">
        <v>42</v>
      </c>
      <c r="D290" s="89">
        <v>309691</v>
      </c>
      <c r="E290" s="89">
        <v>8864937</v>
      </c>
      <c r="F290" s="89">
        <v>712636</v>
      </c>
      <c r="G290" s="89">
        <v>5301639</v>
      </c>
      <c r="H290" s="89">
        <f t="shared" si="9"/>
        <v>15188903</v>
      </c>
      <c r="I290" s="81"/>
      <c r="J290" s="89">
        <v>361199</v>
      </c>
      <c r="K290" s="89">
        <v>8476648</v>
      </c>
      <c r="L290" s="89">
        <v>1173243</v>
      </c>
      <c r="M290" s="89">
        <v>4655898</v>
      </c>
      <c r="N290" s="89">
        <f t="shared" si="8"/>
        <v>14666988</v>
      </c>
    </row>
    <row r="291" spans="1:14">
      <c r="A291" s="86" t="s">
        <v>406</v>
      </c>
      <c r="B291" s="87" t="s">
        <v>695</v>
      </c>
      <c r="C291" s="88" t="s">
        <v>306</v>
      </c>
      <c r="D291" s="89">
        <v>13841116</v>
      </c>
      <c r="E291" s="89">
        <v>26884016</v>
      </c>
      <c r="F291" s="89">
        <v>10952320</v>
      </c>
      <c r="G291" s="89">
        <v>6359320</v>
      </c>
      <c r="H291" s="89">
        <f t="shared" si="9"/>
        <v>58036772</v>
      </c>
      <c r="I291" s="81"/>
      <c r="J291" s="89">
        <v>14568113</v>
      </c>
      <c r="K291" s="89">
        <v>27905488</v>
      </c>
      <c r="L291" s="89">
        <v>4998584</v>
      </c>
      <c r="M291" s="89">
        <v>7901251</v>
      </c>
      <c r="N291" s="89">
        <f t="shared" si="8"/>
        <v>55373436</v>
      </c>
    </row>
    <row r="292" spans="1:14">
      <c r="A292" s="86" t="s">
        <v>407</v>
      </c>
      <c r="B292" s="87" t="s">
        <v>696</v>
      </c>
      <c r="C292" s="88" t="s">
        <v>408</v>
      </c>
      <c r="D292" s="89">
        <v>5500794</v>
      </c>
      <c r="E292" s="89">
        <v>20483000</v>
      </c>
      <c r="F292" s="89">
        <v>35876917</v>
      </c>
      <c r="G292" s="89">
        <v>8823490</v>
      </c>
      <c r="H292" s="89">
        <f t="shared" si="9"/>
        <v>70684201</v>
      </c>
      <c r="I292" s="81"/>
      <c r="J292" s="89">
        <v>6206547</v>
      </c>
      <c r="K292" s="89">
        <v>16681764</v>
      </c>
      <c r="L292" s="89">
        <v>34078887</v>
      </c>
      <c r="M292" s="89">
        <v>10865653</v>
      </c>
      <c r="N292" s="89">
        <f t="shared" si="8"/>
        <v>67832851</v>
      </c>
    </row>
    <row r="293" spans="1:14">
      <c r="A293" s="86" t="s">
        <v>409</v>
      </c>
      <c r="B293" s="87" t="s">
        <v>697</v>
      </c>
      <c r="C293" s="88" t="s">
        <v>410</v>
      </c>
      <c r="D293" s="89">
        <v>12584900</v>
      </c>
      <c r="E293" s="89">
        <v>17872645</v>
      </c>
      <c r="F293" s="89">
        <v>3841522</v>
      </c>
      <c r="G293" s="89">
        <v>5911238</v>
      </c>
      <c r="H293" s="89">
        <f t="shared" si="9"/>
        <v>40210305</v>
      </c>
      <c r="I293" s="81"/>
      <c r="J293" s="89">
        <v>15287653</v>
      </c>
      <c r="K293" s="89">
        <v>17454270</v>
      </c>
      <c r="L293" s="89">
        <v>5155438</v>
      </c>
      <c r="M293" s="89">
        <v>7248341</v>
      </c>
      <c r="N293" s="89">
        <f t="shared" si="8"/>
        <v>45145702</v>
      </c>
    </row>
    <row r="294" spans="1:14">
      <c r="A294" s="86" t="s">
        <v>411</v>
      </c>
      <c r="B294" s="87" t="s">
        <v>698</v>
      </c>
      <c r="C294" s="88" t="s">
        <v>410</v>
      </c>
      <c r="D294" s="89">
        <v>1195474</v>
      </c>
      <c r="E294" s="89">
        <v>7750325</v>
      </c>
      <c r="F294" s="89">
        <v>1004923</v>
      </c>
      <c r="G294" s="89">
        <v>1175544</v>
      </c>
      <c r="H294" s="89">
        <f t="shared" si="9"/>
        <v>11126266</v>
      </c>
      <c r="I294" s="81"/>
      <c r="J294" s="89">
        <v>1173600</v>
      </c>
      <c r="K294" s="89">
        <v>7360098</v>
      </c>
      <c r="L294" s="89">
        <v>874960</v>
      </c>
      <c r="M294" s="89">
        <v>1215162</v>
      </c>
      <c r="N294" s="89">
        <f t="shared" si="8"/>
        <v>10623820</v>
      </c>
    </row>
    <row r="295" spans="1:14">
      <c r="A295" s="86" t="s">
        <v>412</v>
      </c>
      <c r="B295" s="87" t="s">
        <v>699</v>
      </c>
      <c r="C295" s="88" t="s">
        <v>224</v>
      </c>
      <c r="D295" s="89">
        <v>646075420</v>
      </c>
      <c r="E295" s="89">
        <v>51015750</v>
      </c>
      <c r="F295" s="89">
        <v>59154862</v>
      </c>
      <c r="G295" s="89">
        <v>72059419</v>
      </c>
      <c r="H295" s="89">
        <f t="shared" si="9"/>
        <v>828305451</v>
      </c>
      <c r="I295" s="81"/>
      <c r="J295" s="89">
        <v>803284845</v>
      </c>
      <c r="K295" s="89">
        <v>60831274</v>
      </c>
      <c r="L295" s="89">
        <v>40673287</v>
      </c>
      <c r="M295" s="89">
        <v>58249222</v>
      </c>
      <c r="N295" s="89">
        <f t="shared" si="8"/>
        <v>963038628</v>
      </c>
    </row>
    <row r="296" spans="1:14">
      <c r="A296" s="86" t="s">
        <v>413</v>
      </c>
      <c r="B296" s="87" t="s">
        <v>700</v>
      </c>
      <c r="C296" s="88" t="s">
        <v>247</v>
      </c>
      <c r="D296" s="89">
        <v>3592665</v>
      </c>
      <c r="E296" s="89">
        <v>7500110</v>
      </c>
      <c r="F296" s="89">
        <v>2664314</v>
      </c>
      <c r="G296" s="89">
        <v>1936001</v>
      </c>
      <c r="H296" s="89">
        <f t="shared" si="9"/>
        <v>15693090</v>
      </c>
      <c r="I296" s="81"/>
      <c r="J296" s="89">
        <v>4664249</v>
      </c>
      <c r="K296" s="89">
        <v>7091325</v>
      </c>
      <c r="L296" s="89">
        <v>2135707</v>
      </c>
      <c r="M296" s="89">
        <v>1744905</v>
      </c>
      <c r="N296" s="89">
        <f t="shared" si="8"/>
        <v>15636186</v>
      </c>
    </row>
    <row r="297" spans="1:14">
      <c r="A297" s="86" t="s">
        <v>414</v>
      </c>
      <c r="B297" s="87" t="s">
        <v>701</v>
      </c>
      <c r="C297" s="88" t="s">
        <v>306</v>
      </c>
      <c r="D297" s="89">
        <v>7497877</v>
      </c>
      <c r="E297" s="89">
        <v>1953025</v>
      </c>
      <c r="F297" s="89">
        <v>1454455</v>
      </c>
      <c r="G297" s="89">
        <v>1583288</v>
      </c>
      <c r="H297" s="89">
        <f t="shared" si="9"/>
        <v>12488645</v>
      </c>
      <c r="I297" s="81"/>
      <c r="J297" s="89">
        <v>8177352</v>
      </c>
      <c r="K297" s="89">
        <v>2236959</v>
      </c>
      <c r="L297" s="89">
        <v>1382818</v>
      </c>
      <c r="M297" s="89">
        <v>1511027</v>
      </c>
      <c r="N297" s="89">
        <f t="shared" si="8"/>
        <v>13308156</v>
      </c>
    </row>
    <row r="298" spans="1:14">
      <c r="A298" s="86" t="s">
        <v>415</v>
      </c>
      <c r="B298" s="87" t="s">
        <v>702</v>
      </c>
      <c r="C298" s="88" t="s">
        <v>38</v>
      </c>
      <c r="D298" s="89">
        <v>509123814</v>
      </c>
      <c r="E298" s="89">
        <v>0</v>
      </c>
      <c r="F298" s="89">
        <v>159641925</v>
      </c>
      <c r="G298" s="89">
        <v>49015299</v>
      </c>
      <c r="H298" s="89">
        <f t="shared" si="9"/>
        <v>717781038</v>
      </c>
      <c r="I298" s="81"/>
      <c r="J298" s="89">
        <v>592114782</v>
      </c>
      <c r="K298" s="89">
        <v>0</v>
      </c>
      <c r="L298" s="89">
        <v>94143272</v>
      </c>
      <c r="M298" s="89">
        <v>41407767</v>
      </c>
      <c r="N298" s="89">
        <f t="shared" si="8"/>
        <v>727665821</v>
      </c>
    </row>
    <row r="299" spans="1:14">
      <c r="A299" s="86" t="s">
        <v>416</v>
      </c>
      <c r="B299" s="87" t="s">
        <v>703</v>
      </c>
      <c r="C299" s="88" t="s">
        <v>219</v>
      </c>
      <c r="D299" s="89">
        <v>472251903</v>
      </c>
      <c r="E299" s="89">
        <v>0</v>
      </c>
      <c r="F299" s="89">
        <v>58618241</v>
      </c>
      <c r="G299" s="89">
        <v>78155185</v>
      </c>
      <c r="H299" s="89">
        <f t="shared" si="9"/>
        <v>609025329</v>
      </c>
      <c r="I299" s="81"/>
      <c r="J299" s="89">
        <v>532049907</v>
      </c>
      <c r="K299" s="89">
        <v>0</v>
      </c>
      <c r="L299" s="89">
        <v>35387918</v>
      </c>
      <c r="M299" s="89">
        <v>54294569</v>
      </c>
      <c r="N299" s="89">
        <f t="shared" si="8"/>
        <v>621732394</v>
      </c>
    </row>
    <row r="300" spans="1:14">
      <c r="A300" s="86" t="s">
        <v>417</v>
      </c>
      <c r="B300" s="87" t="s">
        <v>704</v>
      </c>
      <c r="C300" s="88" t="s">
        <v>222</v>
      </c>
      <c r="D300" s="89">
        <v>1058377</v>
      </c>
      <c r="E300" s="89">
        <v>8500712</v>
      </c>
      <c r="F300" s="89">
        <v>2607843</v>
      </c>
      <c r="G300" s="89">
        <v>2874447</v>
      </c>
      <c r="H300" s="89">
        <f t="shared" si="9"/>
        <v>15041379</v>
      </c>
      <c r="I300" s="81"/>
      <c r="J300" s="89">
        <v>1134289</v>
      </c>
      <c r="K300" s="89">
        <v>6895562</v>
      </c>
      <c r="L300" s="89">
        <v>4611648</v>
      </c>
      <c r="M300" s="89">
        <v>4709941</v>
      </c>
      <c r="N300" s="89">
        <f t="shared" si="8"/>
        <v>17351440</v>
      </c>
    </row>
    <row r="301" spans="1:14">
      <c r="A301" s="86" t="s">
        <v>418</v>
      </c>
      <c r="B301" s="87" t="s">
        <v>705</v>
      </c>
      <c r="C301" s="88" t="s">
        <v>419</v>
      </c>
      <c r="D301" s="89">
        <v>29892294</v>
      </c>
      <c r="E301" s="89">
        <v>4208967</v>
      </c>
      <c r="F301" s="89">
        <v>5299006</v>
      </c>
      <c r="G301" s="89">
        <v>8409319</v>
      </c>
      <c r="H301" s="89">
        <f t="shared" si="9"/>
        <v>47809586</v>
      </c>
      <c r="I301" s="81"/>
      <c r="J301" s="89">
        <v>38065158</v>
      </c>
      <c r="K301" s="89">
        <v>4725701</v>
      </c>
      <c r="L301" s="89">
        <v>4675215</v>
      </c>
      <c r="M301" s="89">
        <v>6432408</v>
      </c>
      <c r="N301" s="89">
        <f t="shared" si="8"/>
        <v>53898482</v>
      </c>
    </row>
    <row r="302" spans="1:14">
      <c r="A302" s="86" t="s">
        <v>420</v>
      </c>
      <c r="B302" s="87" t="s">
        <v>706</v>
      </c>
      <c r="C302" s="88" t="s">
        <v>419</v>
      </c>
      <c r="D302" s="89">
        <v>4601334</v>
      </c>
      <c r="E302" s="89">
        <v>2030492</v>
      </c>
      <c r="F302" s="89">
        <v>551919</v>
      </c>
      <c r="G302" s="89">
        <v>4555027</v>
      </c>
      <c r="H302" s="89">
        <f t="shared" si="9"/>
        <v>11738772</v>
      </c>
      <c r="I302" s="81"/>
      <c r="J302" s="89">
        <v>5116539</v>
      </c>
      <c r="K302" s="89">
        <v>1976468</v>
      </c>
      <c r="L302" s="89">
        <v>296916</v>
      </c>
      <c r="M302" s="89">
        <v>3572524</v>
      </c>
      <c r="N302" s="89">
        <f t="shared" si="8"/>
        <v>10962447</v>
      </c>
    </row>
    <row r="303" spans="1:14">
      <c r="A303" s="86" t="s">
        <v>421</v>
      </c>
      <c r="B303" s="87" t="s">
        <v>707</v>
      </c>
      <c r="C303" s="88" t="s">
        <v>419</v>
      </c>
      <c r="D303" s="89">
        <v>2537496</v>
      </c>
      <c r="E303" s="89">
        <v>2415122</v>
      </c>
      <c r="F303" s="89">
        <v>414965</v>
      </c>
      <c r="G303" s="89">
        <v>1407799</v>
      </c>
      <c r="H303" s="89">
        <f t="shared" si="9"/>
        <v>6775382</v>
      </c>
      <c r="I303" s="81"/>
      <c r="J303" s="89">
        <v>5196801</v>
      </c>
      <c r="K303" s="89">
        <v>4928392</v>
      </c>
      <c r="L303" s="89">
        <v>1092105</v>
      </c>
      <c r="M303" s="89">
        <v>2114606</v>
      </c>
      <c r="N303" s="89">
        <f t="shared" si="8"/>
        <v>13331904</v>
      </c>
    </row>
    <row r="304" spans="1:14">
      <c r="A304" s="86" t="s">
        <v>422</v>
      </c>
      <c r="B304" s="87" t="s">
        <v>708</v>
      </c>
      <c r="C304" s="88" t="s">
        <v>419</v>
      </c>
      <c r="D304" s="89">
        <v>9389609</v>
      </c>
      <c r="E304" s="89">
        <v>23497534</v>
      </c>
      <c r="F304" s="89">
        <v>4071295</v>
      </c>
      <c r="G304" s="89">
        <v>5223805</v>
      </c>
      <c r="H304" s="89">
        <f t="shared" si="9"/>
        <v>42182243</v>
      </c>
      <c r="I304" s="81"/>
      <c r="J304" s="89">
        <v>11579662</v>
      </c>
      <c r="K304" s="89">
        <v>24143810</v>
      </c>
      <c r="L304" s="89">
        <v>9239853</v>
      </c>
      <c r="M304" s="89">
        <v>8570539</v>
      </c>
      <c r="N304" s="89">
        <f t="shared" si="8"/>
        <v>53533864</v>
      </c>
    </row>
    <row r="305" spans="1:14">
      <c r="A305" s="86" t="s">
        <v>423</v>
      </c>
      <c r="B305" s="87" t="s">
        <v>709</v>
      </c>
      <c r="C305" s="88" t="s">
        <v>261</v>
      </c>
      <c r="D305" s="89">
        <v>3364462</v>
      </c>
      <c r="E305" s="89">
        <v>8409577</v>
      </c>
      <c r="F305" s="89">
        <v>115836487</v>
      </c>
      <c r="G305" s="89">
        <v>6670334</v>
      </c>
      <c r="H305" s="89">
        <f t="shared" si="9"/>
        <v>134280860</v>
      </c>
      <c r="I305" s="81"/>
      <c r="J305" s="89">
        <v>3561037</v>
      </c>
      <c r="K305" s="89">
        <v>6773841</v>
      </c>
      <c r="L305" s="89">
        <v>156448231</v>
      </c>
      <c r="M305" s="89">
        <v>12427289</v>
      </c>
      <c r="N305" s="89">
        <f t="shared" si="8"/>
        <v>179210398</v>
      </c>
    </row>
    <row r="306" spans="1:14">
      <c r="A306" s="86" t="s">
        <v>424</v>
      </c>
      <c r="B306" s="87" t="s">
        <v>710</v>
      </c>
      <c r="C306" s="88" t="s">
        <v>306</v>
      </c>
      <c r="D306" s="89">
        <v>14198155</v>
      </c>
      <c r="E306" s="89">
        <v>2575324</v>
      </c>
      <c r="F306" s="89">
        <v>2233377</v>
      </c>
      <c r="G306" s="89">
        <v>2646655</v>
      </c>
      <c r="H306" s="89">
        <f t="shared" si="9"/>
        <v>21653511</v>
      </c>
      <c r="I306" s="81"/>
      <c r="J306" s="89">
        <v>16644963</v>
      </c>
      <c r="K306" s="89">
        <v>2716232</v>
      </c>
      <c r="L306" s="89">
        <v>2944965</v>
      </c>
      <c r="M306" s="89">
        <v>2866628</v>
      </c>
      <c r="N306" s="89">
        <f t="shared" si="8"/>
        <v>25172788</v>
      </c>
    </row>
    <row r="307" spans="1:14">
      <c r="A307" s="86" t="s">
        <v>425</v>
      </c>
      <c r="B307" s="87" t="s">
        <v>711</v>
      </c>
      <c r="C307" s="88" t="s">
        <v>232</v>
      </c>
      <c r="D307" s="89">
        <v>722820</v>
      </c>
      <c r="E307" s="89">
        <v>4743841</v>
      </c>
      <c r="F307" s="89">
        <v>3061095</v>
      </c>
      <c r="G307" s="89">
        <v>1148733</v>
      </c>
      <c r="H307" s="89">
        <f t="shared" si="9"/>
        <v>9676489</v>
      </c>
      <c r="I307" s="81"/>
      <c r="J307" s="89">
        <v>877367</v>
      </c>
      <c r="K307" s="89">
        <v>4540712</v>
      </c>
      <c r="L307" s="89">
        <v>1507320</v>
      </c>
      <c r="M307" s="89">
        <v>1347785</v>
      </c>
      <c r="N307" s="89">
        <f t="shared" si="8"/>
        <v>8273184</v>
      </c>
    </row>
    <row r="308" spans="1:14">
      <c r="A308" s="86" t="s">
        <v>426</v>
      </c>
      <c r="B308" s="87" t="s">
        <v>712</v>
      </c>
      <c r="C308" s="88" t="s">
        <v>242</v>
      </c>
      <c r="D308" s="89">
        <v>1179560</v>
      </c>
      <c r="E308" s="89">
        <v>2950477</v>
      </c>
      <c r="F308" s="89">
        <v>4218057</v>
      </c>
      <c r="G308" s="89">
        <v>1959141</v>
      </c>
      <c r="H308" s="89">
        <f t="shared" si="9"/>
        <v>10307235</v>
      </c>
      <c r="I308" s="81"/>
      <c r="J308" s="89">
        <v>1545070</v>
      </c>
      <c r="K308" s="89">
        <v>2662664</v>
      </c>
      <c r="L308" s="89">
        <v>10804352</v>
      </c>
      <c r="M308" s="89">
        <v>3015208</v>
      </c>
      <c r="N308" s="89">
        <f t="shared" si="8"/>
        <v>18027294</v>
      </c>
    </row>
    <row r="309" spans="1:14" ht="12.75" thickBot="1">
      <c r="A309" s="86" t="s">
        <v>427</v>
      </c>
      <c r="B309" s="87" t="s">
        <v>713</v>
      </c>
      <c r="C309" s="88" t="s">
        <v>77</v>
      </c>
      <c r="D309" s="91">
        <v>2574608478</v>
      </c>
      <c r="E309" s="91">
        <v>0</v>
      </c>
      <c r="F309" s="91">
        <v>188782853</v>
      </c>
      <c r="G309" s="91">
        <v>116835405</v>
      </c>
      <c r="H309" s="91">
        <f t="shared" si="9"/>
        <v>2880226736</v>
      </c>
      <c r="I309" s="81"/>
      <c r="J309" s="91">
        <v>2909353163</v>
      </c>
      <c r="K309" s="91">
        <v>0</v>
      </c>
      <c r="L309" s="91">
        <v>104380385</v>
      </c>
      <c r="M309" s="91">
        <v>82591287</v>
      </c>
      <c r="N309" s="91">
        <f t="shared" si="8"/>
        <v>3096324835</v>
      </c>
    </row>
    <row r="310" spans="1:14" ht="12.75" thickTop="1">
      <c r="D310" s="89">
        <f>SUM(D4:D309)</f>
        <v>14417522490</v>
      </c>
      <c r="E310" s="89">
        <f t="shared" ref="E310:H310" si="10">SUM(E4:E309)</f>
        <v>4338853578</v>
      </c>
      <c r="F310" s="89">
        <f t="shared" si="10"/>
        <v>3587379026</v>
      </c>
      <c r="G310" s="89">
        <f t="shared" si="10"/>
        <v>3054683989</v>
      </c>
      <c r="H310" s="89">
        <f t="shared" si="10"/>
        <v>25398439083</v>
      </c>
      <c r="I310" s="81"/>
      <c r="J310" s="89">
        <f t="shared" ref="J310" si="11">SUM(J4:J309)</f>
        <v>18403658656</v>
      </c>
      <c r="K310" s="89">
        <f t="shared" ref="K310" si="12">SUM(K4:K309)</f>
        <v>4783193856</v>
      </c>
      <c r="L310" s="89">
        <f t="shared" ref="L310" si="13">SUM(L4:L309)</f>
        <v>3937448672</v>
      </c>
      <c r="M310" s="89">
        <f t="shared" ref="M310" si="14">SUM(M4:M309)</f>
        <v>3126783022</v>
      </c>
      <c r="N310" s="89">
        <f t="shared" ref="N310" si="15">SUM(N4:N309)</f>
        <v>30251084206</v>
      </c>
    </row>
  </sheetData>
  <mergeCells count="2">
    <mergeCell ref="D1:H1"/>
    <mergeCell ref="J1:N1"/>
  </mergeCells>
  <printOptions gridLines="1"/>
  <pageMargins left="0.2" right="0.2" top="0.25" bottom="0.5" header="0.3" footer="0.3"/>
  <pageSetup scale="83" orientation="landscape" r:id="rId1"/>
  <headerFooter>
    <oddFooter>&amp;R&amp;9SF1002.xlsx (ASSD VAL SOURCE)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BD316"/>
  <sheetViews>
    <sheetView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AZ6" sqref="AZ6"/>
    </sheetView>
  </sheetViews>
  <sheetFormatPr defaultRowHeight="12"/>
  <cols>
    <col min="1" max="1" width="9.140625" style="97"/>
    <col min="2" max="2" width="22" style="96" customWidth="1"/>
    <col min="3" max="3" width="15.140625" style="96" customWidth="1"/>
    <col min="4" max="4" width="9.140625" style="96"/>
    <col min="5" max="5" width="9.85546875" style="96" bestFit="1" customWidth="1"/>
    <col min="6" max="10" width="9.140625" style="96"/>
    <col min="11" max="11" width="9.85546875" style="96" bestFit="1" customWidth="1"/>
    <col min="12" max="12" width="9.140625" style="96"/>
    <col min="13" max="13" width="10.7109375" style="96" bestFit="1" customWidth="1"/>
    <col min="14" max="23" width="9.140625" style="96"/>
    <col min="24" max="24" width="9.85546875" style="96" bestFit="1" customWidth="1"/>
    <col min="25" max="29" width="9.140625" style="96"/>
    <col min="30" max="50" width="0" style="96" hidden="1" customWidth="1"/>
    <col min="51" max="51" width="4.85546875" style="96" customWidth="1"/>
    <col min="52" max="52" width="9.85546875" style="96" bestFit="1" customWidth="1"/>
    <col min="53" max="53" width="8.85546875" style="96" bestFit="1" customWidth="1"/>
    <col min="54" max="54" width="11.7109375" style="96" bestFit="1" customWidth="1"/>
    <col min="55" max="55" width="8.85546875" style="96" bestFit="1" customWidth="1"/>
    <col min="56" max="56" width="9.85546875" style="96" bestFit="1" customWidth="1"/>
    <col min="57" max="16384" width="9.140625" style="96"/>
  </cols>
  <sheetData>
    <row r="1" spans="1:55">
      <c r="A1" s="95">
        <v>40387</v>
      </c>
      <c r="AZ1" s="115" t="s">
        <v>769</v>
      </c>
      <c r="BA1" s="115"/>
      <c r="BB1" s="115"/>
      <c r="BC1" s="115"/>
    </row>
    <row r="3" spans="1:55">
      <c r="A3" s="98"/>
      <c r="B3" s="99"/>
      <c r="C3" s="99"/>
      <c r="D3" s="108" t="s">
        <v>746</v>
      </c>
      <c r="E3" s="108" t="s">
        <v>747</v>
      </c>
      <c r="F3" s="108" t="s">
        <v>747</v>
      </c>
      <c r="G3" s="108" t="s">
        <v>747</v>
      </c>
      <c r="H3" s="108" t="s">
        <v>748</v>
      </c>
      <c r="I3" s="108" t="s">
        <v>748</v>
      </c>
      <c r="J3" s="108" t="s">
        <v>748</v>
      </c>
      <c r="K3" s="108" t="s">
        <v>749</v>
      </c>
      <c r="L3" s="108" t="s">
        <v>749</v>
      </c>
      <c r="M3" s="108" t="s">
        <v>749</v>
      </c>
      <c r="N3" s="108" t="s">
        <v>749</v>
      </c>
      <c r="O3" s="108" t="s">
        <v>750</v>
      </c>
      <c r="P3" s="108" t="s">
        <v>750</v>
      </c>
      <c r="Q3" s="108" t="s">
        <v>750</v>
      </c>
      <c r="R3" s="108" t="s">
        <v>751</v>
      </c>
      <c r="S3" s="108" t="s">
        <v>751</v>
      </c>
      <c r="T3" s="108" t="s">
        <v>751</v>
      </c>
      <c r="U3" s="108" t="s">
        <v>752</v>
      </c>
      <c r="V3" s="108" t="s">
        <v>752</v>
      </c>
      <c r="W3" s="108" t="s">
        <v>752</v>
      </c>
      <c r="X3" s="108" t="s">
        <v>753</v>
      </c>
      <c r="Y3" s="108" t="s">
        <v>753</v>
      </c>
      <c r="Z3" s="108" t="s">
        <v>753</v>
      </c>
      <c r="AA3" s="108" t="s">
        <v>754</v>
      </c>
      <c r="AB3" s="108" t="s">
        <v>754</v>
      </c>
      <c r="AC3" s="108" t="s">
        <v>754</v>
      </c>
      <c r="AD3" s="108" t="s">
        <v>755</v>
      </c>
      <c r="AE3" s="108" t="s">
        <v>755</v>
      </c>
      <c r="AF3" s="108" t="s">
        <v>755</v>
      </c>
      <c r="AG3" s="108" t="s">
        <v>756</v>
      </c>
      <c r="AH3" s="108" t="s">
        <v>756</v>
      </c>
      <c r="AI3" s="108" t="s">
        <v>756</v>
      </c>
      <c r="AJ3" s="108" t="s">
        <v>757</v>
      </c>
      <c r="AK3" s="108" t="s">
        <v>757</v>
      </c>
      <c r="AL3" s="108" t="s">
        <v>757</v>
      </c>
      <c r="AM3" s="108" t="s">
        <v>758</v>
      </c>
      <c r="AN3" s="108" t="s">
        <v>758</v>
      </c>
      <c r="AO3" s="108" t="s">
        <v>758</v>
      </c>
      <c r="AP3" s="108" t="s">
        <v>759</v>
      </c>
      <c r="AQ3" s="108" t="s">
        <v>759</v>
      </c>
      <c r="AR3" s="108" t="s">
        <v>759</v>
      </c>
      <c r="AS3" s="108" t="s">
        <v>760</v>
      </c>
      <c r="AT3" s="108" t="s">
        <v>760</v>
      </c>
      <c r="AU3" s="108" t="s">
        <v>760</v>
      </c>
      <c r="AV3" s="108" t="s">
        <v>761</v>
      </c>
      <c r="AW3" s="108" t="s">
        <v>761</v>
      </c>
      <c r="AX3" s="108" t="s">
        <v>761</v>
      </c>
      <c r="AZ3" s="97" t="s">
        <v>768</v>
      </c>
      <c r="BA3" s="97" t="s">
        <v>768</v>
      </c>
      <c r="BB3" s="97" t="s">
        <v>768</v>
      </c>
      <c r="BC3" s="97" t="s">
        <v>768</v>
      </c>
    </row>
    <row r="4" spans="1:55">
      <c r="A4" s="98"/>
      <c r="B4" s="99"/>
      <c r="C4" s="99"/>
      <c r="D4" s="108" t="s">
        <v>762</v>
      </c>
      <c r="E4" s="108" t="s">
        <v>763</v>
      </c>
      <c r="F4" s="108" t="s">
        <v>764</v>
      </c>
      <c r="G4" s="108" t="s">
        <v>762</v>
      </c>
      <c r="H4" s="108" t="s">
        <v>763</v>
      </c>
      <c r="I4" s="108" t="s">
        <v>764</v>
      </c>
      <c r="J4" s="108" t="s">
        <v>762</v>
      </c>
      <c r="K4" s="108" t="s">
        <v>763</v>
      </c>
      <c r="L4" s="108" t="s">
        <v>764</v>
      </c>
      <c r="M4" s="108" t="s">
        <v>765</v>
      </c>
      <c r="N4" s="108" t="s">
        <v>762</v>
      </c>
      <c r="O4" s="108" t="s">
        <v>763</v>
      </c>
      <c r="P4" s="108" t="s">
        <v>764</v>
      </c>
      <c r="Q4" s="108" t="s">
        <v>762</v>
      </c>
      <c r="R4" s="108" t="s">
        <v>763</v>
      </c>
      <c r="S4" s="108" t="s">
        <v>764</v>
      </c>
      <c r="T4" s="108" t="s">
        <v>762</v>
      </c>
      <c r="U4" s="108" t="s">
        <v>763</v>
      </c>
      <c r="V4" s="108" t="s">
        <v>764</v>
      </c>
      <c r="W4" s="108" t="s">
        <v>762</v>
      </c>
      <c r="X4" s="108" t="s">
        <v>763</v>
      </c>
      <c r="Y4" s="108" t="s">
        <v>764</v>
      </c>
      <c r="Z4" s="108" t="s">
        <v>762</v>
      </c>
      <c r="AA4" s="108" t="s">
        <v>763</v>
      </c>
      <c r="AB4" s="108" t="s">
        <v>764</v>
      </c>
      <c r="AC4" s="108" t="s">
        <v>762</v>
      </c>
      <c r="AD4" s="108" t="s">
        <v>763</v>
      </c>
      <c r="AE4" s="108" t="s">
        <v>764</v>
      </c>
      <c r="AF4" s="108" t="s">
        <v>762</v>
      </c>
      <c r="AG4" s="108" t="s">
        <v>763</v>
      </c>
      <c r="AH4" s="108" t="s">
        <v>764</v>
      </c>
      <c r="AI4" s="108" t="s">
        <v>762</v>
      </c>
      <c r="AJ4" s="108" t="s">
        <v>763</v>
      </c>
      <c r="AK4" s="108" t="s">
        <v>764</v>
      </c>
      <c r="AL4" s="108" t="s">
        <v>762</v>
      </c>
      <c r="AM4" s="108" t="s">
        <v>763</v>
      </c>
      <c r="AN4" s="108" t="s">
        <v>764</v>
      </c>
      <c r="AO4" s="108" t="s">
        <v>762</v>
      </c>
      <c r="AP4" s="108" t="s">
        <v>763</v>
      </c>
      <c r="AQ4" s="108" t="s">
        <v>764</v>
      </c>
      <c r="AR4" s="108" t="s">
        <v>762</v>
      </c>
      <c r="AS4" s="108" t="s">
        <v>763</v>
      </c>
      <c r="AT4" s="108" t="s">
        <v>764</v>
      </c>
      <c r="AU4" s="108" t="s">
        <v>762</v>
      </c>
      <c r="AV4" s="108" t="s">
        <v>763</v>
      </c>
      <c r="AW4" s="108" t="s">
        <v>764</v>
      </c>
      <c r="AX4" s="108" t="s">
        <v>762</v>
      </c>
      <c r="AZ4" s="97" t="s">
        <v>763</v>
      </c>
      <c r="BA4" s="97" t="s">
        <v>764</v>
      </c>
      <c r="BB4" s="97" t="s">
        <v>765</v>
      </c>
      <c r="BC4" s="97" t="s">
        <v>762</v>
      </c>
    </row>
    <row r="5" spans="1:55" ht="12.75" thickBot="1">
      <c r="A5" s="100" t="s">
        <v>9</v>
      </c>
      <c r="B5" s="101" t="s">
        <v>10</v>
      </c>
      <c r="C5" s="101" t="s">
        <v>3</v>
      </c>
      <c r="D5" s="109">
        <v>2800</v>
      </c>
      <c r="E5" s="109" t="s">
        <v>744</v>
      </c>
      <c r="F5" s="109" t="s">
        <v>745</v>
      </c>
      <c r="G5" s="109">
        <v>2800</v>
      </c>
      <c r="H5" s="109" t="s">
        <v>744</v>
      </c>
      <c r="I5" s="109" t="s">
        <v>745</v>
      </c>
      <c r="J5" s="109">
        <v>2800</v>
      </c>
      <c r="K5" s="109" t="s">
        <v>744</v>
      </c>
      <c r="L5" s="109" t="s">
        <v>745</v>
      </c>
      <c r="M5" s="109">
        <v>2600</v>
      </c>
      <c r="N5" s="109">
        <v>2800</v>
      </c>
      <c r="O5" s="109" t="s">
        <v>744</v>
      </c>
      <c r="P5" s="109" t="s">
        <v>745</v>
      </c>
      <c r="Q5" s="109">
        <v>2800</v>
      </c>
      <c r="R5" s="109" t="s">
        <v>744</v>
      </c>
      <c r="S5" s="109" t="s">
        <v>745</v>
      </c>
      <c r="T5" s="109">
        <v>2800</v>
      </c>
      <c r="U5" s="109" t="s">
        <v>744</v>
      </c>
      <c r="V5" s="109" t="s">
        <v>745</v>
      </c>
      <c r="W5" s="109">
        <v>2800</v>
      </c>
      <c r="X5" s="109" t="s">
        <v>744</v>
      </c>
      <c r="Y5" s="109" t="s">
        <v>745</v>
      </c>
      <c r="Z5" s="109">
        <v>2800</v>
      </c>
      <c r="AA5" s="109" t="s">
        <v>744</v>
      </c>
      <c r="AB5" s="109" t="s">
        <v>745</v>
      </c>
      <c r="AC5" s="109">
        <v>2800</v>
      </c>
      <c r="AD5" s="109" t="s">
        <v>744</v>
      </c>
      <c r="AE5" s="109" t="s">
        <v>745</v>
      </c>
      <c r="AF5" s="109">
        <v>2800</v>
      </c>
      <c r="AG5" s="109" t="s">
        <v>744</v>
      </c>
      <c r="AH5" s="109" t="s">
        <v>745</v>
      </c>
      <c r="AI5" s="109">
        <v>2800</v>
      </c>
      <c r="AJ5" s="109" t="s">
        <v>744</v>
      </c>
      <c r="AK5" s="109" t="s">
        <v>745</v>
      </c>
      <c r="AL5" s="109">
        <v>2800</v>
      </c>
      <c r="AM5" s="109" t="s">
        <v>744</v>
      </c>
      <c r="AN5" s="109" t="s">
        <v>745</v>
      </c>
      <c r="AO5" s="109">
        <v>2800</v>
      </c>
      <c r="AP5" s="109" t="s">
        <v>744</v>
      </c>
      <c r="AQ5" s="109" t="s">
        <v>745</v>
      </c>
      <c r="AR5" s="109">
        <v>2800</v>
      </c>
      <c r="AS5" s="109" t="s">
        <v>744</v>
      </c>
      <c r="AT5" s="109" t="s">
        <v>745</v>
      </c>
      <c r="AU5" s="109">
        <v>2800</v>
      </c>
      <c r="AV5" s="109" t="s">
        <v>744</v>
      </c>
      <c r="AW5" s="109" t="s">
        <v>745</v>
      </c>
      <c r="AX5" s="109">
        <v>2800</v>
      </c>
      <c r="AZ5" s="114">
        <v>2400</v>
      </c>
      <c r="BA5" s="114">
        <v>2450</v>
      </c>
      <c r="BB5" s="114">
        <v>2600</v>
      </c>
      <c r="BC5" s="114">
        <v>2800</v>
      </c>
    </row>
    <row r="6" spans="1:55">
      <c r="A6" s="102" t="s">
        <v>13</v>
      </c>
      <c r="B6" s="24" t="s">
        <v>433</v>
      </c>
      <c r="C6" s="103" t="s">
        <v>14</v>
      </c>
      <c r="D6" s="104">
        <v>0</v>
      </c>
      <c r="E6" s="104">
        <v>125461</v>
      </c>
      <c r="F6" s="104">
        <v>0</v>
      </c>
      <c r="G6" s="104">
        <v>0</v>
      </c>
      <c r="H6" s="104">
        <v>0</v>
      </c>
      <c r="I6" s="104">
        <v>0</v>
      </c>
      <c r="J6" s="104">
        <v>0</v>
      </c>
      <c r="K6" s="104">
        <v>25444</v>
      </c>
      <c r="L6" s="104">
        <v>0</v>
      </c>
      <c r="M6" s="104">
        <v>0</v>
      </c>
      <c r="N6" s="104">
        <v>0</v>
      </c>
      <c r="O6" s="104">
        <v>0</v>
      </c>
      <c r="P6" s="104">
        <v>0</v>
      </c>
      <c r="Q6" s="104">
        <v>0</v>
      </c>
      <c r="R6" s="104">
        <v>0</v>
      </c>
      <c r="S6" s="104">
        <v>0</v>
      </c>
      <c r="T6" s="104">
        <v>0</v>
      </c>
      <c r="U6" s="104">
        <v>0</v>
      </c>
      <c r="V6" s="104">
        <v>0</v>
      </c>
      <c r="W6" s="104">
        <v>0</v>
      </c>
      <c r="X6" s="104">
        <v>0</v>
      </c>
      <c r="Y6" s="104">
        <v>0</v>
      </c>
      <c r="Z6" s="104">
        <v>0</v>
      </c>
      <c r="AA6" s="104">
        <v>0</v>
      </c>
      <c r="AB6" s="104">
        <v>0</v>
      </c>
      <c r="AC6" s="104">
        <v>0</v>
      </c>
      <c r="AD6" s="104">
        <v>0</v>
      </c>
      <c r="AE6" s="104">
        <v>0</v>
      </c>
      <c r="AF6" s="104">
        <v>0</v>
      </c>
      <c r="AG6" s="104">
        <v>0</v>
      </c>
      <c r="AH6" s="104">
        <v>0</v>
      </c>
      <c r="AI6" s="104">
        <v>0</v>
      </c>
      <c r="AJ6" s="104">
        <v>0</v>
      </c>
      <c r="AK6" s="104">
        <v>0</v>
      </c>
      <c r="AL6" s="104">
        <v>0</v>
      </c>
      <c r="AM6" s="104">
        <v>0</v>
      </c>
      <c r="AN6" s="104">
        <v>0</v>
      </c>
      <c r="AO6" s="104">
        <v>0</v>
      </c>
      <c r="AP6" s="104">
        <v>0</v>
      </c>
      <c r="AQ6" s="104">
        <v>0</v>
      </c>
      <c r="AR6" s="104">
        <v>0</v>
      </c>
      <c r="AS6" s="104">
        <v>0</v>
      </c>
      <c r="AT6" s="104">
        <v>0</v>
      </c>
      <c r="AU6" s="104">
        <v>0</v>
      </c>
      <c r="AV6" s="104">
        <v>0</v>
      </c>
      <c r="AW6" s="104">
        <v>0</v>
      </c>
      <c r="AX6" s="104">
        <v>0</v>
      </c>
      <c r="AZ6" s="104">
        <f>E6+H6+K6+O6+R6+U6+X6+AA6</f>
        <v>150905</v>
      </c>
      <c r="BA6" s="104">
        <f>F6+I6+L6+P6+S6+V6+Y6+AB6</f>
        <v>0</v>
      </c>
      <c r="BB6" s="96">
        <f>M6</f>
        <v>0</v>
      </c>
      <c r="BC6" s="104">
        <f>D6+G6+J6+N6+Q6+T6+W6+Z6+AC6</f>
        <v>0</v>
      </c>
    </row>
    <row r="7" spans="1:55">
      <c r="A7" s="102" t="s">
        <v>15</v>
      </c>
      <c r="B7" s="24" t="s">
        <v>434</v>
      </c>
      <c r="C7" s="103" t="s">
        <v>16</v>
      </c>
      <c r="D7" s="104">
        <v>0</v>
      </c>
      <c r="E7" s="104">
        <v>27404</v>
      </c>
      <c r="F7" s="104">
        <v>578</v>
      </c>
      <c r="G7" s="104">
        <v>0</v>
      </c>
      <c r="H7" s="104">
        <v>0</v>
      </c>
      <c r="I7" s="104">
        <v>0</v>
      </c>
      <c r="J7" s="104">
        <v>0</v>
      </c>
      <c r="K7" s="104">
        <v>17005</v>
      </c>
      <c r="L7" s="104">
        <v>351</v>
      </c>
      <c r="M7" s="104">
        <v>0</v>
      </c>
      <c r="N7" s="104">
        <v>0</v>
      </c>
      <c r="O7" s="104">
        <v>0</v>
      </c>
      <c r="P7" s="104">
        <v>0</v>
      </c>
      <c r="Q7" s="104">
        <v>0</v>
      </c>
      <c r="R7" s="104">
        <v>0</v>
      </c>
      <c r="S7" s="104">
        <v>0</v>
      </c>
      <c r="T7" s="104">
        <v>0</v>
      </c>
      <c r="U7" s="104">
        <v>0</v>
      </c>
      <c r="V7" s="104">
        <v>0</v>
      </c>
      <c r="W7" s="104">
        <v>0</v>
      </c>
      <c r="X7" s="104">
        <v>53267</v>
      </c>
      <c r="Y7" s="104">
        <v>1083</v>
      </c>
      <c r="Z7" s="104">
        <v>0</v>
      </c>
      <c r="AA7" s="104">
        <v>0</v>
      </c>
      <c r="AB7" s="104">
        <v>0</v>
      </c>
      <c r="AC7" s="104">
        <v>0</v>
      </c>
      <c r="AD7" s="104">
        <v>0</v>
      </c>
      <c r="AE7" s="104">
        <v>0</v>
      </c>
      <c r="AF7" s="104">
        <v>0</v>
      </c>
      <c r="AG7" s="104">
        <v>0</v>
      </c>
      <c r="AH7" s="104">
        <v>0</v>
      </c>
      <c r="AI7" s="104">
        <v>0</v>
      </c>
      <c r="AJ7" s="104">
        <v>0</v>
      </c>
      <c r="AK7" s="104">
        <v>0</v>
      </c>
      <c r="AL7" s="104">
        <v>0</v>
      </c>
      <c r="AM7" s="104">
        <v>0</v>
      </c>
      <c r="AN7" s="104">
        <v>0</v>
      </c>
      <c r="AO7" s="104">
        <v>0</v>
      </c>
      <c r="AP7" s="104">
        <v>0</v>
      </c>
      <c r="AQ7" s="104">
        <v>0</v>
      </c>
      <c r="AR7" s="104">
        <v>0</v>
      </c>
      <c r="AS7" s="104">
        <v>0</v>
      </c>
      <c r="AT7" s="104">
        <v>0</v>
      </c>
      <c r="AU7" s="104">
        <v>0</v>
      </c>
      <c r="AV7" s="104">
        <v>0</v>
      </c>
      <c r="AW7" s="104">
        <v>0</v>
      </c>
      <c r="AX7" s="104">
        <v>0</v>
      </c>
      <c r="AZ7" s="104">
        <f t="shared" ref="AZ7:AZ70" si="0">E7+H7+K7+O7+R7+U7+X7+AA7</f>
        <v>97676</v>
      </c>
      <c r="BA7" s="104">
        <f t="shared" ref="BA7:BA70" si="1">F7+I7+L7+P7+S7+V7+Y7+AB7</f>
        <v>2012</v>
      </c>
      <c r="BB7" s="96">
        <f t="shared" ref="BB7:BB70" si="2">M7</f>
        <v>0</v>
      </c>
      <c r="BC7" s="104">
        <f t="shared" ref="BC7:BC70" si="3">D7+G7+J7+N7+Q7+T7+W7+Z7+AC7</f>
        <v>0</v>
      </c>
    </row>
    <row r="8" spans="1:55">
      <c r="A8" s="102" t="s">
        <v>17</v>
      </c>
      <c r="B8" s="24" t="s">
        <v>435</v>
      </c>
      <c r="C8" s="103" t="s">
        <v>18</v>
      </c>
      <c r="D8" s="104">
        <v>0</v>
      </c>
      <c r="E8" s="104">
        <v>10241</v>
      </c>
      <c r="F8" s="104">
        <v>113</v>
      </c>
      <c r="G8" s="104">
        <v>0</v>
      </c>
      <c r="H8" s="104">
        <v>0</v>
      </c>
      <c r="I8" s="104">
        <v>0</v>
      </c>
      <c r="J8" s="104">
        <v>0</v>
      </c>
      <c r="K8" s="104">
        <v>6942</v>
      </c>
      <c r="L8" s="104">
        <v>85</v>
      </c>
      <c r="M8" s="104">
        <v>0</v>
      </c>
      <c r="N8" s="104">
        <v>0</v>
      </c>
      <c r="O8" s="104">
        <v>0</v>
      </c>
      <c r="P8" s="104">
        <v>0</v>
      </c>
      <c r="Q8" s="104">
        <v>0</v>
      </c>
      <c r="R8" s="104">
        <v>0</v>
      </c>
      <c r="S8" s="104">
        <v>0</v>
      </c>
      <c r="T8" s="104">
        <v>0</v>
      </c>
      <c r="U8" s="104">
        <v>0</v>
      </c>
      <c r="V8" s="104">
        <v>0</v>
      </c>
      <c r="W8" s="104">
        <v>0</v>
      </c>
      <c r="X8" s="104">
        <v>0</v>
      </c>
      <c r="Y8" s="104">
        <v>0</v>
      </c>
      <c r="Z8" s="104">
        <v>0</v>
      </c>
      <c r="AA8" s="104">
        <v>0</v>
      </c>
      <c r="AB8" s="104">
        <v>0</v>
      </c>
      <c r="AC8" s="104">
        <v>0</v>
      </c>
      <c r="AD8" s="104">
        <v>0</v>
      </c>
      <c r="AE8" s="104">
        <v>0</v>
      </c>
      <c r="AF8" s="104">
        <v>0</v>
      </c>
      <c r="AG8" s="104">
        <v>0</v>
      </c>
      <c r="AH8" s="104">
        <v>0</v>
      </c>
      <c r="AI8" s="104">
        <v>0</v>
      </c>
      <c r="AJ8" s="104">
        <v>0</v>
      </c>
      <c r="AK8" s="104">
        <v>0</v>
      </c>
      <c r="AL8" s="104">
        <v>0</v>
      </c>
      <c r="AM8" s="104">
        <v>0</v>
      </c>
      <c r="AN8" s="104">
        <v>0</v>
      </c>
      <c r="AO8" s="104">
        <v>0</v>
      </c>
      <c r="AP8" s="104">
        <v>0</v>
      </c>
      <c r="AQ8" s="104">
        <v>0</v>
      </c>
      <c r="AR8" s="104">
        <v>0</v>
      </c>
      <c r="AS8" s="104">
        <v>1748</v>
      </c>
      <c r="AT8" s="104">
        <v>21</v>
      </c>
      <c r="AU8" s="104">
        <v>0</v>
      </c>
      <c r="AV8" s="104">
        <v>0</v>
      </c>
      <c r="AW8" s="104">
        <v>0</v>
      </c>
      <c r="AX8" s="104">
        <v>0</v>
      </c>
      <c r="AZ8" s="104">
        <f t="shared" si="0"/>
        <v>17183</v>
      </c>
      <c r="BA8" s="104">
        <f t="shared" si="1"/>
        <v>198</v>
      </c>
      <c r="BB8" s="96">
        <f t="shared" si="2"/>
        <v>0</v>
      </c>
      <c r="BC8" s="104">
        <f t="shared" si="3"/>
        <v>0</v>
      </c>
    </row>
    <row r="9" spans="1:55">
      <c r="A9" s="102" t="s">
        <v>19</v>
      </c>
      <c r="B9" s="24" t="s">
        <v>436</v>
      </c>
      <c r="C9" s="103" t="s">
        <v>20</v>
      </c>
      <c r="D9" s="104">
        <v>0</v>
      </c>
      <c r="E9" s="104">
        <v>23618</v>
      </c>
      <c r="F9" s="104">
        <v>585</v>
      </c>
      <c r="G9" s="104">
        <v>0</v>
      </c>
      <c r="H9" s="104">
        <v>0</v>
      </c>
      <c r="I9" s="104">
        <v>0</v>
      </c>
      <c r="J9" s="104">
        <v>0</v>
      </c>
      <c r="K9" s="104">
        <v>105</v>
      </c>
      <c r="L9" s="104">
        <v>0</v>
      </c>
      <c r="M9" s="104">
        <v>0</v>
      </c>
      <c r="N9" s="104">
        <v>0</v>
      </c>
      <c r="O9" s="104">
        <v>0</v>
      </c>
      <c r="P9" s="104">
        <v>0</v>
      </c>
      <c r="Q9" s="104">
        <v>0</v>
      </c>
      <c r="R9" s="104">
        <v>0</v>
      </c>
      <c r="S9" s="104">
        <v>0</v>
      </c>
      <c r="T9" s="104">
        <v>0</v>
      </c>
      <c r="U9" s="104">
        <v>0</v>
      </c>
      <c r="V9" s="104">
        <v>0</v>
      </c>
      <c r="W9" s="104">
        <v>0</v>
      </c>
      <c r="X9" s="104">
        <v>0</v>
      </c>
      <c r="Y9" s="104">
        <v>0</v>
      </c>
      <c r="Z9" s="104">
        <v>0</v>
      </c>
      <c r="AA9" s="104">
        <v>0</v>
      </c>
      <c r="AB9" s="104">
        <v>0</v>
      </c>
      <c r="AC9" s="104">
        <v>0</v>
      </c>
      <c r="AD9" s="104">
        <v>0</v>
      </c>
      <c r="AE9" s="104">
        <v>0</v>
      </c>
      <c r="AF9" s="104">
        <v>0</v>
      </c>
      <c r="AG9" s="104">
        <v>0</v>
      </c>
      <c r="AH9" s="104">
        <v>0</v>
      </c>
      <c r="AI9" s="104">
        <v>0</v>
      </c>
      <c r="AJ9" s="104">
        <v>0</v>
      </c>
      <c r="AK9" s="104">
        <v>0</v>
      </c>
      <c r="AL9" s="104">
        <v>0</v>
      </c>
      <c r="AM9" s="104">
        <v>0</v>
      </c>
      <c r="AN9" s="104">
        <v>0</v>
      </c>
      <c r="AO9" s="104">
        <v>0</v>
      </c>
      <c r="AP9" s="104">
        <v>0</v>
      </c>
      <c r="AQ9" s="104">
        <v>0</v>
      </c>
      <c r="AR9" s="104">
        <v>0</v>
      </c>
      <c r="AS9" s="104">
        <v>0</v>
      </c>
      <c r="AT9" s="104">
        <v>0</v>
      </c>
      <c r="AU9" s="104">
        <v>0</v>
      </c>
      <c r="AV9" s="104">
        <v>0</v>
      </c>
      <c r="AW9" s="104">
        <v>0</v>
      </c>
      <c r="AX9" s="104">
        <v>0</v>
      </c>
      <c r="AZ9" s="104">
        <f t="shared" si="0"/>
        <v>23723</v>
      </c>
      <c r="BA9" s="104">
        <f t="shared" si="1"/>
        <v>585</v>
      </c>
      <c r="BB9" s="96">
        <f t="shared" si="2"/>
        <v>0</v>
      </c>
      <c r="BC9" s="104">
        <f t="shared" si="3"/>
        <v>0</v>
      </c>
    </row>
    <row r="10" spans="1:55">
      <c r="A10" s="102" t="s">
        <v>22</v>
      </c>
      <c r="B10" s="24" t="s">
        <v>437</v>
      </c>
      <c r="C10" s="103" t="s">
        <v>23</v>
      </c>
      <c r="D10" s="104">
        <v>0</v>
      </c>
      <c r="E10" s="104">
        <v>62260</v>
      </c>
      <c r="F10" s="104">
        <v>867</v>
      </c>
      <c r="G10" s="104">
        <v>0</v>
      </c>
      <c r="H10" s="104">
        <v>0</v>
      </c>
      <c r="I10" s="104">
        <v>0</v>
      </c>
      <c r="J10" s="104">
        <v>0</v>
      </c>
      <c r="K10" s="104">
        <v>10494</v>
      </c>
      <c r="L10" s="104">
        <v>144</v>
      </c>
      <c r="M10" s="104">
        <v>0</v>
      </c>
      <c r="N10" s="104">
        <v>0</v>
      </c>
      <c r="O10" s="104">
        <v>0</v>
      </c>
      <c r="P10" s="104">
        <v>0</v>
      </c>
      <c r="Q10" s="104">
        <v>0</v>
      </c>
      <c r="R10" s="104">
        <v>0</v>
      </c>
      <c r="S10" s="104">
        <v>0</v>
      </c>
      <c r="T10" s="104">
        <v>0</v>
      </c>
      <c r="U10" s="104">
        <v>0</v>
      </c>
      <c r="V10" s="104">
        <v>0</v>
      </c>
      <c r="W10" s="104">
        <v>0</v>
      </c>
      <c r="X10" s="104">
        <v>0</v>
      </c>
      <c r="Y10" s="104">
        <v>0</v>
      </c>
      <c r="Z10" s="104">
        <v>0</v>
      </c>
      <c r="AA10" s="104">
        <v>0</v>
      </c>
      <c r="AB10" s="104">
        <v>0</v>
      </c>
      <c r="AC10" s="104">
        <v>0</v>
      </c>
      <c r="AD10" s="104">
        <v>0</v>
      </c>
      <c r="AE10" s="104">
        <v>0</v>
      </c>
      <c r="AF10" s="104">
        <v>0</v>
      </c>
      <c r="AG10" s="104">
        <v>0</v>
      </c>
      <c r="AH10" s="104">
        <v>0</v>
      </c>
      <c r="AI10" s="104">
        <v>0</v>
      </c>
      <c r="AJ10" s="104">
        <v>0</v>
      </c>
      <c r="AK10" s="104">
        <v>0</v>
      </c>
      <c r="AL10" s="104">
        <v>0</v>
      </c>
      <c r="AM10" s="104">
        <v>0</v>
      </c>
      <c r="AN10" s="104">
        <v>0</v>
      </c>
      <c r="AO10" s="104">
        <v>0</v>
      </c>
      <c r="AP10" s="104">
        <v>0</v>
      </c>
      <c r="AQ10" s="104">
        <v>0</v>
      </c>
      <c r="AR10" s="104">
        <v>0</v>
      </c>
      <c r="AS10" s="104">
        <v>3007</v>
      </c>
      <c r="AT10" s="104">
        <v>41</v>
      </c>
      <c r="AU10" s="104">
        <v>0</v>
      </c>
      <c r="AV10" s="104">
        <v>0</v>
      </c>
      <c r="AW10" s="104">
        <v>0</v>
      </c>
      <c r="AX10" s="104">
        <v>0</v>
      </c>
      <c r="AZ10" s="104">
        <f t="shared" si="0"/>
        <v>72754</v>
      </c>
      <c r="BA10" s="104">
        <f t="shared" si="1"/>
        <v>1011</v>
      </c>
      <c r="BB10" s="96">
        <f t="shared" si="2"/>
        <v>0</v>
      </c>
      <c r="BC10" s="104">
        <f t="shared" si="3"/>
        <v>0</v>
      </c>
    </row>
    <row r="11" spans="1:55">
      <c r="A11" s="102" t="s">
        <v>24</v>
      </c>
      <c r="B11" s="24" t="s">
        <v>438</v>
      </c>
      <c r="C11" s="103" t="s">
        <v>25</v>
      </c>
      <c r="D11" s="104">
        <v>0</v>
      </c>
      <c r="E11" s="104">
        <v>20407</v>
      </c>
      <c r="F11" s="104">
        <v>380</v>
      </c>
      <c r="G11" s="104">
        <v>0</v>
      </c>
      <c r="H11" s="104">
        <v>0</v>
      </c>
      <c r="I11" s="104">
        <v>0</v>
      </c>
      <c r="J11" s="104">
        <v>0</v>
      </c>
      <c r="K11" s="104">
        <v>3074</v>
      </c>
      <c r="L11" s="104">
        <v>69</v>
      </c>
      <c r="M11" s="104">
        <v>0</v>
      </c>
      <c r="N11" s="104">
        <v>0</v>
      </c>
      <c r="O11" s="104">
        <v>0</v>
      </c>
      <c r="P11" s="104">
        <v>0</v>
      </c>
      <c r="Q11" s="104">
        <v>0</v>
      </c>
      <c r="R11" s="104">
        <v>0</v>
      </c>
      <c r="S11" s="104">
        <v>0</v>
      </c>
      <c r="T11" s="104">
        <v>0</v>
      </c>
      <c r="U11" s="104">
        <v>0</v>
      </c>
      <c r="V11" s="104">
        <v>0</v>
      </c>
      <c r="W11" s="104">
        <v>0</v>
      </c>
      <c r="X11" s="104">
        <v>3065</v>
      </c>
      <c r="Y11" s="104">
        <v>33</v>
      </c>
      <c r="Z11" s="104">
        <v>0</v>
      </c>
      <c r="AA11" s="104">
        <v>6517</v>
      </c>
      <c r="AB11" s="104">
        <v>151</v>
      </c>
      <c r="AC11" s="104">
        <v>0</v>
      </c>
      <c r="AD11" s="104">
        <v>0</v>
      </c>
      <c r="AE11" s="104">
        <v>0</v>
      </c>
      <c r="AF11" s="104">
        <v>0</v>
      </c>
      <c r="AG11" s="104">
        <v>0</v>
      </c>
      <c r="AH11" s="104">
        <v>0</v>
      </c>
      <c r="AI11" s="104">
        <v>0</v>
      </c>
      <c r="AJ11" s="104">
        <v>0</v>
      </c>
      <c r="AK11" s="104">
        <v>0</v>
      </c>
      <c r="AL11" s="104">
        <v>0</v>
      </c>
      <c r="AM11" s="104">
        <v>0</v>
      </c>
      <c r="AN11" s="104">
        <v>0</v>
      </c>
      <c r="AO11" s="104">
        <v>0</v>
      </c>
      <c r="AP11" s="104">
        <v>0</v>
      </c>
      <c r="AQ11" s="104">
        <v>0</v>
      </c>
      <c r="AR11" s="104">
        <v>0</v>
      </c>
      <c r="AS11" s="104">
        <v>769</v>
      </c>
      <c r="AT11" s="104">
        <v>17</v>
      </c>
      <c r="AU11" s="104">
        <v>0</v>
      </c>
      <c r="AV11" s="104">
        <v>0</v>
      </c>
      <c r="AW11" s="104">
        <v>0</v>
      </c>
      <c r="AX11" s="104">
        <v>0</v>
      </c>
      <c r="AZ11" s="104">
        <f t="shared" si="0"/>
        <v>33063</v>
      </c>
      <c r="BA11" s="104">
        <f t="shared" si="1"/>
        <v>633</v>
      </c>
      <c r="BB11" s="96">
        <f t="shared" si="2"/>
        <v>0</v>
      </c>
      <c r="BC11" s="104">
        <f t="shared" si="3"/>
        <v>0</v>
      </c>
    </row>
    <row r="12" spans="1:55">
      <c r="A12" s="102" t="s">
        <v>26</v>
      </c>
      <c r="B12" s="24" t="s">
        <v>439</v>
      </c>
      <c r="C12" s="103" t="s">
        <v>20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Z12" s="104">
        <f t="shared" si="0"/>
        <v>0</v>
      </c>
      <c r="BA12" s="104">
        <f t="shared" si="1"/>
        <v>0</v>
      </c>
      <c r="BB12" s="96">
        <f t="shared" si="2"/>
        <v>0</v>
      </c>
      <c r="BC12" s="104">
        <f t="shared" si="3"/>
        <v>0</v>
      </c>
    </row>
    <row r="13" spans="1:55">
      <c r="A13" s="102" t="s">
        <v>27</v>
      </c>
      <c r="B13" s="24" t="s">
        <v>440</v>
      </c>
      <c r="C13" s="103" t="s">
        <v>28</v>
      </c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Z13" s="104">
        <f t="shared" si="0"/>
        <v>0</v>
      </c>
      <c r="BA13" s="104">
        <f t="shared" si="1"/>
        <v>0</v>
      </c>
      <c r="BB13" s="96">
        <f t="shared" si="2"/>
        <v>0</v>
      </c>
      <c r="BC13" s="104">
        <f t="shared" si="3"/>
        <v>0</v>
      </c>
    </row>
    <row r="14" spans="1:55">
      <c r="A14" s="102" t="s">
        <v>29</v>
      </c>
      <c r="B14" s="24" t="s">
        <v>441</v>
      </c>
      <c r="C14" s="103" t="s">
        <v>30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Z14" s="104">
        <f t="shared" si="0"/>
        <v>0</v>
      </c>
      <c r="BA14" s="104">
        <f t="shared" si="1"/>
        <v>0</v>
      </c>
      <c r="BB14" s="96">
        <f t="shared" si="2"/>
        <v>0</v>
      </c>
      <c r="BC14" s="104">
        <f t="shared" si="3"/>
        <v>0</v>
      </c>
    </row>
    <row r="15" spans="1:55">
      <c r="A15" s="102" t="s">
        <v>31</v>
      </c>
      <c r="B15" s="24" t="s">
        <v>442</v>
      </c>
      <c r="C15" s="103" t="s">
        <v>32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Z15" s="104">
        <f t="shared" si="0"/>
        <v>0</v>
      </c>
      <c r="BA15" s="104">
        <f t="shared" si="1"/>
        <v>0</v>
      </c>
      <c r="BB15" s="96">
        <f t="shared" si="2"/>
        <v>0</v>
      </c>
      <c r="BC15" s="104">
        <f t="shared" si="3"/>
        <v>0</v>
      </c>
    </row>
    <row r="16" spans="1:55">
      <c r="A16" s="102" t="s">
        <v>33</v>
      </c>
      <c r="B16" s="24" t="s">
        <v>443</v>
      </c>
      <c r="C16" s="103" t="s">
        <v>34</v>
      </c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Z16" s="104">
        <f t="shared" si="0"/>
        <v>0</v>
      </c>
      <c r="BA16" s="104">
        <f t="shared" si="1"/>
        <v>0</v>
      </c>
      <c r="BB16" s="96">
        <f t="shared" si="2"/>
        <v>0</v>
      </c>
      <c r="BC16" s="104">
        <f t="shared" si="3"/>
        <v>0</v>
      </c>
    </row>
    <row r="17" spans="1:55">
      <c r="A17" s="102" t="s">
        <v>35</v>
      </c>
      <c r="B17" s="24" t="s">
        <v>444</v>
      </c>
      <c r="C17" s="103" t="s">
        <v>36</v>
      </c>
      <c r="D17" s="104">
        <v>0</v>
      </c>
      <c r="E17" s="104">
        <v>6493</v>
      </c>
      <c r="F17" s="104">
        <v>160</v>
      </c>
      <c r="G17" s="104">
        <v>0</v>
      </c>
      <c r="H17" s="104">
        <v>0</v>
      </c>
      <c r="I17" s="104">
        <v>0</v>
      </c>
      <c r="J17" s="104">
        <v>0</v>
      </c>
      <c r="K17" s="104">
        <v>8065</v>
      </c>
      <c r="L17" s="104">
        <v>243</v>
      </c>
      <c r="M17" s="104">
        <v>0</v>
      </c>
      <c r="N17" s="104">
        <v>0</v>
      </c>
      <c r="O17" s="104">
        <v>0</v>
      </c>
      <c r="P17" s="104">
        <v>0</v>
      </c>
      <c r="Q17" s="104">
        <v>0</v>
      </c>
      <c r="R17" s="104">
        <v>0</v>
      </c>
      <c r="S17" s="104">
        <v>0</v>
      </c>
      <c r="T17" s="104">
        <v>0</v>
      </c>
      <c r="U17" s="104">
        <v>0</v>
      </c>
      <c r="V17" s="104">
        <v>0</v>
      </c>
      <c r="W17" s="104">
        <v>0</v>
      </c>
      <c r="X17" s="104">
        <v>10483</v>
      </c>
      <c r="Y17" s="104">
        <v>314</v>
      </c>
      <c r="Z17" s="104">
        <v>0</v>
      </c>
      <c r="AA17" s="104">
        <v>0</v>
      </c>
      <c r="AB17" s="104">
        <v>0</v>
      </c>
      <c r="AC17" s="104">
        <v>0</v>
      </c>
      <c r="AD17" s="104">
        <v>0</v>
      </c>
      <c r="AE17" s="104">
        <v>0</v>
      </c>
      <c r="AF17" s="104">
        <v>0</v>
      </c>
      <c r="AG17" s="104">
        <v>0</v>
      </c>
      <c r="AH17" s="104">
        <v>0</v>
      </c>
      <c r="AI17" s="104">
        <v>0</v>
      </c>
      <c r="AJ17" s="104">
        <v>0</v>
      </c>
      <c r="AK17" s="104">
        <v>0</v>
      </c>
      <c r="AL17" s="104">
        <v>0</v>
      </c>
      <c r="AM17" s="104">
        <v>0</v>
      </c>
      <c r="AN17" s="104">
        <v>0</v>
      </c>
      <c r="AO17" s="104">
        <v>0</v>
      </c>
      <c r="AP17" s="104">
        <v>0</v>
      </c>
      <c r="AQ17" s="104">
        <v>0</v>
      </c>
      <c r="AR17" s="104">
        <v>0</v>
      </c>
      <c r="AS17" s="104">
        <v>0</v>
      </c>
      <c r="AT17" s="104">
        <v>0</v>
      </c>
      <c r="AU17" s="104">
        <v>0</v>
      </c>
      <c r="AV17" s="104">
        <v>0</v>
      </c>
      <c r="AW17" s="104">
        <v>0</v>
      </c>
      <c r="AX17" s="104">
        <v>0</v>
      </c>
      <c r="AZ17" s="104">
        <f t="shared" si="0"/>
        <v>25041</v>
      </c>
      <c r="BA17" s="104">
        <f t="shared" si="1"/>
        <v>717</v>
      </c>
      <c r="BB17" s="96">
        <f t="shared" si="2"/>
        <v>0</v>
      </c>
      <c r="BC17" s="104">
        <f t="shared" si="3"/>
        <v>0</v>
      </c>
    </row>
    <row r="18" spans="1:55">
      <c r="A18" s="102" t="s">
        <v>37</v>
      </c>
      <c r="B18" s="24" t="s">
        <v>445</v>
      </c>
      <c r="C18" s="103" t="s">
        <v>38</v>
      </c>
      <c r="D18" s="104">
        <v>31355</v>
      </c>
      <c r="E18" s="104">
        <v>324259</v>
      </c>
      <c r="F18" s="104">
        <v>2519</v>
      </c>
      <c r="G18" s="104">
        <v>22552</v>
      </c>
      <c r="H18" s="104">
        <v>0</v>
      </c>
      <c r="I18" s="104">
        <v>0</v>
      </c>
      <c r="J18" s="104">
        <v>0</v>
      </c>
      <c r="K18" s="104">
        <v>64834</v>
      </c>
      <c r="L18" s="104">
        <v>525</v>
      </c>
      <c r="M18" s="104">
        <v>0</v>
      </c>
      <c r="N18" s="104">
        <v>7825</v>
      </c>
      <c r="O18" s="104">
        <v>0</v>
      </c>
      <c r="P18" s="104">
        <v>0</v>
      </c>
      <c r="Q18" s="104">
        <v>0</v>
      </c>
      <c r="R18" s="104">
        <v>0</v>
      </c>
      <c r="S18" s="104">
        <v>0</v>
      </c>
      <c r="T18" s="104">
        <v>0</v>
      </c>
      <c r="U18" s="104">
        <v>0</v>
      </c>
      <c r="V18" s="104">
        <v>0</v>
      </c>
      <c r="W18" s="104">
        <v>0</v>
      </c>
      <c r="X18" s="104">
        <v>75451</v>
      </c>
      <c r="Y18" s="104">
        <v>593</v>
      </c>
      <c r="Z18" s="104">
        <v>7137</v>
      </c>
      <c r="AA18" s="104">
        <v>267340</v>
      </c>
      <c r="AB18" s="104">
        <v>2130</v>
      </c>
      <c r="AC18" s="104">
        <v>63267</v>
      </c>
      <c r="AD18" s="104">
        <v>0</v>
      </c>
      <c r="AE18" s="104">
        <v>0</v>
      </c>
      <c r="AF18" s="104">
        <v>0</v>
      </c>
      <c r="AG18" s="104">
        <v>0</v>
      </c>
      <c r="AH18" s="104">
        <v>0</v>
      </c>
      <c r="AI18" s="104">
        <v>0</v>
      </c>
      <c r="AJ18" s="104">
        <v>0</v>
      </c>
      <c r="AK18" s="104">
        <v>0</v>
      </c>
      <c r="AL18" s="104">
        <v>0</v>
      </c>
      <c r="AM18" s="104">
        <v>0</v>
      </c>
      <c r="AN18" s="104">
        <v>0</v>
      </c>
      <c r="AO18" s="104">
        <v>0</v>
      </c>
      <c r="AP18" s="104">
        <v>0</v>
      </c>
      <c r="AQ18" s="104">
        <v>0</v>
      </c>
      <c r="AR18" s="104">
        <v>0</v>
      </c>
      <c r="AS18" s="104">
        <v>58427</v>
      </c>
      <c r="AT18" s="104">
        <v>465</v>
      </c>
      <c r="AU18" s="104">
        <v>6211</v>
      </c>
      <c r="AV18" s="104">
        <v>1784</v>
      </c>
      <c r="AW18" s="104">
        <v>15</v>
      </c>
      <c r="AX18" s="104">
        <v>481</v>
      </c>
      <c r="AZ18" s="104">
        <f t="shared" si="0"/>
        <v>731884</v>
      </c>
      <c r="BA18" s="104">
        <f t="shared" si="1"/>
        <v>5767</v>
      </c>
      <c r="BB18" s="96">
        <f t="shared" si="2"/>
        <v>0</v>
      </c>
      <c r="BC18" s="104">
        <f t="shared" si="3"/>
        <v>132136</v>
      </c>
    </row>
    <row r="19" spans="1:55">
      <c r="A19" s="102" t="s">
        <v>39</v>
      </c>
      <c r="B19" s="24" t="s">
        <v>446</v>
      </c>
      <c r="C19" s="103" t="s">
        <v>38</v>
      </c>
      <c r="D19" s="104">
        <v>0</v>
      </c>
      <c r="E19" s="104">
        <v>188766</v>
      </c>
      <c r="F19" s="104">
        <v>967</v>
      </c>
      <c r="G19" s="104">
        <v>0</v>
      </c>
      <c r="H19" s="104">
        <v>0</v>
      </c>
      <c r="I19" s="104">
        <v>0</v>
      </c>
      <c r="J19" s="104">
        <v>0</v>
      </c>
      <c r="K19" s="104">
        <v>45040</v>
      </c>
      <c r="L19" s="104">
        <v>235</v>
      </c>
      <c r="M19" s="104">
        <v>0</v>
      </c>
      <c r="N19" s="104">
        <v>0</v>
      </c>
      <c r="O19" s="104">
        <v>0</v>
      </c>
      <c r="P19" s="104">
        <v>0</v>
      </c>
      <c r="Q19" s="104">
        <v>0</v>
      </c>
      <c r="R19" s="104">
        <v>0</v>
      </c>
      <c r="S19" s="104">
        <v>0</v>
      </c>
      <c r="T19" s="104">
        <v>0</v>
      </c>
      <c r="U19" s="104">
        <v>0</v>
      </c>
      <c r="V19" s="104">
        <v>0</v>
      </c>
      <c r="W19" s="104">
        <v>0</v>
      </c>
      <c r="X19" s="104">
        <v>115953</v>
      </c>
      <c r="Y19" s="104">
        <v>596</v>
      </c>
      <c r="Z19" s="104">
        <v>0</v>
      </c>
      <c r="AA19" s="104">
        <v>0</v>
      </c>
      <c r="AB19" s="104">
        <v>0</v>
      </c>
      <c r="AC19" s="104">
        <v>0</v>
      </c>
      <c r="AD19" s="104">
        <v>0</v>
      </c>
      <c r="AE19" s="104">
        <v>0</v>
      </c>
      <c r="AF19" s="104">
        <v>0</v>
      </c>
      <c r="AG19" s="104">
        <v>0</v>
      </c>
      <c r="AH19" s="104">
        <v>0</v>
      </c>
      <c r="AI19" s="104">
        <v>0</v>
      </c>
      <c r="AJ19" s="104">
        <v>0</v>
      </c>
      <c r="AK19" s="104">
        <v>0</v>
      </c>
      <c r="AL19" s="104">
        <v>0</v>
      </c>
      <c r="AM19" s="104">
        <v>0</v>
      </c>
      <c r="AN19" s="104">
        <v>0</v>
      </c>
      <c r="AO19" s="104">
        <v>0</v>
      </c>
      <c r="AP19" s="104">
        <v>0</v>
      </c>
      <c r="AQ19" s="104">
        <v>0</v>
      </c>
      <c r="AR19" s="104">
        <v>0</v>
      </c>
      <c r="AS19" s="104">
        <v>0</v>
      </c>
      <c r="AT19" s="104">
        <v>0</v>
      </c>
      <c r="AU19" s="104">
        <v>0</v>
      </c>
      <c r="AV19" s="104">
        <v>0</v>
      </c>
      <c r="AW19" s="104">
        <v>0</v>
      </c>
      <c r="AX19" s="104">
        <v>0</v>
      </c>
      <c r="AZ19" s="104">
        <f t="shared" si="0"/>
        <v>349759</v>
      </c>
      <c r="BA19" s="104">
        <f t="shared" si="1"/>
        <v>1798</v>
      </c>
      <c r="BB19" s="96">
        <f t="shared" si="2"/>
        <v>0</v>
      </c>
      <c r="BC19" s="104">
        <f t="shared" si="3"/>
        <v>0</v>
      </c>
    </row>
    <row r="20" spans="1:55">
      <c r="A20" s="102" t="s">
        <v>40</v>
      </c>
      <c r="B20" s="24" t="s">
        <v>447</v>
      </c>
      <c r="C20" s="103" t="s">
        <v>38</v>
      </c>
      <c r="D20" s="104">
        <v>77225</v>
      </c>
      <c r="E20" s="104">
        <v>241920</v>
      </c>
      <c r="F20" s="104">
        <v>1209</v>
      </c>
      <c r="G20" s="104">
        <v>48744</v>
      </c>
      <c r="H20" s="104">
        <v>0</v>
      </c>
      <c r="I20" s="104">
        <v>0</v>
      </c>
      <c r="J20" s="104">
        <v>0</v>
      </c>
      <c r="K20" s="104">
        <v>102717</v>
      </c>
      <c r="L20" s="104">
        <v>831</v>
      </c>
      <c r="M20" s="104">
        <v>0</v>
      </c>
      <c r="N20" s="104">
        <v>30890</v>
      </c>
      <c r="O20" s="104">
        <v>0</v>
      </c>
      <c r="P20" s="104">
        <v>0</v>
      </c>
      <c r="Q20" s="104">
        <v>0</v>
      </c>
      <c r="R20" s="104">
        <v>0</v>
      </c>
      <c r="S20" s="104">
        <v>0</v>
      </c>
      <c r="T20" s="104">
        <v>0</v>
      </c>
      <c r="U20" s="104">
        <v>0</v>
      </c>
      <c r="V20" s="104">
        <v>0</v>
      </c>
      <c r="W20" s="104">
        <v>0</v>
      </c>
      <c r="X20" s="104">
        <v>0</v>
      </c>
      <c r="Y20" s="104">
        <v>0</v>
      </c>
      <c r="Z20" s="104">
        <v>0</v>
      </c>
      <c r="AA20" s="104">
        <v>216020</v>
      </c>
      <c r="AB20" s="104">
        <v>1751</v>
      </c>
      <c r="AC20" s="104">
        <v>46621</v>
      </c>
      <c r="AD20" s="104">
        <v>0</v>
      </c>
      <c r="AE20" s="104">
        <v>0</v>
      </c>
      <c r="AF20" s="104">
        <v>0</v>
      </c>
      <c r="AG20" s="104">
        <v>0</v>
      </c>
      <c r="AH20" s="104">
        <v>0</v>
      </c>
      <c r="AI20" s="104">
        <v>0</v>
      </c>
      <c r="AJ20" s="104">
        <v>0</v>
      </c>
      <c r="AK20" s="104">
        <v>0</v>
      </c>
      <c r="AL20" s="104">
        <v>0</v>
      </c>
      <c r="AM20" s="104">
        <v>0</v>
      </c>
      <c r="AN20" s="104">
        <v>0</v>
      </c>
      <c r="AO20" s="104">
        <v>0</v>
      </c>
      <c r="AP20" s="104">
        <v>0</v>
      </c>
      <c r="AQ20" s="104">
        <v>0</v>
      </c>
      <c r="AR20" s="104">
        <v>0</v>
      </c>
      <c r="AS20" s="104">
        <v>0</v>
      </c>
      <c r="AT20" s="104">
        <v>0</v>
      </c>
      <c r="AU20" s="104">
        <v>0</v>
      </c>
      <c r="AV20" s="104">
        <v>0</v>
      </c>
      <c r="AW20" s="104">
        <v>0</v>
      </c>
      <c r="AX20" s="104">
        <v>0</v>
      </c>
      <c r="AZ20" s="104">
        <f t="shared" si="0"/>
        <v>560657</v>
      </c>
      <c r="BA20" s="104">
        <f t="shared" si="1"/>
        <v>3791</v>
      </c>
      <c r="BB20" s="96">
        <f t="shared" si="2"/>
        <v>0</v>
      </c>
      <c r="BC20" s="104">
        <f t="shared" si="3"/>
        <v>203480</v>
      </c>
    </row>
    <row r="21" spans="1:55">
      <c r="A21" s="102" t="s">
        <v>41</v>
      </c>
      <c r="B21" s="24" t="s">
        <v>448</v>
      </c>
      <c r="C21" s="103" t="s">
        <v>42</v>
      </c>
      <c r="D21" s="104">
        <v>0</v>
      </c>
      <c r="E21" s="104">
        <v>108211</v>
      </c>
      <c r="F21" s="104">
        <v>2653</v>
      </c>
      <c r="G21" s="104">
        <v>0</v>
      </c>
      <c r="H21" s="104">
        <v>0</v>
      </c>
      <c r="I21" s="104">
        <v>0</v>
      </c>
      <c r="J21" s="104">
        <v>0</v>
      </c>
      <c r="K21" s="104">
        <v>44380</v>
      </c>
      <c r="L21" s="104">
        <v>1065</v>
      </c>
      <c r="M21" s="104">
        <v>0</v>
      </c>
      <c r="N21" s="104">
        <v>0</v>
      </c>
      <c r="O21" s="104">
        <v>0</v>
      </c>
      <c r="P21" s="104">
        <v>0</v>
      </c>
      <c r="Q21" s="104">
        <v>0</v>
      </c>
      <c r="R21" s="104">
        <v>0</v>
      </c>
      <c r="S21" s="104">
        <v>0</v>
      </c>
      <c r="T21" s="104">
        <v>0</v>
      </c>
      <c r="U21" s="104">
        <v>0</v>
      </c>
      <c r="V21" s="104">
        <v>0</v>
      </c>
      <c r="W21" s="104">
        <v>0</v>
      </c>
      <c r="X21" s="104">
        <v>169488</v>
      </c>
      <c r="Y21" s="104">
        <v>4060</v>
      </c>
      <c r="Z21" s="104">
        <v>0</v>
      </c>
      <c r="AA21" s="104">
        <v>0</v>
      </c>
      <c r="AB21" s="104">
        <v>0</v>
      </c>
      <c r="AC21" s="104">
        <v>0</v>
      </c>
      <c r="AD21" s="104">
        <v>0</v>
      </c>
      <c r="AE21" s="104">
        <v>0</v>
      </c>
      <c r="AF21" s="104">
        <v>0</v>
      </c>
      <c r="AG21" s="104">
        <v>0</v>
      </c>
      <c r="AH21" s="104">
        <v>0</v>
      </c>
      <c r="AI21" s="104">
        <v>0</v>
      </c>
      <c r="AJ21" s="104">
        <v>0</v>
      </c>
      <c r="AK21" s="104">
        <v>0</v>
      </c>
      <c r="AL21" s="104">
        <v>0</v>
      </c>
      <c r="AM21" s="104">
        <v>0</v>
      </c>
      <c r="AN21" s="104">
        <v>0</v>
      </c>
      <c r="AO21" s="104">
        <v>0</v>
      </c>
      <c r="AP21" s="104">
        <v>0</v>
      </c>
      <c r="AQ21" s="104">
        <v>0</v>
      </c>
      <c r="AR21" s="104">
        <v>0</v>
      </c>
      <c r="AS21" s="104">
        <v>0</v>
      </c>
      <c r="AT21" s="104">
        <v>0</v>
      </c>
      <c r="AU21" s="104">
        <v>0</v>
      </c>
      <c r="AV21" s="104">
        <v>0</v>
      </c>
      <c r="AW21" s="104">
        <v>0</v>
      </c>
      <c r="AX21" s="104">
        <v>0</v>
      </c>
      <c r="AZ21" s="104">
        <f t="shared" si="0"/>
        <v>322079</v>
      </c>
      <c r="BA21" s="104">
        <f t="shared" si="1"/>
        <v>7778</v>
      </c>
      <c r="BB21" s="96">
        <f t="shared" si="2"/>
        <v>0</v>
      </c>
      <c r="BC21" s="104">
        <f t="shared" si="3"/>
        <v>0</v>
      </c>
    </row>
    <row r="22" spans="1:55">
      <c r="A22" s="102" t="s">
        <v>43</v>
      </c>
      <c r="B22" s="24" t="s">
        <v>449</v>
      </c>
      <c r="C22" s="103" t="s">
        <v>42</v>
      </c>
      <c r="D22" s="104">
        <v>0</v>
      </c>
      <c r="E22" s="104">
        <v>87599</v>
      </c>
      <c r="F22" s="104">
        <v>2074</v>
      </c>
      <c r="G22" s="104">
        <v>0</v>
      </c>
      <c r="H22" s="104">
        <v>0</v>
      </c>
      <c r="I22" s="104">
        <v>0</v>
      </c>
      <c r="J22" s="104">
        <v>0</v>
      </c>
      <c r="K22" s="104">
        <v>21068</v>
      </c>
      <c r="L22" s="104">
        <v>491</v>
      </c>
      <c r="M22" s="104">
        <v>0</v>
      </c>
      <c r="N22" s="104">
        <v>0</v>
      </c>
      <c r="O22" s="104">
        <v>0</v>
      </c>
      <c r="P22" s="104">
        <v>0</v>
      </c>
      <c r="Q22" s="104">
        <v>0</v>
      </c>
      <c r="R22" s="104">
        <v>0</v>
      </c>
      <c r="S22" s="104">
        <v>0</v>
      </c>
      <c r="T22" s="104">
        <v>0</v>
      </c>
      <c r="U22" s="104">
        <v>0</v>
      </c>
      <c r="V22" s="104">
        <v>0</v>
      </c>
      <c r="W22" s="104">
        <v>0</v>
      </c>
      <c r="X22" s="104">
        <v>0</v>
      </c>
      <c r="Y22" s="104">
        <v>0</v>
      </c>
      <c r="Z22" s="104">
        <v>0</v>
      </c>
      <c r="AA22" s="104">
        <v>0</v>
      </c>
      <c r="AB22" s="104">
        <v>0</v>
      </c>
      <c r="AC22" s="104">
        <v>0</v>
      </c>
      <c r="AD22" s="104">
        <v>0</v>
      </c>
      <c r="AE22" s="104">
        <v>0</v>
      </c>
      <c r="AF22" s="104">
        <v>0</v>
      </c>
      <c r="AG22" s="104">
        <v>0</v>
      </c>
      <c r="AH22" s="104">
        <v>0</v>
      </c>
      <c r="AI22" s="104">
        <v>0</v>
      </c>
      <c r="AJ22" s="104">
        <v>0</v>
      </c>
      <c r="AK22" s="104">
        <v>0</v>
      </c>
      <c r="AL22" s="104">
        <v>0</v>
      </c>
      <c r="AM22" s="104">
        <v>0</v>
      </c>
      <c r="AN22" s="104">
        <v>0</v>
      </c>
      <c r="AO22" s="104">
        <v>0</v>
      </c>
      <c r="AP22" s="104">
        <v>0</v>
      </c>
      <c r="AQ22" s="104">
        <v>0</v>
      </c>
      <c r="AR22" s="104">
        <v>0</v>
      </c>
      <c r="AS22" s="104">
        <v>0</v>
      </c>
      <c r="AT22" s="104">
        <v>0</v>
      </c>
      <c r="AU22" s="104">
        <v>0</v>
      </c>
      <c r="AV22" s="104">
        <v>0</v>
      </c>
      <c r="AW22" s="104">
        <v>0</v>
      </c>
      <c r="AX22" s="104">
        <v>0</v>
      </c>
      <c r="AZ22" s="104">
        <f t="shared" si="0"/>
        <v>108667</v>
      </c>
      <c r="BA22" s="104">
        <f t="shared" si="1"/>
        <v>2565</v>
      </c>
      <c r="BB22" s="96">
        <f t="shared" si="2"/>
        <v>0</v>
      </c>
      <c r="BC22" s="104">
        <f t="shared" si="3"/>
        <v>0</v>
      </c>
    </row>
    <row r="23" spans="1:55">
      <c r="A23" s="102" t="s">
        <v>44</v>
      </c>
      <c r="B23" s="24" t="s">
        <v>450</v>
      </c>
      <c r="C23" s="103" t="s">
        <v>45</v>
      </c>
      <c r="D23" s="104">
        <v>0</v>
      </c>
      <c r="E23" s="104">
        <v>3431</v>
      </c>
      <c r="F23" s="104">
        <v>16</v>
      </c>
      <c r="G23" s="104">
        <v>0</v>
      </c>
      <c r="H23" s="104">
        <v>0</v>
      </c>
      <c r="I23" s="104">
        <v>0</v>
      </c>
      <c r="J23" s="104">
        <v>0</v>
      </c>
      <c r="K23" s="104">
        <v>986</v>
      </c>
      <c r="L23" s="104">
        <v>0</v>
      </c>
      <c r="M23" s="104">
        <v>0</v>
      </c>
      <c r="N23" s="104">
        <v>0</v>
      </c>
      <c r="O23" s="104">
        <v>0</v>
      </c>
      <c r="P23" s="104">
        <v>0</v>
      </c>
      <c r="Q23" s="104">
        <v>0</v>
      </c>
      <c r="R23" s="104">
        <v>0</v>
      </c>
      <c r="S23" s="104">
        <v>0</v>
      </c>
      <c r="T23" s="104">
        <v>0</v>
      </c>
      <c r="U23" s="104">
        <v>0</v>
      </c>
      <c r="V23" s="104">
        <v>0</v>
      </c>
      <c r="W23" s="104">
        <v>0</v>
      </c>
      <c r="X23" s="104">
        <v>0</v>
      </c>
      <c r="Y23" s="104">
        <v>0</v>
      </c>
      <c r="Z23" s="104">
        <v>0</v>
      </c>
      <c r="AA23" s="104">
        <v>0</v>
      </c>
      <c r="AB23" s="104">
        <v>0</v>
      </c>
      <c r="AC23" s="104">
        <v>0</v>
      </c>
      <c r="AD23" s="104">
        <v>0</v>
      </c>
      <c r="AE23" s="104">
        <v>0</v>
      </c>
      <c r="AF23" s="104">
        <v>0</v>
      </c>
      <c r="AG23" s="104">
        <v>0</v>
      </c>
      <c r="AH23" s="104">
        <v>0</v>
      </c>
      <c r="AI23" s="104">
        <v>0</v>
      </c>
      <c r="AJ23" s="104">
        <v>0</v>
      </c>
      <c r="AK23" s="104">
        <v>0</v>
      </c>
      <c r="AL23" s="104">
        <v>0</v>
      </c>
      <c r="AM23" s="104">
        <v>0</v>
      </c>
      <c r="AN23" s="104">
        <v>0</v>
      </c>
      <c r="AO23" s="104">
        <v>0</v>
      </c>
      <c r="AP23" s="104">
        <v>0</v>
      </c>
      <c r="AQ23" s="104">
        <v>0</v>
      </c>
      <c r="AR23" s="104">
        <v>0</v>
      </c>
      <c r="AS23" s="104">
        <v>0</v>
      </c>
      <c r="AT23" s="104">
        <v>0</v>
      </c>
      <c r="AU23" s="104">
        <v>0</v>
      </c>
      <c r="AV23" s="104">
        <v>0</v>
      </c>
      <c r="AW23" s="104">
        <v>0</v>
      </c>
      <c r="AX23" s="104">
        <v>0</v>
      </c>
      <c r="AZ23" s="104">
        <f t="shared" si="0"/>
        <v>4417</v>
      </c>
      <c r="BA23" s="104">
        <f t="shared" si="1"/>
        <v>16</v>
      </c>
      <c r="BB23" s="96">
        <f t="shared" si="2"/>
        <v>0</v>
      </c>
      <c r="BC23" s="104">
        <f t="shared" si="3"/>
        <v>0</v>
      </c>
    </row>
    <row r="24" spans="1:55">
      <c r="A24" s="102" t="s">
        <v>46</v>
      </c>
      <c r="B24" s="24" t="s">
        <v>451</v>
      </c>
      <c r="C24" s="103" t="s">
        <v>47</v>
      </c>
      <c r="D24" s="104">
        <v>0</v>
      </c>
      <c r="E24" s="104">
        <v>26722</v>
      </c>
      <c r="F24" s="104">
        <v>2751</v>
      </c>
      <c r="G24" s="104">
        <v>0</v>
      </c>
      <c r="H24" s="104">
        <v>0</v>
      </c>
      <c r="I24" s="104">
        <v>0</v>
      </c>
      <c r="J24" s="104">
        <v>0</v>
      </c>
      <c r="K24" s="104">
        <v>13699</v>
      </c>
      <c r="L24" s="104">
        <v>0</v>
      </c>
      <c r="M24" s="104">
        <v>0</v>
      </c>
      <c r="N24" s="104">
        <v>0</v>
      </c>
      <c r="O24" s="104">
        <v>0</v>
      </c>
      <c r="P24" s="104">
        <v>0</v>
      </c>
      <c r="Q24" s="104">
        <v>0</v>
      </c>
      <c r="R24" s="104">
        <v>0</v>
      </c>
      <c r="S24" s="104">
        <v>0</v>
      </c>
      <c r="T24" s="104">
        <v>0</v>
      </c>
      <c r="U24" s="104">
        <v>0</v>
      </c>
      <c r="V24" s="104">
        <v>0</v>
      </c>
      <c r="W24" s="104">
        <v>0</v>
      </c>
      <c r="X24" s="104">
        <v>27799</v>
      </c>
      <c r="Y24" s="104">
        <v>0</v>
      </c>
      <c r="Z24" s="104">
        <v>0</v>
      </c>
      <c r="AA24" s="104">
        <v>0</v>
      </c>
      <c r="AB24" s="104">
        <v>0</v>
      </c>
      <c r="AC24" s="104">
        <v>0</v>
      </c>
      <c r="AD24" s="104">
        <v>0</v>
      </c>
      <c r="AE24" s="104">
        <v>0</v>
      </c>
      <c r="AF24" s="104">
        <v>0</v>
      </c>
      <c r="AG24" s="104">
        <v>0</v>
      </c>
      <c r="AH24" s="104">
        <v>0</v>
      </c>
      <c r="AI24" s="104">
        <v>0</v>
      </c>
      <c r="AJ24" s="104">
        <v>0</v>
      </c>
      <c r="AK24" s="104">
        <v>0</v>
      </c>
      <c r="AL24" s="104">
        <v>0</v>
      </c>
      <c r="AM24" s="104">
        <v>0</v>
      </c>
      <c r="AN24" s="104">
        <v>0</v>
      </c>
      <c r="AO24" s="104">
        <v>0</v>
      </c>
      <c r="AP24" s="104">
        <v>0</v>
      </c>
      <c r="AQ24" s="104">
        <v>0</v>
      </c>
      <c r="AR24" s="104">
        <v>0</v>
      </c>
      <c r="AS24" s="104">
        <v>10212</v>
      </c>
      <c r="AT24" s="104">
        <v>0</v>
      </c>
      <c r="AU24" s="104">
        <v>0</v>
      </c>
      <c r="AV24" s="104">
        <v>783</v>
      </c>
      <c r="AW24" s="104">
        <v>0</v>
      </c>
      <c r="AX24" s="104">
        <v>0</v>
      </c>
      <c r="AZ24" s="104">
        <f t="shared" si="0"/>
        <v>68220</v>
      </c>
      <c r="BA24" s="104">
        <f t="shared" si="1"/>
        <v>2751</v>
      </c>
      <c r="BB24" s="96">
        <f t="shared" si="2"/>
        <v>0</v>
      </c>
      <c r="BC24" s="104">
        <f t="shared" si="3"/>
        <v>0</v>
      </c>
    </row>
    <row r="25" spans="1:55">
      <c r="A25" s="102" t="s">
        <v>48</v>
      </c>
      <c r="B25" s="24" t="s">
        <v>452</v>
      </c>
      <c r="C25" s="103" t="s">
        <v>49</v>
      </c>
      <c r="D25" s="104">
        <v>0</v>
      </c>
      <c r="E25" s="104">
        <v>6316</v>
      </c>
      <c r="F25" s="104">
        <v>258</v>
      </c>
      <c r="G25" s="104">
        <v>0</v>
      </c>
      <c r="H25" s="104">
        <v>0</v>
      </c>
      <c r="I25" s="104">
        <v>0</v>
      </c>
      <c r="J25" s="104">
        <v>0</v>
      </c>
      <c r="K25" s="104">
        <v>4418</v>
      </c>
      <c r="L25" s="104">
        <v>204</v>
      </c>
      <c r="M25" s="104">
        <v>1373</v>
      </c>
      <c r="N25" s="104">
        <v>0</v>
      </c>
      <c r="O25" s="104">
        <v>0</v>
      </c>
      <c r="P25" s="104">
        <v>0</v>
      </c>
      <c r="Q25" s="104">
        <v>0</v>
      </c>
      <c r="R25" s="104">
        <v>0</v>
      </c>
      <c r="S25" s="104">
        <v>0</v>
      </c>
      <c r="T25" s="104">
        <v>0</v>
      </c>
      <c r="U25" s="104">
        <v>0</v>
      </c>
      <c r="V25" s="104">
        <v>0</v>
      </c>
      <c r="W25" s="104">
        <v>0</v>
      </c>
      <c r="X25" s="104">
        <v>0</v>
      </c>
      <c r="Y25" s="104">
        <v>0</v>
      </c>
      <c r="Z25" s="104">
        <v>0</v>
      </c>
      <c r="AA25" s="104">
        <v>0</v>
      </c>
      <c r="AB25" s="104">
        <v>0</v>
      </c>
      <c r="AC25" s="104">
        <v>0</v>
      </c>
      <c r="AD25" s="104">
        <v>0</v>
      </c>
      <c r="AE25" s="104">
        <v>0</v>
      </c>
      <c r="AF25" s="104">
        <v>0</v>
      </c>
      <c r="AG25" s="104">
        <v>0</v>
      </c>
      <c r="AH25" s="104">
        <v>0</v>
      </c>
      <c r="AI25" s="104">
        <v>0</v>
      </c>
      <c r="AJ25" s="104">
        <v>0</v>
      </c>
      <c r="AK25" s="104">
        <v>0</v>
      </c>
      <c r="AL25" s="104">
        <v>0</v>
      </c>
      <c r="AM25" s="104">
        <v>0</v>
      </c>
      <c r="AN25" s="104">
        <v>0</v>
      </c>
      <c r="AO25" s="104">
        <v>0</v>
      </c>
      <c r="AP25" s="104">
        <v>0</v>
      </c>
      <c r="AQ25" s="104">
        <v>0</v>
      </c>
      <c r="AR25" s="104">
        <v>0</v>
      </c>
      <c r="AS25" s="104">
        <v>2177</v>
      </c>
      <c r="AT25" s="104">
        <v>89</v>
      </c>
      <c r="AU25" s="104">
        <v>0</v>
      </c>
      <c r="AV25" s="104">
        <v>138</v>
      </c>
      <c r="AW25" s="104">
        <v>33</v>
      </c>
      <c r="AX25" s="104">
        <v>0</v>
      </c>
      <c r="AZ25" s="104">
        <f t="shared" si="0"/>
        <v>10734</v>
      </c>
      <c r="BA25" s="104">
        <f t="shared" si="1"/>
        <v>462</v>
      </c>
      <c r="BB25" s="96">
        <f t="shared" si="2"/>
        <v>1373</v>
      </c>
      <c r="BC25" s="104">
        <f t="shared" si="3"/>
        <v>0</v>
      </c>
    </row>
    <row r="26" spans="1:55">
      <c r="A26" s="102" t="s">
        <v>50</v>
      </c>
      <c r="B26" s="24" t="s">
        <v>453</v>
      </c>
      <c r="C26" s="103" t="s">
        <v>49</v>
      </c>
      <c r="D26" s="104">
        <v>0</v>
      </c>
      <c r="E26" s="104">
        <v>23995</v>
      </c>
      <c r="F26" s="104">
        <v>895</v>
      </c>
      <c r="G26" s="104">
        <v>0</v>
      </c>
      <c r="H26" s="104">
        <v>0</v>
      </c>
      <c r="I26" s="104">
        <v>0</v>
      </c>
      <c r="J26" s="104">
        <v>0</v>
      </c>
      <c r="K26" s="104">
        <v>13162</v>
      </c>
      <c r="L26" s="104">
        <v>3642</v>
      </c>
      <c r="M26" s="104">
        <v>19416</v>
      </c>
      <c r="N26" s="104">
        <v>0</v>
      </c>
      <c r="O26" s="104">
        <v>0</v>
      </c>
      <c r="P26" s="104">
        <v>0</v>
      </c>
      <c r="Q26" s="104">
        <v>0</v>
      </c>
      <c r="R26" s="104">
        <v>0</v>
      </c>
      <c r="S26" s="104">
        <v>0</v>
      </c>
      <c r="T26" s="104">
        <v>0</v>
      </c>
      <c r="U26" s="104">
        <v>0</v>
      </c>
      <c r="V26" s="104">
        <v>0</v>
      </c>
      <c r="W26" s="104">
        <v>0</v>
      </c>
      <c r="X26" s="104">
        <v>0</v>
      </c>
      <c r="Y26" s="104">
        <v>0</v>
      </c>
      <c r="Z26" s="104">
        <v>0</v>
      </c>
      <c r="AA26" s="104">
        <v>0</v>
      </c>
      <c r="AB26" s="104">
        <v>0</v>
      </c>
      <c r="AC26" s="104">
        <v>0</v>
      </c>
      <c r="AD26" s="104">
        <v>0</v>
      </c>
      <c r="AE26" s="104">
        <v>0</v>
      </c>
      <c r="AF26" s="104">
        <v>0</v>
      </c>
      <c r="AG26" s="104">
        <v>0</v>
      </c>
      <c r="AH26" s="104">
        <v>0</v>
      </c>
      <c r="AI26" s="104">
        <v>0</v>
      </c>
      <c r="AJ26" s="104">
        <v>0</v>
      </c>
      <c r="AK26" s="104">
        <v>0</v>
      </c>
      <c r="AL26" s="104">
        <v>0</v>
      </c>
      <c r="AM26" s="104">
        <v>0</v>
      </c>
      <c r="AN26" s="104">
        <v>0</v>
      </c>
      <c r="AO26" s="104">
        <v>0</v>
      </c>
      <c r="AP26" s="104">
        <v>0</v>
      </c>
      <c r="AQ26" s="104">
        <v>0</v>
      </c>
      <c r="AR26" s="104">
        <v>0</v>
      </c>
      <c r="AS26" s="104">
        <v>10374</v>
      </c>
      <c r="AT26" s="104">
        <v>2780</v>
      </c>
      <c r="AU26" s="104">
        <v>0</v>
      </c>
      <c r="AV26" s="104">
        <v>377</v>
      </c>
      <c r="AW26" s="104">
        <v>97</v>
      </c>
      <c r="AX26" s="104">
        <v>0</v>
      </c>
      <c r="AZ26" s="104">
        <f t="shared" si="0"/>
        <v>37157</v>
      </c>
      <c r="BA26" s="104">
        <f t="shared" si="1"/>
        <v>4537</v>
      </c>
      <c r="BB26" s="96">
        <f t="shared" si="2"/>
        <v>19416</v>
      </c>
      <c r="BC26" s="104">
        <f t="shared" si="3"/>
        <v>0</v>
      </c>
    </row>
    <row r="27" spans="1:55">
      <c r="A27" s="102" t="s">
        <v>51</v>
      </c>
      <c r="B27" s="24" t="s">
        <v>52</v>
      </c>
      <c r="C27" s="103" t="s">
        <v>52</v>
      </c>
      <c r="D27" s="104">
        <v>0</v>
      </c>
      <c r="E27" s="104">
        <v>56867</v>
      </c>
      <c r="F27" s="104">
        <v>877</v>
      </c>
      <c r="G27" s="104">
        <v>0</v>
      </c>
      <c r="H27" s="104">
        <v>0</v>
      </c>
      <c r="I27" s="104">
        <v>0</v>
      </c>
      <c r="J27" s="104">
        <v>0</v>
      </c>
      <c r="K27" s="104">
        <v>15284</v>
      </c>
      <c r="L27" s="104">
        <v>240</v>
      </c>
      <c r="M27" s="104">
        <v>0</v>
      </c>
      <c r="N27" s="104">
        <v>0</v>
      </c>
      <c r="O27" s="104">
        <v>0</v>
      </c>
      <c r="P27" s="104">
        <v>0</v>
      </c>
      <c r="Q27" s="104">
        <v>0</v>
      </c>
      <c r="R27" s="104">
        <v>0</v>
      </c>
      <c r="S27" s="104">
        <v>0</v>
      </c>
      <c r="T27" s="104">
        <v>0</v>
      </c>
      <c r="U27" s="104">
        <v>0</v>
      </c>
      <c r="V27" s="104">
        <v>0</v>
      </c>
      <c r="W27" s="104">
        <v>0</v>
      </c>
      <c r="X27" s="104">
        <v>0</v>
      </c>
      <c r="Y27" s="104">
        <v>0</v>
      </c>
      <c r="Z27" s="104">
        <v>0</v>
      </c>
      <c r="AA27" s="104">
        <v>0</v>
      </c>
      <c r="AB27" s="104">
        <v>0</v>
      </c>
      <c r="AC27" s="104">
        <v>0</v>
      </c>
      <c r="AD27" s="104">
        <v>0</v>
      </c>
      <c r="AE27" s="104">
        <v>0</v>
      </c>
      <c r="AF27" s="104">
        <v>0</v>
      </c>
      <c r="AG27" s="104">
        <v>0</v>
      </c>
      <c r="AH27" s="104">
        <v>0</v>
      </c>
      <c r="AI27" s="104">
        <v>0</v>
      </c>
      <c r="AJ27" s="104">
        <v>0</v>
      </c>
      <c r="AK27" s="104">
        <v>0</v>
      </c>
      <c r="AL27" s="104">
        <v>0</v>
      </c>
      <c r="AM27" s="104">
        <v>0</v>
      </c>
      <c r="AN27" s="104">
        <v>0</v>
      </c>
      <c r="AO27" s="104">
        <v>0</v>
      </c>
      <c r="AP27" s="104">
        <v>0</v>
      </c>
      <c r="AQ27" s="104">
        <v>0</v>
      </c>
      <c r="AR27" s="104">
        <v>0</v>
      </c>
      <c r="AS27" s="104">
        <v>11469</v>
      </c>
      <c r="AT27" s="104">
        <v>177</v>
      </c>
      <c r="AU27" s="104">
        <v>0</v>
      </c>
      <c r="AV27" s="104">
        <v>0</v>
      </c>
      <c r="AW27" s="104">
        <v>0</v>
      </c>
      <c r="AX27" s="104">
        <v>0</v>
      </c>
      <c r="AZ27" s="104">
        <f t="shared" si="0"/>
        <v>72151</v>
      </c>
      <c r="BA27" s="104">
        <f t="shared" si="1"/>
        <v>1117</v>
      </c>
      <c r="BB27" s="96">
        <f t="shared" si="2"/>
        <v>0</v>
      </c>
      <c r="BC27" s="104">
        <f t="shared" si="3"/>
        <v>0</v>
      </c>
    </row>
    <row r="28" spans="1:55">
      <c r="A28" s="102" t="s">
        <v>53</v>
      </c>
      <c r="B28" s="24" t="s">
        <v>454</v>
      </c>
      <c r="C28" s="103" t="s">
        <v>52</v>
      </c>
      <c r="D28" s="104">
        <v>0</v>
      </c>
      <c r="E28" s="104">
        <v>18595</v>
      </c>
      <c r="F28" s="104">
        <v>363</v>
      </c>
      <c r="G28" s="104">
        <v>0</v>
      </c>
      <c r="H28" s="104">
        <v>0</v>
      </c>
      <c r="I28" s="104">
        <v>0</v>
      </c>
      <c r="J28" s="104">
        <v>0</v>
      </c>
      <c r="K28" s="104">
        <v>4285</v>
      </c>
      <c r="L28" s="104">
        <v>1614</v>
      </c>
      <c r="M28" s="104">
        <v>0</v>
      </c>
      <c r="N28" s="104">
        <v>0</v>
      </c>
      <c r="O28" s="104">
        <v>0</v>
      </c>
      <c r="P28" s="104">
        <v>0</v>
      </c>
      <c r="Q28" s="104">
        <v>0</v>
      </c>
      <c r="R28" s="104">
        <v>0</v>
      </c>
      <c r="S28" s="104">
        <v>0</v>
      </c>
      <c r="T28" s="104">
        <v>0</v>
      </c>
      <c r="U28" s="104">
        <v>0</v>
      </c>
      <c r="V28" s="104">
        <v>0</v>
      </c>
      <c r="W28" s="104">
        <v>0</v>
      </c>
      <c r="X28" s="104">
        <v>0</v>
      </c>
      <c r="Y28" s="104">
        <v>0</v>
      </c>
      <c r="Z28" s="104">
        <v>0</v>
      </c>
      <c r="AA28" s="104">
        <v>0</v>
      </c>
      <c r="AB28" s="104">
        <v>0</v>
      </c>
      <c r="AC28" s="104">
        <v>0</v>
      </c>
      <c r="AD28" s="104">
        <v>0</v>
      </c>
      <c r="AE28" s="104">
        <v>0</v>
      </c>
      <c r="AF28" s="104">
        <v>0</v>
      </c>
      <c r="AG28" s="104">
        <v>0</v>
      </c>
      <c r="AH28" s="104">
        <v>0</v>
      </c>
      <c r="AI28" s="104">
        <v>0</v>
      </c>
      <c r="AJ28" s="104">
        <v>0</v>
      </c>
      <c r="AK28" s="104">
        <v>0</v>
      </c>
      <c r="AL28" s="104">
        <v>0</v>
      </c>
      <c r="AM28" s="104">
        <v>0</v>
      </c>
      <c r="AN28" s="104">
        <v>0</v>
      </c>
      <c r="AO28" s="104">
        <v>0</v>
      </c>
      <c r="AP28" s="104">
        <v>0</v>
      </c>
      <c r="AQ28" s="104">
        <v>0</v>
      </c>
      <c r="AR28" s="104">
        <v>0</v>
      </c>
      <c r="AS28" s="104">
        <v>0</v>
      </c>
      <c r="AT28" s="104">
        <v>0</v>
      </c>
      <c r="AU28" s="104">
        <v>0</v>
      </c>
      <c r="AV28" s="104">
        <v>0</v>
      </c>
      <c r="AW28" s="104">
        <v>0</v>
      </c>
      <c r="AX28" s="104">
        <v>0</v>
      </c>
      <c r="AZ28" s="104">
        <f t="shared" si="0"/>
        <v>22880</v>
      </c>
      <c r="BA28" s="104">
        <f t="shared" si="1"/>
        <v>1977</v>
      </c>
      <c r="BB28" s="96">
        <f t="shared" si="2"/>
        <v>0</v>
      </c>
      <c r="BC28" s="104">
        <f t="shared" si="3"/>
        <v>0</v>
      </c>
    </row>
    <row r="29" spans="1:55">
      <c r="A29" s="102" t="s">
        <v>54</v>
      </c>
      <c r="B29" s="24" t="s">
        <v>455</v>
      </c>
      <c r="C29" s="103" t="s">
        <v>52</v>
      </c>
      <c r="D29" s="104">
        <v>0</v>
      </c>
      <c r="E29" s="104">
        <v>9615</v>
      </c>
      <c r="F29" s="104">
        <v>30</v>
      </c>
      <c r="G29" s="104">
        <v>0</v>
      </c>
      <c r="H29" s="104">
        <v>0</v>
      </c>
      <c r="I29" s="104">
        <v>0</v>
      </c>
      <c r="J29" s="104">
        <v>0</v>
      </c>
      <c r="K29" s="104">
        <v>1382</v>
      </c>
      <c r="L29" s="104">
        <v>1</v>
      </c>
      <c r="M29" s="104">
        <v>0</v>
      </c>
      <c r="N29" s="104">
        <v>0</v>
      </c>
      <c r="O29" s="104">
        <v>0</v>
      </c>
      <c r="P29" s="104">
        <v>0</v>
      </c>
      <c r="Q29" s="104">
        <v>0</v>
      </c>
      <c r="R29" s="104">
        <v>0</v>
      </c>
      <c r="S29" s="104">
        <v>0</v>
      </c>
      <c r="T29" s="104">
        <v>0</v>
      </c>
      <c r="U29" s="104">
        <v>0</v>
      </c>
      <c r="V29" s="104">
        <v>0</v>
      </c>
      <c r="W29" s="104">
        <v>0</v>
      </c>
      <c r="X29" s="104">
        <v>0</v>
      </c>
      <c r="Y29" s="104">
        <v>0</v>
      </c>
      <c r="Z29" s="104">
        <v>0</v>
      </c>
      <c r="AA29" s="104">
        <v>0</v>
      </c>
      <c r="AB29" s="104">
        <v>0</v>
      </c>
      <c r="AC29" s="104">
        <v>0</v>
      </c>
      <c r="AD29" s="104">
        <v>0</v>
      </c>
      <c r="AE29" s="104">
        <v>0</v>
      </c>
      <c r="AF29" s="104">
        <v>0</v>
      </c>
      <c r="AG29" s="104">
        <v>0</v>
      </c>
      <c r="AH29" s="104">
        <v>0</v>
      </c>
      <c r="AI29" s="104">
        <v>0</v>
      </c>
      <c r="AJ29" s="104">
        <v>0</v>
      </c>
      <c r="AK29" s="104">
        <v>0</v>
      </c>
      <c r="AL29" s="104">
        <v>0</v>
      </c>
      <c r="AM29" s="104">
        <v>0</v>
      </c>
      <c r="AN29" s="104">
        <v>0</v>
      </c>
      <c r="AO29" s="104">
        <v>0</v>
      </c>
      <c r="AP29" s="104">
        <v>0</v>
      </c>
      <c r="AQ29" s="104">
        <v>0</v>
      </c>
      <c r="AR29" s="104">
        <v>0</v>
      </c>
      <c r="AS29" s="104">
        <v>0</v>
      </c>
      <c r="AT29" s="104">
        <v>0</v>
      </c>
      <c r="AU29" s="104">
        <v>0</v>
      </c>
      <c r="AV29" s="104">
        <v>0</v>
      </c>
      <c r="AW29" s="104">
        <v>0</v>
      </c>
      <c r="AX29" s="104">
        <v>0</v>
      </c>
      <c r="AZ29" s="104">
        <f t="shared" si="0"/>
        <v>10997</v>
      </c>
      <c r="BA29" s="104">
        <f t="shared" si="1"/>
        <v>31</v>
      </c>
      <c r="BB29" s="96">
        <f t="shared" si="2"/>
        <v>0</v>
      </c>
      <c r="BC29" s="104">
        <f t="shared" si="3"/>
        <v>0</v>
      </c>
    </row>
    <row r="30" spans="1:55">
      <c r="A30" s="102" t="s">
        <v>55</v>
      </c>
      <c r="B30" s="24" t="s">
        <v>456</v>
      </c>
      <c r="C30" s="103" t="s">
        <v>56</v>
      </c>
      <c r="D30" s="104">
        <v>0</v>
      </c>
      <c r="E30" s="104">
        <v>69402</v>
      </c>
      <c r="F30" s="104">
        <v>1692</v>
      </c>
      <c r="G30" s="104">
        <v>0</v>
      </c>
      <c r="H30" s="104">
        <v>0</v>
      </c>
      <c r="I30" s="104">
        <v>0</v>
      </c>
      <c r="J30" s="104">
        <v>0</v>
      </c>
      <c r="K30" s="104">
        <v>27498</v>
      </c>
      <c r="L30" s="104">
        <v>677</v>
      </c>
      <c r="M30" s="104">
        <v>0</v>
      </c>
      <c r="N30" s="104">
        <v>0</v>
      </c>
      <c r="O30" s="104">
        <v>0</v>
      </c>
      <c r="P30" s="104">
        <v>0</v>
      </c>
      <c r="Q30" s="104">
        <v>0</v>
      </c>
      <c r="R30" s="104">
        <v>0</v>
      </c>
      <c r="S30" s="104">
        <v>0</v>
      </c>
      <c r="T30" s="104">
        <v>0</v>
      </c>
      <c r="U30" s="104">
        <v>0</v>
      </c>
      <c r="V30" s="104">
        <v>0</v>
      </c>
      <c r="W30" s="104">
        <v>0</v>
      </c>
      <c r="X30" s="104">
        <v>41804</v>
      </c>
      <c r="Y30" s="104">
        <v>1035</v>
      </c>
      <c r="Z30" s="104">
        <v>0</v>
      </c>
      <c r="AA30" s="104">
        <v>0</v>
      </c>
      <c r="AB30" s="104">
        <v>0</v>
      </c>
      <c r="AC30" s="104">
        <v>0</v>
      </c>
      <c r="AD30" s="104">
        <v>0</v>
      </c>
      <c r="AE30" s="104">
        <v>0</v>
      </c>
      <c r="AF30" s="104">
        <v>0</v>
      </c>
      <c r="AG30" s="104">
        <v>0</v>
      </c>
      <c r="AH30" s="104">
        <v>0</v>
      </c>
      <c r="AI30" s="104">
        <v>0</v>
      </c>
      <c r="AJ30" s="104">
        <v>0</v>
      </c>
      <c r="AK30" s="104">
        <v>0</v>
      </c>
      <c r="AL30" s="104">
        <v>0</v>
      </c>
      <c r="AM30" s="104">
        <v>0</v>
      </c>
      <c r="AN30" s="104">
        <v>0</v>
      </c>
      <c r="AO30" s="104">
        <v>0</v>
      </c>
      <c r="AP30" s="104">
        <v>0</v>
      </c>
      <c r="AQ30" s="104">
        <v>0</v>
      </c>
      <c r="AR30" s="104">
        <v>0</v>
      </c>
      <c r="AS30" s="104">
        <v>35319</v>
      </c>
      <c r="AT30" s="104">
        <v>653</v>
      </c>
      <c r="AU30" s="104">
        <v>0</v>
      </c>
      <c r="AV30" s="104">
        <v>4780</v>
      </c>
      <c r="AW30" s="104">
        <v>89</v>
      </c>
      <c r="AX30" s="104">
        <v>0</v>
      </c>
      <c r="AZ30" s="104">
        <f t="shared" si="0"/>
        <v>138704</v>
      </c>
      <c r="BA30" s="104">
        <f t="shared" si="1"/>
        <v>3404</v>
      </c>
      <c r="BB30" s="96">
        <f t="shared" si="2"/>
        <v>0</v>
      </c>
      <c r="BC30" s="104">
        <f t="shared" si="3"/>
        <v>0</v>
      </c>
    </row>
    <row r="31" spans="1:55">
      <c r="A31" s="102" t="s">
        <v>57</v>
      </c>
      <c r="B31" s="24" t="s">
        <v>457</v>
      </c>
      <c r="C31" s="103" t="s">
        <v>58</v>
      </c>
      <c r="D31" s="104">
        <v>0</v>
      </c>
      <c r="E31" s="104">
        <v>22728</v>
      </c>
      <c r="F31" s="104">
        <v>562</v>
      </c>
      <c r="G31" s="104">
        <v>0</v>
      </c>
      <c r="H31" s="104">
        <v>0</v>
      </c>
      <c r="I31" s="104">
        <v>0</v>
      </c>
      <c r="J31" s="104">
        <v>0</v>
      </c>
      <c r="K31" s="104">
        <v>13272</v>
      </c>
      <c r="L31" s="104">
        <v>323</v>
      </c>
      <c r="M31" s="104">
        <v>1182</v>
      </c>
      <c r="N31" s="104">
        <v>0</v>
      </c>
      <c r="O31" s="104">
        <v>0</v>
      </c>
      <c r="P31" s="104">
        <v>0</v>
      </c>
      <c r="Q31" s="104">
        <v>0</v>
      </c>
      <c r="R31" s="104">
        <v>0</v>
      </c>
      <c r="S31" s="104">
        <v>0</v>
      </c>
      <c r="T31" s="104">
        <v>0</v>
      </c>
      <c r="U31" s="104">
        <v>0</v>
      </c>
      <c r="V31" s="104">
        <v>0</v>
      </c>
      <c r="W31" s="104">
        <v>0</v>
      </c>
      <c r="X31" s="104">
        <v>18645</v>
      </c>
      <c r="Y31" s="104">
        <v>452</v>
      </c>
      <c r="Z31" s="104">
        <v>0</v>
      </c>
      <c r="AA31" s="104">
        <v>0</v>
      </c>
      <c r="AB31" s="104">
        <v>0</v>
      </c>
      <c r="AC31" s="104">
        <v>0</v>
      </c>
      <c r="AD31" s="104">
        <v>0</v>
      </c>
      <c r="AE31" s="104">
        <v>0</v>
      </c>
      <c r="AF31" s="104">
        <v>0</v>
      </c>
      <c r="AG31" s="104">
        <v>0</v>
      </c>
      <c r="AH31" s="104">
        <v>0</v>
      </c>
      <c r="AI31" s="104">
        <v>0</v>
      </c>
      <c r="AJ31" s="104">
        <v>0</v>
      </c>
      <c r="AK31" s="104">
        <v>0</v>
      </c>
      <c r="AL31" s="104">
        <v>0</v>
      </c>
      <c r="AM31" s="104">
        <v>0</v>
      </c>
      <c r="AN31" s="104">
        <v>0</v>
      </c>
      <c r="AO31" s="104">
        <v>0</v>
      </c>
      <c r="AP31" s="104">
        <v>0</v>
      </c>
      <c r="AQ31" s="104">
        <v>0</v>
      </c>
      <c r="AR31" s="104">
        <v>0</v>
      </c>
      <c r="AS31" s="104">
        <v>10729</v>
      </c>
      <c r="AT31" s="104">
        <v>261</v>
      </c>
      <c r="AU31" s="104">
        <v>0</v>
      </c>
      <c r="AV31" s="104">
        <v>1117</v>
      </c>
      <c r="AW31" s="104">
        <v>27</v>
      </c>
      <c r="AX31" s="104">
        <v>0</v>
      </c>
      <c r="AZ31" s="104">
        <f t="shared" si="0"/>
        <v>54645</v>
      </c>
      <c r="BA31" s="104">
        <f t="shared" si="1"/>
        <v>1337</v>
      </c>
      <c r="BB31" s="96">
        <f t="shared" si="2"/>
        <v>1182</v>
      </c>
      <c r="BC31" s="104">
        <f t="shared" si="3"/>
        <v>0</v>
      </c>
    </row>
    <row r="32" spans="1:55">
      <c r="A32" s="102" t="s">
        <v>59</v>
      </c>
      <c r="B32" s="24" t="s">
        <v>458</v>
      </c>
      <c r="C32" s="103" t="s">
        <v>58</v>
      </c>
      <c r="D32" s="104">
        <v>0</v>
      </c>
      <c r="E32" s="104">
        <v>10796</v>
      </c>
      <c r="F32" s="104">
        <v>998</v>
      </c>
      <c r="G32" s="104">
        <v>0</v>
      </c>
      <c r="H32" s="104">
        <v>0</v>
      </c>
      <c r="I32" s="104">
        <v>0</v>
      </c>
      <c r="J32" s="104">
        <v>0</v>
      </c>
      <c r="K32" s="104">
        <v>5065</v>
      </c>
      <c r="L32" s="104">
        <v>177</v>
      </c>
      <c r="M32" s="104">
        <v>251</v>
      </c>
      <c r="N32" s="104">
        <v>0</v>
      </c>
      <c r="O32" s="104">
        <v>0</v>
      </c>
      <c r="P32" s="104">
        <v>0</v>
      </c>
      <c r="Q32" s="104">
        <v>0</v>
      </c>
      <c r="R32" s="104">
        <v>0</v>
      </c>
      <c r="S32" s="104">
        <v>0</v>
      </c>
      <c r="T32" s="104">
        <v>0</v>
      </c>
      <c r="U32" s="104">
        <v>0</v>
      </c>
      <c r="V32" s="104">
        <v>0</v>
      </c>
      <c r="W32" s="104">
        <v>0</v>
      </c>
      <c r="X32" s="104">
        <v>0</v>
      </c>
      <c r="Y32" s="104">
        <v>0</v>
      </c>
      <c r="Z32" s="104">
        <v>0</v>
      </c>
      <c r="AA32" s="104">
        <v>0</v>
      </c>
      <c r="AB32" s="104">
        <v>0</v>
      </c>
      <c r="AC32" s="104">
        <v>0</v>
      </c>
      <c r="AD32" s="104">
        <v>0</v>
      </c>
      <c r="AE32" s="104">
        <v>0</v>
      </c>
      <c r="AF32" s="104">
        <v>0</v>
      </c>
      <c r="AG32" s="104">
        <v>0</v>
      </c>
      <c r="AH32" s="104">
        <v>0</v>
      </c>
      <c r="AI32" s="104">
        <v>0</v>
      </c>
      <c r="AJ32" s="104">
        <v>0</v>
      </c>
      <c r="AK32" s="104">
        <v>0</v>
      </c>
      <c r="AL32" s="104">
        <v>0</v>
      </c>
      <c r="AM32" s="104">
        <v>0</v>
      </c>
      <c r="AN32" s="104">
        <v>0</v>
      </c>
      <c r="AO32" s="104">
        <v>0</v>
      </c>
      <c r="AP32" s="104">
        <v>0</v>
      </c>
      <c r="AQ32" s="104">
        <v>0</v>
      </c>
      <c r="AR32" s="104">
        <v>0</v>
      </c>
      <c r="AS32" s="104">
        <v>2655</v>
      </c>
      <c r="AT32" s="104">
        <v>88</v>
      </c>
      <c r="AU32" s="104">
        <v>0</v>
      </c>
      <c r="AV32" s="104">
        <v>252</v>
      </c>
      <c r="AW32" s="104">
        <v>9</v>
      </c>
      <c r="AX32" s="104">
        <v>0</v>
      </c>
      <c r="AZ32" s="104">
        <f t="shared" si="0"/>
        <v>15861</v>
      </c>
      <c r="BA32" s="104">
        <f t="shared" si="1"/>
        <v>1175</v>
      </c>
      <c r="BB32" s="96">
        <f t="shared" si="2"/>
        <v>251</v>
      </c>
      <c r="BC32" s="104">
        <f t="shared" si="3"/>
        <v>0</v>
      </c>
    </row>
    <row r="33" spans="1:55">
      <c r="A33" s="102" t="s">
        <v>60</v>
      </c>
      <c r="B33" s="24" t="s">
        <v>459</v>
      </c>
      <c r="C33" s="103" t="s">
        <v>61</v>
      </c>
      <c r="D33" s="104">
        <v>1342</v>
      </c>
      <c r="E33" s="104">
        <v>6591</v>
      </c>
      <c r="F33" s="104">
        <v>135</v>
      </c>
      <c r="G33" s="104">
        <v>445</v>
      </c>
      <c r="H33" s="104">
        <v>0</v>
      </c>
      <c r="I33" s="104">
        <v>0</v>
      </c>
      <c r="J33" s="104">
        <v>0</v>
      </c>
      <c r="K33" s="104">
        <v>5345</v>
      </c>
      <c r="L33" s="104">
        <v>713</v>
      </c>
      <c r="M33" s="104">
        <v>0</v>
      </c>
      <c r="N33" s="104">
        <v>398</v>
      </c>
      <c r="O33" s="104">
        <v>0</v>
      </c>
      <c r="P33" s="104">
        <v>0</v>
      </c>
      <c r="Q33" s="104">
        <v>0</v>
      </c>
      <c r="R33" s="104">
        <v>0</v>
      </c>
      <c r="S33" s="104">
        <v>0</v>
      </c>
      <c r="T33" s="104">
        <v>0</v>
      </c>
      <c r="U33" s="104">
        <v>0</v>
      </c>
      <c r="V33" s="104">
        <v>0</v>
      </c>
      <c r="W33" s="104">
        <v>0</v>
      </c>
      <c r="X33" s="104">
        <v>2817</v>
      </c>
      <c r="Y33" s="104">
        <v>76</v>
      </c>
      <c r="Z33" s="104">
        <v>529</v>
      </c>
      <c r="AA33" s="104">
        <v>0</v>
      </c>
      <c r="AB33" s="104">
        <v>0</v>
      </c>
      <c r="AC33" s="104">
        <v>0</v>
      </c>
      <c r="AD33" s="104">
        <v>0</v>
      </c>
      <c r="AE33" s="104">
        <v>0</v>
      </c>
      <c r="AF33" s="104">
        <v>0</v>
      </c>
      <c r="AG33" s="104">
        <v>0</v>
      </c>
      <c r="AH33" s="104">
        <v>0</v>
      </c>
      <c r="AI33" s="104">
        <v>0</v>
      </c>
      <c r="AJ33" s="104">
        <v>0</v>
      </c>
      <c r="AK33" s="104">
        <v>0</v>
      </c>
      <c r="AL33" s="104">
        <v>0</v>
      </c>
      <c r="AM33" s="104">
        <v>0</v>
      </c>
      <c r="AN33" s="104">
        <v>0</v>
      </c>
      <c r="AO33" s="104">
        <v>0</v>
      </c>
      <c r="AP33" s="104">
        <v>0</v>
      </c>
      <c r="AQ33" s="104">
        <v>0</v>
      </c>
      <c r="AR33" s="104">
        <v>0</v>
      </c>
      <c r="AS33" s="104">
        <v>1721</v>
      </c>
      <c r="AT33" s="104">
        <v>35</v>
      </c>
      <c r="AU33" s="104">
        <v>125</v>
      </c>
      <c r="AV33" s="104">
        <v>0</v>
      </c>
      <c r="AW33" s="104">
        <v>0</v>
      </c>
      <c r="AX33" s="104">
        <v>0</v>
      </c>
      <c r="AZ33" s="104">
        <f t="shared" si="0"/>
        <v>14753</v>
      </c>
      <c r="BA33" s="104">
        <f t="shared" si="1"/>
        <v>924</v>
      </c>
      <c r="BB33" s="96">
        <f t="shared" si="2"/>
        <v>0</v>
      </c>
      <c r="BC33" s="104">
        <f t="shared" si="3"/>
        <v>2714</v>
      </c>
    </row>
    <row r="34" spans="1:55">
      <c r="A34" s="102" t="s">
        <v>62</v>
      </c>
      <c r="B34" s="24" t="s">
        <v>460</v>
      </c>
      <c r="C34" s="103" t="s">
        <v>61</v>
      </c>
      <c r="D34" s="104">
        <v>0</v>
      </c>
      <c r="E34" s="104">
        <v>35311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10045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16609</v>
      </c>
      <c r="Y34" s="104">
        <v>0</v>
      </c>
      <c r="Z34" s="104">
        <v>0</v>
      </c>
      <c r="AA34" s="104">
        <v>0</v>
      </c>
      <c r="AB34" s="104">
        <v>0</v>
      </c>
      <c r="AC34" s="104">
        <v>0</v>
      </c>
      <c r="AD34" s="104">
        <v>0</v>
      </c>
      <c r="AE34" s="104">
        <v>0</v>
      </c>
      <c r="AF34" s="104">
        <v>0</v>
      </c>
      <c r="AG34" s="104">
        <v>0</v>
      </c>
      <c r="AH34" s="104">
        <v>0</v>
      </c>
      <c r="AI34" s="104">
        <v>0</v>
      </c>
      <c r="AJ34" s="104">
        <v>0</v>
      </c>
      <c r="AK34" s="104">
        <v>0</v>
      </c>
      <c r="AL34" s="104">
        <v>0</v>
      </c>
      <c r="AM34" s="104">
        <v>0</v>
      </c>
      <c r="AN34" s="104">
        <v>0</v>
      </c>
      <c r="AO34" s="104">
        <v>0</v>
      </c>
      <c r="AP34" s="104">
        <v>0</v>
      </c>
      <c r="AQ34" s="104">
        <v>0</v>
      </c>
      <c r="AR34" s="104">
        <v>0</v>
      </c>
      <c r="AS34" s="104">
        <v>7531</v>
      </c>
      <c r="AT34" s="104">
        <v>0</v>
      </c>
      <c r="AU34" s="104">
        <v>0</v>
      </c>
      <c r="AV34" s="104">
        <v>0</v>
      </c>
      <c r="AW34" s="104">
        <v>0</v>
      </c>
      <c r="AX34" s="104">
        <v>0</v>
      </c>
      <c r="AZ34" s="104">
        <f t="shared" si="0"/>
        <v>61965</v>
      </c>
      <c r="BA34" s="104">
        <f t="shared" si="1"/>
        <v>0</v>
      </c>
      <c r="BB34" s="96">
        <f t="shared" si="2"/>
        <v>0</v>
      </c>
      <c r="BC34" s="104">
        <f t="shared" si="3"/>
        <v>0</v>
      </c>
    </row>
    <row r="35" spans="1:55">
      <c r="A35" s="102" t="s">
        <v>63</v>
      </c>
      <c r="B35" s="24" t="s">
        <v>461</v>
      </c>
      <c r="C35" s="103" t="s">
        <v>64</v>
      </c>
      <c r="D35" s="104">
        <v>0</v>
      </c>
      <c r="E35" s="104">
        <v>24969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4962</v>
      </c>
      <c r="L35" s="104">
        <v>0</v>
      </c>
      <c r="M35" s="104">
        <v>0</v>
      </c>
      <c r="N35" s="104">
        <v>0</v>
      </c>
      <c r="O35" s="104">
        <v>0</v>
      </c>
      <c r="P35" s="104">
        <v>0</v>
      </c>
      <c r="Q35" s="104">
        <v>0</v>
      </c>
      <c r="R35" s="104">
        <v>0</v>
      </c>
      <c r="S35" s="104">
        <v>0</v>
      </c>
      <c r="T35" s="104">
        <v>0</v>
      </c>
      <c r="U35" s="104">
        <v>0</v>
      </c>
      <c r="V35" s="104">
        <v>0</v>
      </c>
      <c r="W35" s="104">
        <v>0</v>
      </c>
      <c r="X35" s="104">
        <v>0</v>
      </c>
      <c r="Y35" s="104">
        <v>0</v>
      </c>
      <c r="Z35" s="104">
        <v>0</v>
      </c>
      <c r="AA35" s="104">
        <v>0</v>
      </c>
      <c r="AB35" s="104">
        <v>0</v>
      </c>
      <c r="AC35" s="104">
        <v>0</v>
      </c>
      <c r="AD35" s="104">
        <v>0</v>
      </c>
      <c r="AE35" s="104">
        <v>0</v>
      </c>
      <c r="AF35" s="104">
        <v>0</v>
      </c>
      <c r="AG35" s="104">
        <v>0</v>
      </c>
      <c r="AH35" s="104">
        <v>0</v>
      </c>
      <c r="AI35" s="104">
        <v>0</v>
      </c>
      <c r="AJ35" s="104">
        <v>0</v>
      </c>
      <c r="AK35" s="104">
        <v>0</v>
      </c>
      <c r="AL35" s="104">
        <v>0</v>
      </c>
      <c r="AM35" s="104">
        <v>0</v>
      </c>
      <c r="AN35" s="104">
        <v>0</v>
      </c>
      <c r="AO35" s="104">
        <v>0</v>
      </c>
      <c r="AP35" s="104">
        <v>0</v>
      </c>
      <c r="AQ35" s="104">
        <v>0</v>
      </c>
      <c r="AR35" s="104">
        <v>0</v>
      </c>
      <c r="AS35" s="104">
        <v>1249</v>
      </c>
      <c r="AT35" s="104">
        <v>0</v>
      </c>
      <c r="AU35" s="104">
        <v>0</v>
      </c>
      <c r="AV35" s="104">
        <v>0</v>
      </c>
      <c r="AW35" s="104">
        <v>0</v>
      </c>
      <c r="AX35" s="104">
        <v>0</v>
      </c>
      <c r="AZ35" s="104">
        <f t="shared" si="0"/>
        <v>29931</v>
      </c>
      <c r="BA35" s="104">
        <f t="shared" si="1"/>
        <v>0</v>
      </c>
      <c r="BB35" s="96">
        <f t="shared" si="2"/>
        <v>0</v>
      </c>
      <c r="BC35" s="104">
        <f t="shared" si="3"/>
        <v>0</v>
      </c>
    </row>
    <row r="36" spans="1:55">
      <c r="A36" s="102" t="s">
        <v>65</v>
      </c>
      <c r="B36" s="24" t="s">
        <v>462</v>
      </c>
      <c r="C36" s="103" t="s">
        <v>64</v>
      </c>
      <c r="D36" s="104">
        <v>0</v>
      </c>
      <c r="E36" s="104">
        <v>22408</v>
      </c>
      <c r="F36" s="104">
        <v>314</v>
      </c>
      <c r="G36" s="104">
        <v>0</v>
      </c>
      <c r="H36" s="104">
        <v>0</v>
      </c>
      <c r="I36" s="104">
        <v>0</v>
      </c>
      <c r="J36" s="104">
        <v>0</v>
      </c>
      <c r="K36" s="104">
        <v>6139</v>
      </c>
      <c r="L36" s="104">
        <v>90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Z36" s="104">
        <v>0</v>
      </c>
      <c r="AA36" s="104">
        <v>0</v>
      </c>
      <c r="AB36" s="104">
        <v>0</v>
      </c>
      <c r="AC36" s="104">
        <v>0</v>
      </c>
      <c r="AD36" s="104">
        <v>0</v>
      </c>
      <c r="AE36" s="104">
        <v>0</v>
      </c>
      <c r="AF36" s="104">
        <v>0</v>
      </c>
      <c r="AG36" s="104">
        <v>0</v>
      </c>
      <c r="AH36" s="104">
        <v>0</v>
      </c>
      <c r="AI36" s="104">
        <v>0</v>
      </c>
      <c r="AJ36" s="104">
        <v>0</v>
      </c>
      <c r="AK36" s="104">
        <v>0</v>
      </c>
      <c r="AL36" s="104">
        <v>0</v>
      </c>
      <c r="AM36" s="104">
        <v>0</v>
      </c>
      <c r="AN36" s="104">
        <v>0</v>
      </c>
      <c r="AO36" s="104">
        <v>0</v>
      </c>
      <c r="AP36" s="104">
        <v>0</v>
      </c>
      <c r="AQ36" s="104">
        <v>0</v>
      </c>
      <c r="AR36" s="104">
        <v>0</v>
      </c>
      <c r="AS36" s="104">
        <v>1522</v>
      </c>
      <c r="AT36" s="104">
        <v>22</v>
      </c>
      <c r="AU36" s="104">
        <v>0</v>
      </c>
      <c r="AV36" s="104">
        <v>0</v>
      </c>
      <c r="AW36" s="104">
        <v>0</v>
      </c>
      <c r="AX36" s="104">
        <v>0</v>
      </c>
      <c r="AZ36" s="104">
        <f t="shared" si="0"/>
        <v>28547</v>
      </c>
      <c r="BA36" s="104">
        <f t="shared" si="1"/>
        <v>404</v>
      </c>
      <c r="BB36" s="96">
        <f t="shared" si="2"/>
        <v>0</v>
      </c>
      <c r="BC36" s="104">
        <f t="shared" si="3"/>
        <v>0</v>
      </c>
    </row>
    <row r="37" spans="1:55">
      <c r="A37" s="102" t="s">
        <v>66</v>
      </c>
      <c r="B37" s="24" t="s">
        <v>463</v>
      </c>
      <c r="C37" s="103" t="s">
        <v>28</v>
      </c>
      <c r="D37" s="104">
        <v>0</v>
      </c>
      <c r="E37" s="104">
        <v>10749</v>
      </c>
      <c r="F37" s="104">
        <v>152</v>
      </c>
      <c r="G37" s="104">
        <v>0</v>
      </c>
      <c r="H37" s="104">
        <v>0</v>
      </c>
      <c r="I37" s="104">
        <v>0</v>
      </c>
      <c r="J37" s="104">
        <v>0</v>
      </c>
      <c r="K37" s="104">
        <v>4066</v>
      </c>
      <c r="L37" s="104">
        <v>56</v>
      </c>
      <c r="M37" s="104">
        <v>0</v>
      </c>
      <c r="N37" s="104">
        <v>0</v>
      </c>
      <c r="O37" s="104">
        <v>0</v>
      </c>
      <c r="P37" s="104">
        <v>0</v>
      </c>
      <c r="Q37" s="104">
        <v>0</v>
      </c>
      <c r="R37" s="104">
        <v>0</v>
      </c>
      <c r="S37" s="104">
        <v>0</v>
      </c>
      <c r="T37" s="104">
        <v>0</v>
      </c>
      <c r="U37" s="104">
        <v>0</v>
      </c>
      <c r="V37" s="104">
        <v>0</v>
      </c>
      <c r="W37" s="104">
        <v>0</v>
      </c>
      <c r="X37" s="104">
        <v>0</v>
      </c>
      <c r="Y37" s="104">
        <v>0</v>
      </c>
      <c r="Z37" s="104">
        <v>0</v>
      </c>
      <c r="AA37" s="104">
        <v>0</v>
      </c>
      <c r="AB37" s="104">
        <v>0</v>
      </c>
      <c r="AC37" s="104">
        <v>0</v>
      </c>
      <c r="AD37" s="104">
        <v>0</v>
      </c>
      <c r="AE37" s="104">
        <v>0</v>
      </c>
      <c r="AF37" s="104">
        <v>0</v>
      </c>
      <c r="AG37" s="104">
        <v>0</v>
      </c>
      <c r="AH37" s="104">
        <v>0</v>
      </c>
      <c r="AI37" s="104">
        <v>0</v>
      </c>
      <c r="AJ37" s="104">
        <v>0</v>
      </c>
      <c r="AK37" s="104">
        <v>0</v>
      </c>
      <c r="AL37" s="104">
        <v>0</v>
      </c>
      <c r="AM37" s="104">
        <v>0</v>
      </c>
      <c r="AN37" s="104">
        <v>0</v>
      </c>
      <c r="AO37" s="104">
        <v>0</v>
      </c>
      <c r="AP37" s="104">
        <v>0</v>
      </c>
      <c r="AQ37" s="104">
        <v>0</v>
      </c>
      <c r="AR37" s="104">
        <v>0</v>
      </c>
      <c r="AS37" s="104">
        <v>0</v>
      </c>
      <c r="AT37" s="104">
        <v>0</v>
      </c>
      <c r="AU37" s="104">
        <v>0</v>
      </c>
      <c r="AV37" s="104">
        <v>0</v>
      </c>
      <c r="AW37" s="104">
        <v>0</v>
      </c>
      <c r="AX37" s="104">
        <v>0</v>
      </c>
      <c r="AZ37" s="104">
        <f t="shared" si="0"/>
        <v>14815</v>
      </c>
      <c r="BA37" s="104">
        <f t="shared" si="1"/>
        <v>208</v>
      </c>
      <c r="BB37" s="96">
        <f t="shared" si="2"/>
        <v>0</v>
      </c>
      <c r="BC37" s="104">
        <f t="shared" si="3"/>
        <v>0</v>
      </c>
    </row>
    <row r="38" spans="1:55">
      <c r="A38" s="102" t="s">
        <v>67</v>
      </c>
      <c r="B38" s="24" t="s">
        <v>28</v>
      </c>
      <c r="C38" s="103" t="s">
        <v>28</v>
      </c>
      <c r="D38" s="104">
        <v>0</v>
      </c>
      <c r="E38" s="104">
        <v>48080</v>
      </c>
      <c r="F38" s="104">
        <v>803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4">
        <v>0</v>
      </c>
      <c r="O38" s="104">
        <v>0</v>
      </c>
      <c r="P38" s="104">
        <v>0</v>
      </c>
      <c r="Q38" s="104">
        <v>0</v>
      </c>
      <c r="R38" s="104">
        <v>0</v>
      </c>
      <c r="S38" s="104">
        <v>0</v>
      </c>
      <c r="T38" s="104">
        <v>0</v>
      </c>
      <c r="U38" s="104">
        <v>0</v>
      </c>
      <c r="V38" s="104">
        <v>0</v>
      </c>
      <c r="W38" s="104">
        <v>0</v>
      </c>
      <c r="X38" s="104">
        <v>26183</v>
      </c>
      <c r="Y38" s="104">
        <v>427</v>
      </c>
      <c r="Z38" s="104">
        <v>0</v>
      </c>
      <c r="AA38" s="104">
        <v>0</v>
      </c>
      <c r="AB38" s="104">
        <v>0</v>
      </c>
      <c r="AC38" s="104">
        <v>0</v>
      </c>
      <c r="AD38" s="104">
        <v>0</v>
      </c>
      <c r="AE38" s="104">
        <v>0</v>
      </c>
      <c r="AF38" s="104">
        <v>0</v>
      </c>
      <c r="AG38" s="104">
        <v>0</v>
      </c>
      <c r="AH38" s="104">
        <v>0</v>
      </c>
      <c r="AI38" s="104">
        <v>0</v>
      </c>
      <c r="AJ38" s="104">
        <v>0</v>
      </c>
      <c r="AK38" s="104">
        <v>0</v>
      </c>
      <c r="AL38" s="104">
        <v>0</v>
      </c>
      <c r="AM38" s="104">
        <v>0</v>
      </c>
      <c r="AN38" s="104">
        <v>0</v>
      </c>
      <c r="AO38" s="104">
        <v>0</v>
      </c>
      <c r="AP38" s="104">
        <v>0</v>
      </c>
      <c r="AQ38" s="104">
        <v>0</v>
      </c>
      <c r="AR38" s="104">
        <v>0</v>
      </c>
      <c r="AS38" s="104">
        <v>0</v>
      </c>
      <c r="AT38" s="104">
        <v>0</v>
      </c>
      <c r="AU38" s="104">
        <v>0</v>
      </c>
      <c r="AV38" s="104">
        <v>0</v>
      </c>
      <c r="AW38" s="104">
        <v>0</v>
      </c>
      <c r="AX38" s="104">
        <v>0</v>
      </c>
      <c r="AZ38" s="104">
        <f t="shared" si="0"/>
        <v>74263</v>
      </c>
      <c r="BA38" s="104">
        <f t="shared" si="1"/>
        <v>1230</v>
      </c>
      <c r="BB38" s="96">
        <f t="shared" si="2"/>
        <v>0</v>
      </c>
      <c r="BC38" s="104">
        <f t="shared" si="3"/>
        <v>0</v>
      </c>
    </row>
    <row r="39" spans="1:55">
      <c r="A39" s="102" t="s">
        <v>68</v>
      </c>
      <c r="B39" s="24" t="s">
        <v>464</v>
      </c>
      <c r="C39" s="103" t="s">
        <v>28</v>
      </c>
      <c r="D39" s="104">
        <v>0</v>
      </c>
      <c r="E39" s="104">
        <v>68346</v>
      </c>
      <c r="F39" s="104">
        <v>579</v>
      </c>
      <c r="G39" s="104">
        <v>0</v>
      </c>
      <c r="H39" s="104">
        <v>0</v>
      </c>
      <c r="I39" s="104">
        <v>0</v>
      </c>
      <c r="J39" s="104">
        <v>0</v>
      </c>
      <c r="K39" s="104">
        <v>10593</v>
      </c>
      <c r="L39" s="104">
        <v>88</v>
      </c>
      <c r="M39" s="104">
        <v>0</v>
      </c>
      <c r="N39" s="104">
        <v>0</v>
      </c>
      <c r="O39" s="104">
        <v>0</v>
      </c>
      <c r="P39" s="104">
        <v>0</v>
      </c>
      <c r="Q39" s="104">
        <v>0</v>
      </c>
      <c r="R39" s="104">
        <v>0</v>
      </c>
      <c r="S39" s="104">
        <v>0</v>
      </c>
      <c r="T39" s="104">
        <v>0</v>
      </c>
      <c r="U39" s="104">
        <v>0</v>
      </c>
      <c r="V39" s="104">
        <v>0</v>
      </c>
      <c r="W39" s="104">
        <v>0</v>
      </c>
      <c r="X39" s="104">
        <v>0</v>
      </c>
      <c r="Y39" s="104">
        <v>0</v>
      </c>
      <c r="Z39" s="104">
        <v>0</v>
      </c>
      <c r="AA39" s="104">
        <v>0</v>
      </c>
      <c r="AB39" s="104">
        <v>0</v>
      </c>
      <c r="AC39" s="104">
        <v>0</v>
      </c>
      <c r="AD39" s="104">
        <v>0</v>
      </c>
      <c r="AE39" s="104">
        <v>0</v>
      </c>
      <c r="AF39" s="104">
        <v>0</v>
      </c>
      <c r="AG39" s="104">
        <v>0</v>
      </c>
      <c r="AH39" s="104">
        <v>0</v>
      </c>
      <c r="AI39" s="104">
        <v>0</v>
      </c>
      <c r="AJ39" s="104">
        <v>0</v>
      </c>
      <c r="AK39" s="104">
        <v>0</v>
      </c>
      <c r="AL39" s="104">
        <v>0</v>
      </c>
      <c r="AM39" s="104">
        <v>0</v>
      </c>
      <c r="AN39" s="104">
        <v>0</v>
      </c>
      <c r="AO39" s="104">
        <v>0</v>
      </c>
      <c r="AP39" s="104">
        <v>0</v>
      </c>
      <c r="AQ39" s="104">
        <v>0</v>
      </c>
      <c r="AR39" s="104">
        <v>0</v>
      </c>
      <c r="AS39" s="104">
        <v>0</v>
      </c>
      <c r="AT39" s="104">
        <v>0</v>
      </c>
      <c r="AU39" s="104">
        <v>0</v>
      </c>
      <c r="AV39" s="104">
        <v>0</v>
      </c>
      <c r="AW39" s="104">
        <v>0</v>
      </c>
      <c r="AX39" s="104">
        <v>0</v>
      </c>
      <c r="AZ39" s="104">
        <f t="shared" si="0"/>
        <v>78939</v>
      </c>
      <c r="BA39" s="104">
        <f t="shared" si="1"/>
        <v>667</v>
      </c>
      <c r="BB39" s="96">
        <f t="shared" si="2"/>
        <v>0</v>
      </c>
      <c r="BC39" s="104">
        <f t="shared" si="3"/>
        <v>0</v>
      </c>
    </row>
    <row r="40" spans="1:55">
      <c r="A40" s="102" t="s">
        <v>69</v>
      </c>
      <c r="B40" s="24" t="s">
        <v>465</v>
      </c>
      <c r="C40" s="103" t="s">
        <v>28</v>
      </c>
      <c r="D40" s="104">
        <v>0</v>
      </c>
      <c r="E40" s="104">
        <v>24236</v>
      </c>
      <c r="F40" s="104">
        <v>344</v>
      </c>
      <c r="G40" s="104">
        <v>15</v>
      </c>
      <c r="H40" s="104">
        <v>0</v>
      </c>
      <c r="I40" s="104">
        <v>0</v>
      </c>
      <c r="J40" s="104">
        <v>0</v>
      </c>
      <c r="K40" s="104">
        <v>10350</v>
      </c>
      <c r="L40" s="104">
        <v>123</v>
      </c>
      <c r="M40" s="104">
        <v>7</v>
      </c>
      <c r="N40" s="104">
        <v>0</v>
      </c>
      <c r="O40" s="104">
        <v>0</v>
      </c>
      <c r="P40" s="104">
        <v>0</v>
      </c>
      <c r="Q40" s="104">
        <v>0</v>
      </c>
      <c r="R40" s="104">
        <v>0</v>
      </c>
      <c r="S40" s="104">
        <v>0</v>
      </c>
      <c r="T40" s="104">
        <v>0</v>
      </c>
      <c r="U40" s="104">
        <v>0</v>
      </c>
      <c r="V40" s="104">
        <v>0</v>
      </c>
      <c r="W40" s="104">
        <v>0</v>
      </c>
      <c r="X40" s="104">
        <v>0</v>
      </c>
      <c r="Y40" s="104">
        <v>0</v>
      </c>
      <c r="Z40" s="104">
        <v>0</v>
      </c>
      <c r="AA40" s="104">
        <v>0</v>
      </c>
      <c r="AB40" s="104">
        <v>0</v>
      </c>
      <c r="AC40" s="104">
        <v>0</v>
      </c>
      <c r="AD40" s="104">
        <v>0</v>
      </c>
      <c r="AE40" s="104">
        <v>0</v>
      </c>
      <c r="AF40" s="104">
        <v>0</v>
      </c>
      <c r="AG40" s="104">
        <v>0</v>
      </c>
      <c r="AH40" s="104">
        <v>0</v>
      </c>
      <c r="AI40" s="104">
        <v>0</v>
      </c>
      <c r="AJ40" s="104">
        <v>0</v>
      </c>
      <c r="AK40" s="104">
        <v>0</v>
      </c>
      <c r="AL40" s="104">
        <v>0</v>
      </c>
      <c r="AM40" s="104">
        <v>0</v>
      </c>
      <c r="AN40" s="104">
        <v>0</v>
      </c>
      <c r="AO40" s="104">
        <v>0</v>
      </c>
      <c r="AP40" s="104">
        <v>0</v>
      </c>
      <c r="AQ40" s="104">
        <v>0</v>
      </c>
      <c r="AR40" s="104">
        <v>0</v>
      </c>
      <c r="AS40" s="104">
        <v>0</v>
      </c>
      <c r="AT40" s="104">
        <v>0</v>
      </c>
      <c r="AU40" s="104">
        <v>0</v>
      </c>
      <c r="AV40" s="104">
        <v>0</v>
      </c>
      <c r="AW40" s="104">
        <v>0</v>
      </c>
      <c r="AX40" s="104">
        <v>0</v>
      </c>
      <c r="AZ40" s="104">
        <f t="shared" si="0"/>
        <v>34586</v>
      </c>
      <c r="BA40" s="104">
        <f t="shared" si="1"/>
        <v>467</v>
      </c>
      <c r="BB40" s="96">
        <f t="shared" si="2"/>
        <v>7</v>
      </c>
      <c r="BC40" s="104">
        <f t="shared" si="3"/>
        <v>15</v>
      </c>
    </row>
    <row r="41" spans="1:55">
      <c r="A41" s="102" t="s">
        <v>70</v>
      </c>
      <c r="B41" s="24" t="s">
        <v>466</v>
      </c>
      <c r="C41" s="103" t="s">
        <v>71</v>
      </c>
      <c r="D41" s="104">
        <v>0</v>
      </c>
      <c r="E41" s="104">
        <v>22589</v>
      </c>
      <c r="F41" s="104">
        <v>601</v>
      </c>
      <c r="G41" s="104">
        <v>0</v>
      </c>
      <c r="H41" s="104">
        <v>0</v>
      </c>
      <c r="I41" s="104">
        <v>0</v>
      </c>
      <c r="J41" s="104">
        <v>0</v>
      </c>
      <c r="K41" s="104">
        <v>3335</v>
      </c>
      <c r="L41" s="104">
        <v>88</v>
      </c>
      <c r="M41" s="104">
        <v>0</v>
      </c>
      <c r="N41" s="104">
        <v>0</v>
      </c>
      <c r="O41" s="104">
        <v>0</v>
      </c>
      <c r="P41" s="104">
        <v>0</v>
      </c>
      <c r="Q41" s="104">
        <v>0</v>
      </c>
      <c r="R41" s="104">
        <v>0</v>
      </c>
      <c r="S41" s="104">
        <v>0</v>
      </c>
      <c r="T41" s="104">
        <v>0</v>
      </c>
      <c r="U41" s="104">
        <v>0</v>
      </c>
      <c r="V41" s="104">
        <v>0</v>
      </c>
      <c r="W41" s="104">
        <v>0</v>
      </c>
      <c r="X41" s="104">
        <v>0</v>
      </c>
      <c r="Y41" s="104">
        <v>0</v>
      </c>
      <c r="Z41" s="104">
        <v>0</v>
      </c>
      <c r="AA41" s="104">
        <v>0</v>
      </c>
      <c r="AB41" s="104">
        <v>0</v>
      </c>
      <c r="AC41" s="104">
        <v>0</v>
      </c>
      <c r="AD41" s="104">
        <v>0</v>
      </c>
      <c r="AE41" s="104">
        <v>0</v>
      </c>
      <c r="AF41" s="104">
        <v>0</v>
      </c>
      <c r="AG41" s="104">
        <v>0</v>
      </c>
      <c r="AH41" s="104">
        <v>0</v>
      </c>
      <c r="AI41" s="104">
        <v>0</v>
      </c>
      <c r="AJ41" s="104">
        <v>0</v>
      </c>
      <c r="AK41" s="104">
        <v>0</v>
      </c>
      <c r="AL41" s="104">
        <v>0</v>
      </c>
      <c r="AM41" s="104">
        <v>0</v>
      </c>
      <c r="AN41" s="104">
        <v>0</v>
      </c>
      <c r="AO41" s="104">
        <v>0</v>
      </c>
      <c r="AP41" s="104">
        <v>0</v>
      </c>
      <c r="AQ41" s="104">
        <v>0</v>
      </c>
      <c r="AR41" s="104">
        <v>0</v>
      </c>
      <c r="AS41" s="104">
        <v>1617</v>
      </c>
      <c r="AT41" s="104">
        <v>44</v>
      </c>
      <c r="AU41" s="104">
        <v>0</v>
      </c>
      <c r="AV41" s="104">
        <v>0</v>
      </c>
      <c r="AW41" s="104">
        <v>0</v>
      </c>
      <c r="AX41" s="104">
        <v>0</v>
      </c>
      <c r="AZ41" s="104">
        <f t="shared" si="0"/>
        <v>25924</v>
      </c>
      <c r="BA41" s="104">
        <f t="shared" si="1"/>
        <v>689</v>
      </c>
      <c r="BB41" s="96">
        <f t="shared" si="2"/>
        <v>0</v>
      </c>
      <c r="BC41" s="104">
        <f t="shared" si="3"/>
        <v>0</v>
      </c>
    </row>
    <row r="42" spans="1:55">
      <c r="A42" s="102" t="s">
        <v>72</v>
      </c>
      <c r="B42" s="24" t="s">
        <v>71</v>
      </c>
      <c r="C42" s="103" t="s">
        <v>71</v>
      </c>
      <c r="D42" s="104">
        <v>0</v>
      </c>
      <c r="E42" s="104">
        <v>20100</v>
      </c>
      <c r="F42" s="104">
        <v>414</v>
      </c>
      <c r="G42" s="104">
        <v>0</v>
      </c>
      <c r="H42" s="104">
        <v>0</v>
      </c>
      <c r="I42" s="104">
        <v>0</v>
      </c>
      <c r="J42" s="104">
        <v>0</v>
      </c>
      <c r="K42" s="104">
        <v>8040</v>
      </c>
      <c r="L42" s="104">
        <v>166</v>
      </c>
      <c r="M42" s="104">
        <v>0</v>
      </c>
      <c r="N42" s="104">
        <v>0</v>
      </c>
      <c r="O42" s="104">
        <v>0</v>
      </c>
      <c r="P42" s="104">
        <v>0</v>
      </c>
      <c r="Q42" s="104">
        <v>0</v>
      </c>
      <c r="R42" s="104">
        <v>0</v>
      </c>
      <c r="S42" s="104">
        <v>0</v>
      </c>
      <c r="T42" s="104">
        <v>0</v>
      </c>
      <c r="U42" s="104">
        <v>0</v>
      </c>
      <c r="V42" s="104">
        <v>0</v>
      </c>
      <c r="W42" s="104">
        <v>0</v>
      </c>
      <c r="X42" s="104">
        <v>0</v>
      </c>
      <c r="Y42" s="104">
        <v>0</v>
      </c>
      <c r="Z42" s="104">
        <v>0</v>
      </c>
      <c r="AA42" s="104">
        <v>0</v>
      </c>
      <c r="AB42" s="104">
        <v>0</v>
      </c>
      <c r="AC42" s="104">
        <v>0</v>
      </c>
      <c r="AD42" s="104">
        <v>0</v>
      </c>
      <c r="AE42" s="104">
        <v>0</v>
      </c>
      <c r="AF42" s="104">
        <v>0</v>
      </c>
      <c r="AG42" s="104">
        <v>0</v>
      </c>
      <c r="AH42" s="104">
        <v>0</v>
      </c>
      <c r="AI42" s="104">
        <v>0</v>
      </c>
      <c r="AJ42" s="104">
        <v>0</v>
      </c>
      <c r="AK42" s="104">
        <v>0</v>
      </c>
      <c r="AL42" s="104">
        <v>0</v>
      </c>
      <c r="AM42" s="104">
        <v>0</v>
      </c>
      <c r="AN42" s="104">
        <v>0</v>
      </c>
      <c r="AO42" s="104">
        <v>0</v>
      </c>
      <c r="AP42" s="104">
        <v>0</v>
      </c>
      <c r="AQ42" s="104">
        <v>0</v>
      </c>
      <c r="AR42" s="104">
        <v>0</v>
      </c>
      <c r="AS42" s="104">
        <v>2010</v>
      </c>
      <c r="AT42" s="104">
        <v>41</v>
      </c>
      <c r="AU42" s="104">
        <v>0</v>
      </c>
      <c r="AV42" s="104">
        <v>0</v>
      </c>
      <c r="AW42" s="104">
        <v>0</v>
      </c>
      <c r="AX42" s="104">
        <v>0</v>
      </c>
      <c r="AZ42" s="104">
        <f t="shared" si="0"/>
        <v>28140</v>
      </c>
      <c r="BA42" s="104">
        <f t="shared" si="1"/>
        <v>580</v>
      </c>
      <c r="BB42" s="96">
        <f t="shared" si="2"/>
        <v>0</v>
      </c>
      <c r="BC42" s="104">
        <f t="shared" si="3"/>
        <v>0</v>
      </c>
    </row>
    <row r="43" spans="1:55">
      <c r="A43" s="102" t="s">
        <v>73</v>
      </c>
      <c r="B43" s="24" t="s">
        <v>467</v>
      </c>
      <c r="C43" s="103" t="s">
        <v>74</v>
      </c>
      <c r="D43" s="104">
        <v>0</v>
      </c>
      <c r="E43" s="104">
        <v>15913</v>
      </c>
      <c r="F43" s="104">
        <v>217</v>
      </c>
      <c r="G43" s="104">
        <v>0</v>
      </c>
      <c r="H43" s="104">
        <v>0</v>
      </c>
      <c r="I43" s="104">
        <v>0</v>
      </c>
      <c r="J43" s="104">
        <v>0</v>
      </c>
      <c r="K43" s="104">
        <v>6488</v>
      </c>
      <c r="L43" s="104">
        <v>86</v>
      </c>
      <c r="M43" s="104">
        <v>0</v>
      </c>
      <c r="N43" s="104">
        <v>0</v>
      </c>
      <c r="O43" s="104">
        <v>0</v>
      </c>
      <c r="P43" s="104">
        <v>0</v>
      </c>
      <c r="Q43" s="104">
        <v>0</v>
      </c>
      <c r="R43" s="104">
        <v>0</v>
      </c>
      <c r="S43" s="104">
        <v>0</v>
      </c>
      <c r="T43" s="104">
        <v>0</v>
      </c>
      <c r="U43" s="104">
        <v>0</v>
      </c>
      <c r="V43" s="104">
        <v>0</v>
      </c>
      <c r="W43" s="104">
        <v>0</v>
      </c>
      <c r="X43" s="104">
        <v>0</v>
      </c>
      <c r="Y43" s="104">
        <v>0</v>
      </c>
      <c r="Z43" s="104">
        <v>0</v>
      </c>
      <c r="AA43" s="104">
        <v>0</v>
      </c>
      <c r="AB43" s="104">
        <v>0</v>
      </c>
      <c r="AC43" s="104">
        <v>0</v>
      </c>
      <c r="AD43" s="104">
        <v>0</v>
      </c>
      <c r="AE43" s="104">
        <v>0</v>
      </c>
      <c r="AF43" s="104">
        <v>0</v>
      </c>
      <c r="AG43" s="104">
        <v>0</v>
      </c>
      <c r="AH43" s="104">
        <v>0</v>
      </c>
      <c r="AI43" s="104">
        <v>0</v>
      </c>
      <c r="AJ43" s="104">
        <v>0</v>
      </c>
      <c r="AK43" s="104">
        <v>0</v>
      </c>
      <c r="AL43" s="104">
        <v>0</v>
      </c>
      <c r="AM43" s="104">
        <v>0</v>
      </c>
      <c r="AN43" s="104">
        <v>0</v>
      </c>
      <c r="AO43" s="104">
        <v>0</v>
      </c>
      <c r="AP43" s="104">
        <v>0</v>
      </c>
      <c r="AQ43" s="104">
        <v>0</v>
      </c>
      <c r="AR43" s="104">
        <v>0</v>
      </c>
      <c r="AS43" s="104">
        <v>0</v>
      </c>
      <c r="AT43" s="104">
        <v>0</v>
      </c>
      <c r="AU43" s="104">
        <v>0</v>
      </c>
      <c r="AV43" s="104">
        <v>0</v>
      </c>
      <c r="AW43" s="104">
        <v>0</v>
      </c>
      <c r="AX43" s="104">
        <v>0</v>
      </c>
      <c r="AZ43" s="104">
        <f t="shared" si="0"/>
        <v>22401</v>
      </c>
      <c r="BA43" s="104">
        <f t="shared" si="1"/>
        <v>303</v>
      </c>
      <c r="BB43" s="96">
        <f t="shared" si="2"/>
        <v>0</v>
      </c>
      <c r="BC43" s="104">
        <f t="shared" si="3"/>
        <v>0</v>
      </c>
    </row>
    <row r="44" spans="1:55">
      <c r="A44" s="102" t="s">
        <v>75</v>
      </c>
      <c r="B44" s="24" t="s">
        <v>468</v>
      </c>
      <c r="C44" s="103" t="s">
        <v>74</v>
      </c>
      <c r="D44" s="104">
        <v>0</v>
      </c>
      <c r="E44" s="104">
        <v>9221</v>
      </c>
      <c r="F44" s="104">
        <v>107</v>
      </c>
      <c r="G44" s="104">
        <v>0</v>
      </c>
      <c r="H44" s="104">
        <v>0</v>
      </c>
      <c r="I44" s="104">
        <v>0</v>
      </c>
      <c r="J44" s="104">
        <v>0</v>
      </c>
      <c r="K44" s="104">
        <v>2750</v>
      </c>
      <c r="L44" s="104">
        <v>32</v>
      </c>
      <c r="M44" s="104">
        <v>0</v>
      </c>
      <c r="N44" s="104">
        <v>0</v>
      </c>
      <c r="O44" s="104">
        <v>0</v>
      </c>
      <c r="P44" s="104">
        <v>0</v>
      </c>
      <c r="Q44" s="104">
        <v>0</v>
      </c>
      <c r="R44" s="104">
        <v>0</v>
      </c>
      <c r="S44" s="104">
        <v>0</v>
      </c>
      <c r="T44" s="104">
        <v>0</v>
      </c>
      <c r="U44" s="104">
        <v>0</v>
      </c>
      <c r="V44" s="104">
        <v>0</v>
      </c>
      <c r="W44" s="104">
        <v>0</v>
      </c>
      <c r="X44" s="104">
        <v>0</v>
      </c>
      <c r="Y44" s="104">
        <v>0</v>
      </c>
      <c r="Z44" s="104">
        <v>0</v>
      </c>
      <c r="AA44" s="104">
        <v>0</v>
      </c>
      <c r="AB44" s="104">
        <v>0</v>
      </c>
      <c r="AC44" s="104">
        <v>0</v>
      </c>
      <c r="AD44" s="104">
        <v>0</v>
      </c>
      <c r="AE44" s="104">
        <v>0</v>
      </c>
      <c r="AF44" s="104">
        <v>0</v>
      </c>
      <c r="AG44" s="104">
        <v>0</v>
      </c>
      <c r="AH44" s="104">
        <v>0</v>
      </c>
      <c r="AI44" s="104">
        <v>0</v>
      </c>
      <c r="AJ44" s="104">
        <v>0</v>
      </c>
      <c r="AK44" s="104">
        <v>0</v>
      </c>
      <c r="AL44" s="104">
        <v>0</v>
      </c>
      <c r="AM44" s="104">
        <v>0</v>
      </c>
      <c r="AN44" s="104">
        <v>0</v>
      </c>
      <c r="AO44" s="104">
        <v>0</v>
      </c>
      <c r="AP44" s="104">
        <v>0</v>
      </c>
      <c r="AQ44" s="104">
        <v>0</v>
      </c>
      <c r="AR44" s="104">
        <v>0</v>
      </c>
      <c r="AS44" s="104">
        <v>705</v>
      </c>
      <c r="AT44" s="104">
        <v>8</v>
      </c>
      <c r="AU44" s="104">
        <v>0</v>
      </c>
      <c r="AV44" s="104">
        <v>0</v>
      </c>
      <c r="AW44" s="104">
        <v>0</v>
      </c>
      <c r="AX44" s="104">
        <v>0</v>
      </c>
      <c r="AZ44" s="104">
        <f t="shared" si="0"/>
        <v>11971</v>
      </c>
      <c r="BA44" s="104">
        <f t="shared" si="1"/>
        <v>139</v>
      </c>
      <c r="BB44" s="96">
        <f t="shared" si="2"/>
        <v>0</v>
      </c>
      <c r="BC44" s="104">
        <f t="shared" si="3"/>
        <v>0</v>
      </c>
    </row>
    <row r="45" spans="1:55">
      <c r="A45" s="102" t="s">
        <v>76</v>
      </c>
      <c r="B45" s="24" t="s">
        <v>469</v>
      </c>
      <c r="C45" s="103" t="s">
        <v>77</v>
      </c>
      <c r="D45" s="104">
        <v>0</v>
      </c>
      <c r="E45" s="104">
        <v>2525544</v>
      </c>
      <c r="F45" s="104">
        <v>6872</v>
      </c>
      <c r="G45" s="104">
        <v>0</v>
      </c>
      <c r="H45" s="104">
        <v>0</v>
      </c>
      <c r="I45" s="104">
        <v>0</v>
      </c>
      <c r="J45" s="104">
        <v>0</v>
      </c>
      <c r="K45" s="104">
        <v>1061270</v>
      </c>
      <c r="L45" s="104">
        <v>2891</v>
      </c>
      <c r="M45" s="104">
        <v>0</v>
      </c>
      <c r="N45" s="104">
        <v>0</v>
      </c>
      <c r="O45" s="104">
        <v>0</v>
      </c>
      <c r="P45" s="104">
        <v>0</v>
      </c>
      <c r="Q45" s="104">
        <v>0</v>
      </c>
      <c r="R45" s="104">
        <v>0</v>
      </c>
      <c r="S45" s="104">
        <v>0</v>
      </c>
      <c r="T45" s="104">
        <v>0</v>
      </c>
      <c r="U45" s="104">
        <v>1070275</v>
      </c>
      <c r="V45" s="104">
        <v>2913</v>
      </c>
      <c r="W45" s="104">
        <v>0</v>
      </c>
      <c r="X45" s="104">
        <v>3718062</v>
      </c>
      <c r="Y45" s="104">
        <v>10102</v>
      </c>
      <c r="Z45" s="104">
        <v>0</v>
      </c>
      <c r="AA45" s="104">
        <v>0</v>
      </c>
      <c r="AB45" s="104">
        <v>0</v>
      </c>
      <c r="AC45" s="104">
        <v>0</v>
      </c>
      <c r="AD45" s="104">
        <v>0</v>
      </c>
      <c r="AE45" s="104">
        <v>0</v>
      </c>
      <c r="AF45" s="104">
        <v>0</v>
      </c>
      <c r="AG45" s="104">
        <v>31164</v>
      </c>
      <c r="AH45" s="104">
        <v>85</v>
      </c>
      <c r="AI45" s="104">
        <v>0</v>
      </c>
      <c r="AJ45" s="104">
        <v>0</v>
      </c>
      <c r="AK45" s="104">
        <v>0</v>
      </c>
      <c r="AL45" s="104">
        <v>0</v>
      </c>
      <c r="AM45" s="104">
        <v>0</v>
      </c>
      <c r="AN45" s="104">
        <v>0</v>
      </c>
      <c r="AO45" s="104">
        <v>0</v>
      </c>
      <c r="AP45" s="104">
        <v>0</v>
      </c>
      <c r="AQ45" s="104">
        <v>0</v>
      </c>
      <c r="AR45" s="104">
        <v>0</v>
      </c>
      <c r="AS45" s="104">
        <v>220820</v>
      </c>
      <c r="AT45" s="104">
        <v>599</v>
      </c>
      <c r="AU45" s="104">
        <v>0</v>
      </c>
      <c r="AV45" s="104">
        <v>48570</v>
      </c>
      <c r="AW45" s="104">
        <v>132</v>
      </c>
      <c r="AX45" s="104">
        <v>0</v>
      </c>
      <c r="AZ45" s="104">
        <f t="shared" si="0"/>
        <v>8375151</v>
      </c>
      <c r="BA45" s="104">
        <f t="shared" si="1"/>
        <v>22778</v>
      </c>
      <c r="BB45" s="96">
        <f t="shared" si="2"/>
        <v>0</v>
      </c>
      <c r="BC45" s="104">
        <f t="shared" si="3"/>
        <v>0</v>
      </c>
    </row>
    <row r="46" spans="1:55">
      <c r="A46" s="102" t="s">
        <v>78</v>
      </c>
      <c r="B46" s="24" t="s">
        <v>470</v>
      </c>
      <c r="C46" s="103" t="s">
        <v>77</v>
      </c>
      <c r="D46" s="104">
        <v>0</v>
      </c>
      <c r="E46" s="104">
        <v>209528</v>
      </c>
      <c r="F46" s="104">
        <v>3586</v>
      </c>
      <c r="G46" s="104">
        <v>0</v>
      </c>
      <c r="H46" s="104">
        <v>0</v>
      </c>
      <c r="I46" s="104">
        <v>0</v>
      </c>
      <c r="J46" s="104">
        <v>0</v>
      </c>
      <c r="K46" s="104">
        <v>42846</v>
      </c>
      <c r="L46" s="104">
        <v>727</v>
      </c>
      <c r="M46" s="104">
        <v>0</v>
      </c>
      <c r="N46" s="104">
        <v>0</v>
      </c>
      <c r="O46" s="104">
        <v>0</v>
      </c>
      <c r="P46" s="104">
        <v>0</v>
      </c>
      <c r="Q46" s="104">
        <v>0</v>
      </c>
      <c r="R46" s="104">
        <v>0</v>
      </c>
      <c r="S46" s="104">
        <v>0</v>
      </c>
      <c r="T46" s="104">
        <v>0</v>
      </c>
      <c r="U46" s="104">
        <v>0</v>
      </c>
      <c r="V46" s="104">
        <v>0</v>
      </c>
      <c r="W46" s="104">
        <v>0</v>
      </c>
      <c r="X46" s="104">
        <v>145156</v>
      </c>
      <c r="Y46" s="104">
        <v>2476</v>
      </c>
      <c r="Z46" s="104">
        <v>0</v>
      </c>
      <c r="AA46" s="104">
        <v>0</v>
      </c>
      <c r="AB46" s="104">
        <v>0</v>
      </c>
      <c r="AC46" s="104">
        <v>0</v>
      </c>
      <c r="AD46" s="104">
        <v>0</v>
      </c>
      <c r="AE46" s="104">
        <v>0</v>
      </c>
      <c r="AF46" s="104">
        <v>0</v>
      </c>
      <c r="AG46" s="104">
        <v>10091</v>
      </c>
      <c r="AH46" s="104">
        <v>177</v>
      </c>
      <c r="AI46" s="104">
        <v>0</v>
      </c>
      <c r="AJ46" s="104">
        <v>0</v>
      </c>
      <c r="AK46" s="104">
        <v>0</v>
      </c>
      <c r="AL46" s="104">
        <v>0</v>
      </c>
      <c r="AM46" s="104">
        <v>0</v>
      </c>
      <c r="AN46" s="104">
        <v>0</v>
      </c>
      <c r="AO46" s="104">
        <v>0</v>
      </c>
      <c r="AP46" s="104">
        <v>0</v>
      </c>
      <c r="AQ46" s="104">
        <v>0</v>
      </c>
      <c r="AR46" s="104">
        <v>0</v>
      </c>
      <c r="AS46" s="104">
        <v>24101</v>
      </c>
      <c r="AT46" s="104">
        <v>409</v>
      </c>
      <c r="AU46" s="104">
        <v>0</v>
      </c>
      <c r="AV46" s="104">
        <v>0</v>
      </c>
      <c r="AW46" s="104">
        <v>0</v>
      </c>
      <c r="AX46" s="104">
        <v>0</v>
      </c>
      <c r="AZ46" s="104">
        <f t="shared" si="0"/>
        <v>397530</v>
      </c>
      <c r="BA46" s="104">
        <f t="shared" si="1"/>
        <v>6789</v>
      </c>
      <c r="BB46" s="96">
        <f t="shared" si="2"/>
        <v>0</v>
      </c>
      <c r="BC46" s="104">
        <f t="shared" si="3"/>
        <v>0</v>
      </c>
    </row>
    <row r="47" spans="1:55">
      <c r="A47" s="102" t="s">
        <v>79</v>
      </c>
      <c r="B47" s="24" t="s">
        <v>471</v>
      </c>
      <c r="C47" s="103" t="s">
        <v>77</v>
      </c>
      <c r="D47" s="104">
        <v>767</v>
      </c>
      <c r="E47" s="104">
        <v>340036</v>
      </c>
      <c r="F47" s="104">
        <v>4268</v>
      </c>
      <c r="G47" s="104">
        <v>883</v>
      </c>
      <c r="H47" s="104">
        <v>0</v>
      </c>
      <c r="I47" s="104">
        <v>0</v>
      </c>
      <c r="J47" s="104">
        <v>0</v>
      </c>
      <c r="K47" s="104">
        <v>64321</v>
      </c>
      <c r="L47" s="104">
        <v>901</v>
      </c>
      <c r="M47" s="104">
        <v>140</v>
      </c>
      <c r="N47" s="104">
        <v>0</v>
      </c>
      <c r="O47" s="104">
        <v>0</v>
      </c>
      <c r="P47" s="104">
        <v>0</v>
      </c>
      <c r="Q47" s="104">
        <v>0</v>
      </c>
      <c r="R47" s="104">
        <v>0</v>
      </c>
      <c r="S47" s="104">
        <v>0</v>
      </c>
      <c r="T47" s="104">
        <v>0</v>
      </c>
      <c r="U47" s="104">
        <v>0</v>
      </c>
      <c r="V47" s="104">
        <v>0</v>
      </c>
      <c r="W47" s="104">
        <v>0</v>
      </c>
      <c r="X47" s="104">
        <v>466024</v>
      </c>
      <c r="Y47" s="104">
        <v>6465</v>
      </c>
      <c r="Z47" s="104">
        <v>1079</v>
      </c>
      <c r="AA47" s="104">
        <v>0</v>
      </c>
      <c r="AB47" s="104">
        <v>0</v>
      </c>
      <c r="AC47" s="104">
        <v>0</v>
      </c>
      <c r="AD47" s="104">
        <v>0</v>
      </c>
      <c r="AE47" s="104">
        <v>0</v>
      </c>
      <c r="AF47" s="104">
        <v>0</v>
      </c>
      <c r="AG47" s="104">
        <v>5555</v>
      </c>
      <c r="AH47" s="104">
        <v>74</v>
      </c>
      <c r="AI47" s="104">
        <v>16</v>
      </c>
      <c r="AJ47" s="104">
        <v>0</v>
      </c>
      <c r="AK47" s="104">
        <v>0</v>
      </c>
      <c r="AL47" s="104">
        <v>0</v>
      </c>
      <c r="AM47" s="104">
        <v>0</v>
      </c>
      <c r="AN47" s="104">
        <v>0</v>
      </c>
      <c r="AO47" s="104">
        <v>0</v>
      </c>
      <c r="AP47" s="104">
        <v>0</v>
      </c>
      <c r="AQ47" s="104">
        <v>0</v>
      </c>
      <c r="AR47" s="104">
        <v>0</v>
      </c>
      <c r="AS47" s="104">
        <v>0</v>
      </c>
      <c r="AT47" s="104">
        <v>0</v>
      </c>
      <c r="AU47" s="104">
        <v>0</v>
      </c>
      <c r="AV47" s="104">
        <v>0</v>
      </c>
      <c r="AW47" s="104">
        <v>0</v>
      </c>
      <c r="AX47" s="104">
        <v>0</v>
      </c>
      <c r="AZ47" s="104">
        <f t="shared" si="0"/>
        <v>870381</v>
      </c>
      <c r="BA47" s="104">
        <f t="shared" si="1"/>
        <v>11634</v>
      </c>
      <c r="BB47" s="96">
        <f t="shared" si="2"/>
        <v>140</v>
      </c>
      <c r="BC47" s="104">
        <f t="shared" si="3"/>
        <v>2729</v>
      </c>
    </row>
    <row r="48" spans="1:55">
      <c r="A48" s="102" t="s">
        <v>80</v>
      </c>
      <c r="B48" s="24" t="s">
        <v>472</v>
      </c>
      <c r="C48" s="103" t="s">
        <v>77</v>
      </c>
      <c r="D48" s="104">
        <v>0</v>
      </c>
      <c r="E48" s="104">
        <v>590117</v>
      </c>
      <c r="F48" s="104">
        <v>5634</v>
      </c>
      <c r="G48" s="104">
        <v>4871</v>
      </c>
      <c r="H48" s="104">
        <v>0</v>
      </c>
      <c r="I48" s="104">
        <v>0</v>
      </c>
      <c r="J48" s="104">
        <v>0</v>
      </c>
      <c r="K48" s="104">
        <v>119383</v>
      </c>
      <c r="L48" s="104">
        <v>1142</v>
      </c>
      <c r="M48" s="104">
        <v>0</v>
      </c>
      <c r="N48" s="104">
        <v>0</v>
      </c>
      <c r="O48" s="104">
        <v>0</v>
      </c>
      <c r="P48" s="104">
        <v>0</v>
      </c>
      <c r="Q48" s="104">
        <v>0</v>
      </c>
      <c r="R48" s="104">
        <v>0</v>
      </c>
      <c r="S48" s="104">
        <v>0</v>
      </c>
      <c r="T48" s="104">
        <v>0</v>
      </c>
      <c r="U48" s="104">
        <v>132324</v>
      </c>
      <c r="V48" s="104">
        <v>1263</v>
      </c>
      <c r="W48" s="104">
        <v>0</v>
      </c>
      <c r="X48" s="104">
        <v>797543</v>
      </c>
      <c r="Y48" s="104">
        <v>7621</v>
      </c>
      <c r="Z48" s="104">
        <v>0</v>
      </c>
      <c r="AA48" s="104">
        <v>0</v>
      </c>
      <c r="AB48" s="104">
        <v>0</v>
      </c>
      <c r="AC48" s="104">
        <v>0</v>
      </c>
      <c r="AD48" s="104">
        <v>0</v>
      </c>
      <c r="AE48" s="104">
        <v>0</v>
      </c>
      <c r="AF48" s="104">
        <v>0</v>
      </c>
      <c r="AG48" s="104">
        <v>24234</v>
      </c>
      <c r="AH48" s="104">
        <v>231</v>
      </c>
      <c r="AI48" s="104">
        <v>0</v>
      </c>
      <c r="AJ48" s="104">
        <v>0</v>
      </c>
      <c r="AK48" s="104">
        <v>0</v>
      </c>
      <c r="AL48" s="104">
        <v>0</v>
      </c>
      <c r="AM48" s="104">
        <v>0</v>
      </c>
      <c r="AN48" s="104">
        <v>0</v>
      </c>
      <c r="AO48" s="104">
        <v>0</v>
      </c>
      <c r="AP48" s="104">
        <v>0</v>
      </c>
      <c r="AQ48" s="104">
        <v>0</v>
      </c>
      <c r="AR48" s="104">
        <v>0</v>
      </c>
      <c r="AS48" s="104">
        <v>0</v>
      </c>
      <c r="AT48" s="104">
        <v>0</v>
      </c>
      <c r="AU48" s="104">
        <v>0</v>
      </c>
      <c r="AV48" s="104">
        <v>0</v>
      </c>
      <c r="AW48" s="104">
        <v>0</v>
      </c>
      <c r="AX48" s="104">
        <v>0</v>
      </c>
      <c r="AZ48" s="104">
        <f t="shared" si="0"/>
        <v>1639367</v>
      </c>
      <c r="BA48" s="104">
        <f t="shared" si="1"/>
        <v>15660</v>
      </c>
      <c r="BB48" s="96">
        <f t="shared" si="2"/>
        <v>0</v>
      </c>
      <c r="BC48" s="104">
        <f t="shared" si="3"/>
        <v>4871</v>
      </c>
    </row>
    <row r="49" spans="1:55">
      <c r="A49" s="102" t="s">
        <v>81</v>
      </c>
      <c r="B49" s="24" t="s">
        <v>473</v>
      </c>
      <c r="C49" s="103" t="s">
        <v>77</v>
      </c>
      <c r="D49" s="104">
        <v>0</v>
      </c>
      <c r="E49" s="104">
        <v>3265131</v>
      </c>
      <c r="F49" s="104">
        <v>14336</v>
      </c>
      <c r="G49" s="104">
        <v>0</v>
      </c>
      <c r="H49" s="104">
        <v>0</v>
      </c>
      <c r="I49" s="104">
        <v>0</v>
      </c>
      <c r="J49" s="104">
        <v>0</v>
      </c>
      <c r="K49" s="104">
        <v>814378</v>
      </c>
      <c r="L49" s="104">
        <v>3610</v>
      </c>
      <c r="M49" s="104">
        <v>0</v>
      </c>
      <c r="N49" s="104">
        <v>0</v>
      </c>
      <c r="O49" s="104">
        <v>0</v>
      </c>
      <c r="P49" s="104">
        <v>0</v>
      </c>
      <c r="Q49" s="104">
        <v>0</v>
      </c>
      <c r="R49" s="104">
        <v>0</v>
      </c>
      <c r="S49" s="104">
        <v>0</v>
      </c>
      <c r="T49" s="104">
        <v>0</v>
      </c>
      <c r="U49" s="104">
        <v>738667</v>
      </c>
      <c r="V49" s="104">
        <v>3249</v>
      </c>
      <c r="W49" s="104">
        <v>0</v>
      </c>
      <c r="X49" s="104">
        <v>2569175</v>
      </c>
      <c r="Y49" s="104">
        <v>9001</v>
      </c>
      <c r="Z49" s="104">
        <v>0</v>
      </c>
      <c r="AA49" s="104">
        <v>0</v>
      </c>
      <c r="AB49" s="104">
        <v>0</v>
      </c>
      <c r="AC49" s="104">
        <v>0</v>
      </c>
      <c r="AD49" s="104">
        <v>0</v>
      </c>
      <c r="AE49" s="104">
        <v>0</v>
      </c>
      <c r="AF49" s="104">
        <v>0</v>
      </c>
      <c r="AG49" s="104">
        <v>62915</v>
      </c>
      <c r="AH49" s="104">
        <v>280</v>
      </c>
      <c r="AI49" s="104">
        <v>0</v>
      </c>
      <c r="AJ49" s="104">
        <v>0</v>
      </c>
      <c r="AK49" s="104">
        <v>0</v>
      </c>
      <c r="AL49" s="104">
        <v>0</v>
      </c>
      <c r="AM49" s="104">
        <v>0</v>
      </c>
      <c r="AN49" s="104">
        <v>0</v>
      </c>
      <c r="AO49" s="104">
        <v>0</v>
      </c>
      <c r="AP49" s="104">
        <v>0</v>
      </c>
      <c r="AQ49" s="104">
        <v>0</v>
      </c>
      <c r="AR49" s="104">
        <v>0</v>
      </c>
      <c r="AS49" s="104">
        <v>0</v>
      </c>
      <c r="AT49" s="104">
        <v>0</v>
      </c>
      <c r="AU49" s="104">
        <v>0</v>
      </c>
      <c r="AV49" s="104">
        <v>0</v>
      </c>
      <c r="AW49" s="104">
        <v>0</v>
      </c>
      <c r="AX49" s="104">
        <v>0</v>
      </c>
      <c r="AZ49" s="104">
        <f t="shared" si="0"/>
        <v>7387351</v>
      </c>
      <c r="BA49" s="104">
        <f t="shared" si="1"/>
        <v>30196</v>
      </c>
      <c r="BB49" s="96">
        <f t="shared" si="2"/>
        <v>0</v>
      </c>
      <c r="BC49" s="104">
        <f t="shared" si="3"/>
        <v>0</v>
      </c>
    </row>
    <row r="50" spans="1:55">
      <c r="A50" s="102" t="s">
        <v>82</v>
      </c>
      <c r="B50" s="24" t="s">
        <v>474</v>
      </c>
      <c r="C50" s="103" t="s">
        <v>83</v>
      </c>
      <c r="D50" s="104">
        <v>4579</v>
      </c>
      <c r="E50" s="104">
        <v>136649</v>
      </c>
      <c r="F50" s="104">
        <v>1818</v>
      </c>
      <c r="G50" s="104">
        <v>95</v>
      </c>
      <c r="H50" s="104">
        <v>0</v>
      </c>
      <c r="I50" s="104">
        <v>0</v>
      </c>
      <c r="J50" s="104">
        <v>0</v>
      </c>
      <c r="K50" s="104">
        <v>6736</v>
      </c>
      <c r="L50" s="104">
        <v>78</v>
      </c>
      <c r="M50" s="104">
        <v>4</v>
      </c>
      <c r="N50" s="104">
        <v>0</v>
      </c>
      <c r="O50" s="104">
        <v>0</v>
      </c>
      <c r="P50" s="104">
        <v>0</v>
      </c>
      <c r="Q50" s="104">
        <v>0</v>
      </c>
      <c r="R50" s="104">
        <v>0</v>
      </c>
      <c r="S50" s="104">
        <v>0</v>
      </c>
      <c r="T50" s="104">
        <v>0</v>
      </c>
      <c r="U50" s="104">
        <v>0</v>
      </c>
      <c r="V50" s="104">
        <v>0</v>
      </c>
      <c r="W50" s="104">
        <v>0</v>
      </c>
      <c r="X50" s="104">
        <v>110579</v>
      </c>
      <c r="Y50" s="104">
        <v>1489</v>
      </c>
      <c r="Z50" s="104">
        <v>75</v>
      </c>
      <c r="AA50" s="104">
        <v>0</v>
      </c>
      <c r="AB50" s="104">
        <v>0</v>
      </c>
      <c r="AC50" s="104">
        <v>0</v>
      </c>
      <c r="AD50" s="104">
        <v>0</v>
      </c>
      <c r="AE50" s="104">
        <v>0</v>
      </c>
      <c r="AF50" s="104">
        <v>0</v>
      </c>
      <c r="AG50" s="104">
        <v>0</v>
      </c>
      <c r="AH50" s="104">
        <v>0</v>
      </c>
      <c r="AI50" s="104">
        <v>0</v>
      </c>
      <c r="AJ50" s="104">
        <v>0</v>
      </c>
      <c r="AK50" s="104">
        <v>0</v>
      </c>
      <c r="AL50" s="104">
        <v>0</v>
      </c>
      <c r="AM50" s="104">
        <v>0</v>
      </c>
      <c r="AN50" s="104">
        <v>0</v>
      </c>
      <c r="AO50" s="104">
        <v>0</v>
      </c>
      <c r="AP50" s="104">
        <v>0</v>
      </c>
      <c r="AQ50" s="104">
        <v>0</v>
      </c>
      <c r="AR50" s="104">
        <v>0</v>
      </c>
      <c r="AS50" s="104">
        <v>27706</v>
      </c>
      <c r="AT50" s="104">
        <v>366</v>
      </c>
      <c r="AU50" s="104">
        <v>19</v>
      </c>
      <c r="AV50" s="104">
        <v>2376</v>
      </c>
      <c r="AW50" s="104">
        <v>31</v>
      </c>
      <c r="AX50" s="104">
        <v>3</v>
      </c>
      <c r="AZ50" s="104">
        <f t="shared" si="0"/>
        <v>253964</v>
      </c>
      <c r="BA50" s="104">
        <f t="shared" si="1"/>
        <v>3385</v>
      </c>
      <c r="BB50" s="96">
        <f t="shared" si="2"/>
        <v>4</v>
      </c>
      <c r="BC50" s="104">
        <f t="shared" si="3"/>
        <v>4749</v>
      </c>
    </row>
    <row r="51" spans="1:55">
      <c r="A51" s="102" t="s">
        <v>84</v>
      </c>
      <c r="B51" s="24" t="s">
        <v>475</v>
      </c>
      <c r="C51" s="103" t="s">
        <v>83</v>
      </c>
      <c r="D51" s="104">
        <v>0</v>
      </c>
      <c r="E51" s="104">
        <v>15218</v>
      </c>
      <c r="F51" s="104">
        <v>202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4">
        <v>0</v>
      </c>
      <c r="O51" s="104">
        <v>0</v>
      </c>
      <c r="P51" s="104">
        <v>0</v>
      </c>
      <c r="Q51" s="104">
        <v>0</v>
      </c>
      <c r="R51" s="104">
        <v>0</v>
      </c>
      <c r="S51" s="104">
        <v>0</v>
      </c>
      <c r="T51" s="104">
        <v>0</v>
      </c>
      <c r="U51" s="104">
        <v>0</v>
      </c>
      <c r="V51" s="104">
        <v>0</v>
      </c>
      <c r="W51" s="104">
        <v>0</v>
      </c>
      <c r="X51" s="104">
        <v>18610</v>
      </c>
      <c r="Y51" s="104">
        <v>371</v>
      </c>
      <c r="Z51" s="104">
        <v>0</v>
      </c>
      <c r="AA51" s="104">
        <v>0</v>
      </c>
      <c r="AB51" s="104">
        <v>0</v>
      </c>
      <c r="AC51" s="104">
        <v>0</v>
      </c>
      <c r="AD51" s="104">
        <v>0</v>
      </c>
      <c r="AE51" s="104">
        <v>0</v>
      </c>
      <c r="AF51" s="104">
        <v>0</v>
      </c>
      <c r="AG51" s="104">
        <v>0</v>
      </c>
      <c r="AH51" s="104">
        <v>0</v>
      </c>
      <c r="AI51" s="104">
        <v>0</v>
      </c>
      <c r="AJ51" s="104">
        <v>0</v>
      </c>
      <c r="AK51" s="104">
        <v>0</v>
      </c>
      <c r="AL51" s="104">
        <v>0</v>
      </c>
      <c r="AM51" s="104">
        <v>0</v>
      </c>
      <c r="AN51" s="104">
        <v>0</v>
      </c>
      <c r="AO51" s="104">
        <v>0</v>
      </c>
      <c r="AP51" s="104">
        <v>0</v>
      </c>
      <c r="AQ51" s="104">
        <v>0</v>
      </c>
      <c r="AR51" s="104">
        <v>0</v>
      </c>
      <c r="AS51" s="104">
        <v>0</v>
      </c>
      <c r="AT51" s="104">
        <v>0</v>
      </c>
      <c r="AU51" s="104">
        <v>0</v>
      </c>
      <c r="AV51" s="104">
        <v>0</v>
      </c>
      <c r="AW51" s="104">
        <v>0</v>
      </c>
      <c r="AX51" s="104">
        <v>0</v>
      </c>
      <c r="AZ51" s="104">
        <f t="shared" si="0"/>
        <v>33828</v>
      </c>
      <c r="BA51" s="104">
        <f t="shared" si="1"/>
        <v>573</v>
      </c>
      <c r="BB51" s="96">
        <f t="shared" si="2"/>
        <v>0</v>
      </c>
      <c r="BC51" s="104">
        <f t="shared" si="3"/>
        <v>0</v>
      </c>
    </row>
    <row r="52" spans="1:55">
      <c r="A52" s="102" t="s">
        <v>85</v>
      </c>
      <c r="B52" s="24" t="s">
        <v>476</v>
      </c>
      <c r="C52" s="103" t="s">
        <v>86</v>
      </c>
      <c r="D52" s="104">
        <v>0</v>
      </c>
      <c r="E52" s="104">
        <v>35191</v>
      </c>
      <c r="F52" s="104">
        <v>705</v>
      </c>
      <c r="G52" s="104">
        <v>0</v>
      </c>
      <c r="H52" s="104">
        <v>0</v>
      </c>
      <c r="I52" s="104">
        <v>0</v>
      </c>
      <c r="J52" s="104">
        <v>0</v>
      </c>
      <c r="K52" s="104">
        <v>13033</v>
      </c>
      <c r="L52" s="104">
        <v>255</v>
      </c>
      <c r="M52" s="104">
        <v>0</v>
      </c>
      <c r="N52" s="104">
        <v>0</v>
      </c>
      <c r="O52" s="104">
        <v>0</v>
      </c>
      <c r="P52" s="104">
        <v>0</v>
      </c>
      <c r="Q52" s="104">
        <v>0</v>
      </c>
      <c r="R52" s="104">
        <v>0</v>
      </c>
      <c r="S52" s="104">
        <v>0</v>
      </c>
      <c r="T52" s="104">
        <v>0</v>
      </c>
      <c r="U52" s="104">
        <v>0</v>
      </c>
      <c r="V52" s="104">
        <v>0</v>
      </c>
      <c r="W52" s="104">
        <v>0</v>
      </c>
      <c r="X52" s="104">
        <v>0</v>
      </c>
      <c r="Y52" s="104">
        <v>0</v>
      </c>
      <c r="Z52" s="104">
        <v>0</v>
      </c>
      <c r="AA52" s="104">
        <v>0</v>
      </c>
      <c r="AB52" s="104">
        <v>0</v>
      </c>
      <c r="AC52" s="104">
        <v>0</v>
      </c>
      <c r="AD52" s="104">
        <v>0</v>
      </c>
      <c r="AE52" s="104">
        <v>0</v>
      </c>
      <c r="AF52" s="104">
        <v>0</v>
      </c>
      <c r="AG52" s="104">
        <v>0</v>
      </c>
      <c r="AH52" s="104">
        <v>0</v>
      </c>
      <c r="AI52" s="104">
        <v>0</v>
      </c>
      <c r="AJ52" s="104">
        <v>0</v>
      </c>
      <c r="AK52" s="104">
        <v>0</v>
      </c>
      <c r="AL52" s="104">
        <v>0</v>
      </c>
      <c r="AM52" s="104">
        <v>0</v>
      </c>
      <c r="AN52" s="104">
        <v>0</v>
      </c>
      <c r="AO52" s="104">
        <v>0</v>
      </c>
      <c r="AP52" s="104">
        <v>0</v>
      </c>
      <c r="AQ52" s="104">
        <v>0</v>
      </c>
      <c r="AR52" s="104">
        <v>0</v>
      </c>
      <c r="AS52" s="104">
        <v>0</v>
      </c>
      <c r="AT52" s="104">
        <v>0</v>
      </c>
      <c r="AU52" s="104">
        <v>0</v>
      </c>
      <c r="AV52" s="104">
        <v>0</v>
      </c>
      <c r="AW52" s="104">
        <v>0</v>
      </c>
      <c r="AX52" s="104">
        <v>0</v>
      </c>
      <c r="AZ52" s="104">
        <f t="shared" si="0"/>
        <v>48224</v>
      </c>
      <c r="BA52" s="104">
        <f t="shared" si="1"/>
        <v>960</v>
      </c>
      <c r="BB52" s="96">
        <f t="shared" si="2"/>
        <v>0</v>
      </c>
      <c r="BC52" s="104">
        <f t="shared" si="3"/>
        <v>0</v>
      </c>
    </row>
    <row r="53" spans="1:55">
      <c r="A53" s="102" t="s">
        <v>87</v>
      </c>
      <c r="B53" s="24" t="s">
        <v>477</v>
      </c>
      <c r="C53" s="103" t="s">
        <v>86</v>
      </c>
      <c r="D53" s="104">
        <v>0</v>
      </c>
      <c r="E53" s="104">
        <v>4642</v>
      </c>
      <c r="F53" s="104">
        <v>85</v>
      </c>
      <c r="G53" s="104">
        <v>0</v>
      </c>
      <c r="H53" s="104">
        <v>0</v>
      </c>
      <c r="I53" s="104">
        <v>0</v>
      </c>
      <c r="J53" s="104">
        <v>0</v>
      </c>
      <c r="K53" s="104">
        <v>1777</v>
      </c>
      <c r="L53" s="104">
        <v>29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Z53" s="104">
        <v>0</v>
      </c>
      <c r="AA53" s="104">
        <v>0</v>
      </c>
      <c r="AB53" s="104">
        <v>0</v>
      </c>
      <c r="AC53" s="104">
        <v>0</v>
      </c>
      <c r="AD53" s="104">
        <v>0</v>
      </c>
      <c r="AE53" s="104">
        <v>0</v>
      </c>
      <c r="AF53" s="104">
        <v>0</v>
      </c>
      <c r="AG53" s="104">
        <v>0</v>
      </c>
      <c r="AH53" s="104">
        <v>0</v>
      </c>
      <c r="AI53" s="104">
        <v>0</v>
      </c>
      <c r="AJ53" s="104">
        <v>0</v>
      </c>
      <c r="AK53" s="104">
        <v>0</v>
      </c>
      <c r="AL53" s="104">
        <v>0</v>
      </c>
      <c r="AM53" s="104">
        <v>0</v>
      </c>
      <c r="AN53" s="104">
        <v>0</v>
      </c>
      <c r="AO53" s="104">
        <v>0</v>
      </c>
      <c r="AP53" s="104">
        <v>0</v>
      </c>
      <c r="AQ53" s="104">
        <v>0</v>
      </c>
      <c r="AR53" s="104">
        <v>0</v>
      </c>
      <c r="AS53" s="104">
        <v>1765</v>
      </c>
      <c r="AT53" s="104">
        <v>31</v>
      </c>
      <c r="AU53" s="104">
        <v>0</v>
      </c>
      <c r="AV53" s="104">
        <v>0</v>
      </c>
      <c r="AW53" s="104">
        <v>0</v>
      </c>
      <c r="AX53" s="104">
        <v>0</v>
      </c>
      <c r="AZ53" s="104">
        <f t="shared" si="0"/>
        <v>6419</v>
      </c>
      <c r="BA53" s="104">
        <f t="shared" si="1"/>
        <v>114</v>
      </c>
      <c r="BB53" s="96">
        <f t="shared" si="2"/>
        <v>0</v>
      </c>
      <c r="BC53" s="104">
        <f t="shared" si="3"/>
        <v>0</v>
      </c>
    </row>
    <row r="54" spans="1:55">
      <c r="A54" s="102" t="s">
        <v>88</v>
      </c>
      <c r="B54" s="24" t="s">
        <v>478</v>
      </c>
      <c r="C54" s="103" t="s">
        <v>89</v>
      </c>
      <c r="D54" s="104">
        <v>0</v>
      </c>
      <c r="E54" s="104">
        <v>38538</v>
      </c>
      <c r="F54" s="104">
        <v>728</v>
      </c>
      <c r="G54" s="104">
        <v>0</v>
      </c>
      <c r="H54" s="104">
        <v>0</v>
      </c>
      <c r="I54" s="104">
        <v>0</v>
      </c>
      <c r="J54" s="104">
        <v>0</v>
      </c>
      <c r="K54" s="104">
        <v>15193</v>
      </c>
      <c r="L54" s="104">
        <v>279</v>
      </c>
      <c r="M54" s="104">
        <v>0</v>
      </c>
      <c r="N54" s="104">
        <v>0</v>
      </c>
      <c r="O54" s="104">
        <v>0</v>
      </c>
      <c r="P54" s="104">
        <v>0</v>
      </c>
      <c r="Q54" s="104">
        <v>0</v>
      </c>
      <c r="R54" s="104">
        <v>0</v>
      </c>
      <c r="S54" s="104">
        <v>0</v>
      </c>
      <c r="T54" s="104">
        <v>0</v>
      </c>
      <c r="U54" s="104">
        <v>0</v>
      </c>
      <c r="V54" s="104">
        <v>0</v>
      </c>
      <c r="W54" s="104">
        <v>0</v>
      </c>
      <c r="X54" s="104">
        <v>0</v>
      </c>
      <c r="Y54" s="104">
        <v>0</v>
      </c>
      <c r="Z54" s="104">
        <v>0</v>
      </c>
      <c r="AA54" s="104">
        <v>0</v>
      </c>
      <c r="AB54" s="104">
        <v>0</v>
      </c>
      <c r="AC54" s="104">
        <v>0</v>
      </c>
      <c r="AD54" s="104">
        <v>0</v>
      </c>
      <c r="AE54" s="104">
        <v>0</v>
      </c>
      <c r="AF54" s="104">
        <v>0</v>
      </c>
      <c r="AG54" s="104">
        <v>0</v>
      </c>
      <c r="AH54" s="104">
        <v>0</v>
      </c>
      <c r="AI54" s="104">
        <v>0</v>
      </c>
      <c r="AJ54" s="104">
        <v>0</v>
      </c>
      <c r="AK54" s="104">
        <v>0</v>
      </c>
      <c r="AL54" s="104">
        <v>0</v>
      </c>
      <c r="AM54" s="104">
        <v>0</v>
      </c>
      <c r="AN54" s="104">
        <v>0</v>
      </c>
      <c r="AO54" s="104">
        <v>0</v>
      </c>
      <c r="AP54" s="104">
        <v>0</v>
      </c>
      <c r="AQ54" s="104">
        <v>0</v>
      </c>
      <c r="AR54" s="104">
        <v>0</v>
      </c>
      <c r="AS54" s="104">
        <v>0</v>
      </c>
      <c r="AT54" s="104">
        <v>0</v>
      </c>
      <c r="AU54" s="104">
        <v>0</v>
      </c>
      <c r="AV54" s="104">
        <v>0</v>
      </c>
      <c r="AW54" s="104">
        <v>0</v>
      </c>
      <c r="AX54" s="104">
        <v>0</v>
      </c>
      <c r="AZ54" s="104">
        <f t="shared" si="0"/>
        <v>53731</v>
      </c>
      <c r="BA54" s="104">
        <f t="shared" si="1"/>
        <v>1007</v>
      </c>
      <c r="BB54" s="96">
        <f t="shared" si="2"/>
        <v>0</v>
      </c>
      <c r="BC54" s="104">
        <f t="shared" si="3"/>
        <v>0</v>
      </c>
    </row>
    <row r="55" spans="1:55">
      <c r="A55" s="102" t="s">
        <v>90</v>
      </c>
      <c r="B55" s="24" t="s">
        <v>479</v>
      </c>
      <c r="C55" s="103" t="s">
        <v>89</v>
      </c>
      <c r="D55" s="104">
        <v>0</v>
      </c>
      <c r="E55" s="104">
        <v>48411</v>
      </c>
      <c r="F55" s="104">
        <v>2781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29558</v>
      </c>
      <c r="Y55" s="104">
        <v>1691</v>
      </c>
      <c r="Z55" s="104">
        <v>0</v>
      </c>
      <c r="AA55" s="104">
        <v>0</v>
      </c>
      <c r="AB55" s="104">
        <v>0</v>
      </c>
      <c r="AC55" s="104">
        <v>0</v>
      </c>
      <c r="AD55" s="104">
        <v>0</v>
      </c>
      <c r="AE55" s="104">
        <v>0</v>
      </c>
      <c r="AF55" s="104">
        <v>0</v>
      </c>
      <c r="AG55" s="104">
        <v>0</v>
      </c>
      <c r="AH55" s="104">
        <v>0</v>
      </c>
      <c r="AI55" s="104">
        <v>0</v>
      </c>
      <c r="AJ55" s="104">
        <v>0</v>
      </c>
      <c r="AK55" s="104">
        <v>0</v>
      </c>
      <c r="AL55" s="104">
        <v>0</v>
      </c>
      <c r="AM55" s="104">
        <v>0</v>
      </c>
      <c r="AN55" s="104">
        <v>0</v>
      </c>
      <c r="AO55" s="104">
        <v>0</v>
      </c>
      <c r="AP55" s="104">
        <v>0</v>
      </c>
      <c r="AQ55" s="104">
        <v>0</v>
      </c>
      <c r="AR55" s="104">
        <v>0</v>
      </c>
      <c r="AS55" s="104">
        <v>0</v>
      </c>
      <c r="AT55" s="104">
        <v>0</v>
      </c>
      <c r="AU55" s="104">
        <v>0</v>
      </c>
      <c r="AV55" s="104">
        <v>0</v>
      </c>
      <c r="AW55" s="104">
        <v>0</v>
      </c>
      <c r="AX55" s="104">
        <v>0</v>
      </c>
      <c r="AZ55" s="104">
        <f t="shared" si="0"/>
        <v>77969</v>
      </c>
      <c r="BA55" s="104">
        <f t="shared" si="1"/>
        <v>4472</v>
      </c>
      <c r="BB55" s="96">
        <f t="shared" si="2"/>
        <v>0</v>
      </c>
      <c r="BC55" s="104">
        <f t="shared" si="3"/>
        <v>0</v>
      </c>
    </row>
    <row r="56" spans="1:55">
      <c r="A56" s="102" t="s">
        <v>91</v>
      </c>
      <c r="B56" s="24" t="s">
        <v>92</v>
      </c>
      <c r="C56" s="103" t="s">
        <v>92</v>
      </c>
      <c r="D56" s="104">
        <v>0</v>
      </c>
      <c r="E56" s="104">
        <v>4919</v>
      </c>
      <c r="F56" s="104">
        <v>874</v>
      </c>
      <c r="G56" s="104">
        <v>0</v>
      </c>
      <c r="H56" s="104">
        <v>0</v>
      </c>
      <c r="I56" s="104">
        <v>0</v>
      </c>
      <c r="J56" s="104">
        <v>0</v>
      </c>
      <c r="K56" s="104">
        <v>5849</v>
      </c>
      <c r="L56" s="104">
        <v>1130</v>
      </c>
      <c r="M56" s="104">
        <v>0</v>
      </c>
      <c r="N56" s="104">
        <v>0</v>
      </c>
      <c r="O56" s="104">
        <v>0</v>
      </c>
      <c r="P56" s="104">
        <v>0</v>
      </c>
      <c r="Q56" s="104">
        <v>0</v>
      </c>
      <c r="R56" s="104">
        <v>0</v>
      </c>
      <c r="S56" s="104">
        <v>0</v>
      </c>
      <c r="T56" s="104">
        <v>0</v>
      </c>
      <c r="U56" s="104">
        <v>0</v>
      </c>
      <c r="V56" s="104">
        <v>0</v>
      </c>
      <c r="W56" s="104">
        <v>0</v>
      </c>
      <c r="X56" s="104">
        <v>18444</v>
      </c>
      <c r="Y56" s="104">
        <v>3535</v>
      </c>
      <c r="Z56" s="104">
        <v>0</v>
      </c>
      <c r="AA56" s="104">
        <v>0</v>
      </c>
      <c r="AB56" s="104">
        <v>0</v>
      </c>
      <c r="AC56" s="104">
        <v>0</v>
      </c>
      <c r="AD56" s="104">
        <v>0</v>
      </c>
      <c r="AE56" s="104">
        <v>0</v>
      </c>
      <c r="AF56" s="104">
        <v>0</v>
      </c>
      <c r="AG56" s="104">
        <v>0</v>
      </c>
      <c r="AH56" s="104">
        <v>0</v>
      </c>
      <c r="AI56" s="104">
        <v>0</v>
      </c>
      <c r="AJ56" s="104">
        <v>0</v>
      </c>
      <c r="AK56" s="104">
        <v>0</v>
      </c>
      <c r="AL56" s="104">
        <v>0</v>
      </c>
      <c r="AM56" s="104">
        <v>0</v>
      </c>
      <c r="AN56" s="104">
        <v>0</v>
      </c>
      <c r="AO56" s="104">
        <v>0</v>
      </c>
      <c r="AP56" s="104">
        <v>0</v>
      </c>
      <c r="AQ56" s="104">
        <v>0</v>
      </c>
      <c r="AR56" s="104">
        <v>0</v>
      </c>
      <c r="AS56" s="104">
        <v>0</v>
      </c>
      <c r="AT56" s="104">
        <v>0</v>
      </c>
      <c r="AU56" s="104">
        <v>0</v>
      </c>
      <c r="AV56" s="104">
        <v>0</v>
      </c>
      <c r="AW56" s="104">
        <v>0</v>
      </c>
      <c r="AX56" s="104">
        <v>0</v>
      </c>
      <c r="AZ56" s="104">
        <f t="shared" si="0"/>
        <v>29212</v>
      </c>
      <c r="BA56" s="104">
        <f t="shared" si="1"/>
        <v>5539</v>
      </c>
      <c r="BB56" s="96">
        <f t="shared" si="2"/>
        <v>0</v>
      </c>
      <c r="BC56" s="104">
        <f t="shared" si="3"/>
        <v>0</v>
      </c>
    </row>
    <row r="57" spans="1:55">
      <c r="A57" s="102" t="s">
        <v>93</v>
      </c>
      <c r="B57" s="24" t="s">
        <v>480</v>
      </c>
      <c r="C57" s="103" t="s">
        <v>92</v>
      </c>
      <c r="D57" s="104">
        <v>0</v>
      </c>
      <c r="E57" s="104">
        <v>6393</v>
      </c>
      <c r="F57" s="104">
        <v>0</v>
      </c>
      <c r="G57" s="104">
        <v>0</v>
      </c>
      <c r="H57" s="104">
        <v>0</v>
      </c>
      <c r="I57" s="104">
        <v>0</v>
      </c>
      <c r="J57" s="104">
        <v>0</v>
      </c>
      <c r="K57" s="104">
        <v>2917</v>
      </c>
      <c r="L57" s="104">
        <v>44</v>
      </c>
      <c r="M57" s="104">
        <v>0</v>
      </c>
      <c r="N57" s="104">
        <v>0</v>
      </c>
      <c r="O57" s="104">
        <v>0</v>
      </c>
      <c r="P57" s="104">
        <v>0</v>
      </c>
      <c r="Q57" s="104">
        <v>0</v>
      </c>
      <c r="R57" s="104">
        <v>0</v>
      </c>
      <c r="S57" s="104">
        <v>0</v>
      </c>
      <c r="T57" s="104">
        <v>0</v>
      </c>
      <c r="U57" s="104">
        <v>0</v>
      </c>
      <c r="V57" s="104">
        <v>0</v>
      </c>
      <c r="W57" s="104">
        <v>0</v>
      </c>
      <c r="X57" s="104">
        <v>0</v>
      </c>
      <c r="Y57" s="104">
        <v>0</v>
      </c>
      <c r="Z57" s="104">
        <v>0</v>
      </c>
      <c r="AA57" s="104">
        <v>0</v>
      </c>
      <c r="AB57" s="104">
        <v>0</v>
      </c>
      <c r="AC57" s="104">
        <v>0</v>
      </c>
      <c r="AD57" s="104">
        <v>0</v>
      </c>
      <c r="AE57" s="104">
        <v>0</v>
      </c>
      <c r="AF57" s="104">
        <v>0</v>
      </c>
      <c r="AG57" s="104">
        <v>0</v>
      </c>
      <c r="AH57" s="104">
        <v>0</v>
      </c>
      <c r="AI57" s="104">
        <v>0</v>
      </c>
      <c r="AJ57" s="104">
        <v>0</v>
      </c>
      <c r="AK57" s="104">
        <v>0</v>
      </c>
      <c r="AL57" s="104">
        <v>0</v>
      </c>
      <c r="AM57" s="104">
        <v>0</v>
      </c>
      <c r="AN57" s="104">
        <v>0</v>
      </c>
      <c r="AO57" s="104">
        <v>0</v>
      </c>
      <c r="AP57" s="104">
        <v>0</v>
      </c>
      <c r="AQ57" s="104">
        <v>0</v>
      </c>
      <c r="AR57" s="104">
        <v>0</v>
      </c>
      <c r="AS57" s="104">
        <v>0</v>
      </c>
      <c r="AT57" s="104">
        <v>0</v>
      </c>
      <c r="AU57" s="104">
        <v>0</v>
      </c>
      <c r="AV57" s="104">
        <v>0</v>
      </c>
      <c r="AW57" s="104">
        <v>0</v>
      </c>
      <c r="AX57" s="104">
        <v>0</v>
      </c>
      <c r="AZ57" s="104">
        <f t="shared" si="0"/>
        <v>9310</v>
      </c>
      <c r="BA57" s="104">
        <f t="shared" si="1"/>
        <v>44</v>
      </c>
      <c r="BB57" s="96">
        <f t="shared" si="2"/>
        <v>0</v>
      </c>
      <c r="BC57" s="104">
        <f t="shared" si="3"/>
        <v>0</v>
      </c>
    </row>
    <row r="58" spans="1:55">
      <c r="A58" s="102" t="s">
        <v>94</v>
      </c>
      <c r="B58" s="24" t="s">
        <v>481</v>
      </c>
      <c r="C58" s="103" t="s">
        <v>95</v>
      </c>
      <c r="D58" s="104">
        <v>1514</v>
      </c>
      <c r="E58" s="104">
        <v>34841</v>
      </c>
      <c r="F58" s="104">
        <v>1349</v>
      </c>
      <c r="G58" s="104">
        <v>946</v>
      </c>
      <c r="H58" s="104">
        <v>0</v>
      </c>
      <c r="I58" s="104">
        <v>0</v>
      </c>
      <c r="J58" s="104">
        <v>0</v>
      </c>
      <c r="K58" s="104">
        <v>8531</v>
      </c>
      <c r="L58" s="104">
        <v>320</v>
      </c>
      <c r="M58" s="104">
        <v>0</v>
      </c>
      <c r="N58" s="104">
        <v>303</v>
      </c>
      <c r="O58" s="104">
        <v>0</v>
      </c>
      <c r="P58" s="104">
        <v>0</v>
      </c>
      <c r="Q58" s="104">
        <v>0</v>
      </c>
      <c r="R58" s="104">
        <v>0</v>
      </c>
      <c r="S58" s="104">
        <v>0</v>
      </c>
      <c r="T58" s="104">
        <v>0</v>
      </c>
      <c r="U58" s="104">
        <v>0</v>
      </c>
      <c r="V58" s="104">
        <v>0</v>
      </c>
      <c r="W58" s="104">
        <v>0</v>
      </c>
      <c r="X58" s="104">
        <v>33468</v>
      </c>
      <c r="Y58" s="104">
        <v>1290</v>
      </c>
      <c r="Z58" s="104">
        <v>1066</v>
      </c>
      <c r="AA58" s="104">
        <v>0</v>
      </c>
      <c r="AB58" s="104">
        <v>0</v>
      </c>
      <c r="AC58" s="104">
        <v>0</v>
      </c>
      <c r="AD58" s="104">
        <v>0</v>
      </c>
      <c r="AE58" s="104">
        <v>0</v>
      </c>
      <c r="AF58" s="104">
        <v>0</v>
      </c>
      <c r="AG58" s="104">
        <v>0</v>
      </c>
      <c r="AH58" s="104">
        <v>0</v>
      </c>
      <c r="AI58" s="104">
        <v>0</v>
      </c>
      <c r="AJ58" s="104">
        <v>0</v>
      </c>
      <c r="AK58" s="104">
        <v>0</v>
      </c>
      <c r="AL58" s="104">
        <v>0</v>
      </c>
      <c r="AM58" s="104">
        <v>0</v>
      </c>
      <c r="AN58" s="104">
        <v>0</v>
      </c>
      <c r="AO58" s="104">
        <v>0</v>
      </c>
      <c r="AP58" s="104">
        <v>0</v>
      </c>
      <c r="AQ58" s="104">
        <v>0</v>
      </c>
      <c r="AR58" s="104">
        <v>0</v>
      </c>
      <c r="AS58" s="104">
        <v>0</v>
      </c>
      <c r="AT58" s="104">
        <v>0</v>
      </c>
      <c r="AU58" s="104">
        <v>0</v>
      </c>
      <c r="AV58" s="104">
        <v>0</v>
      </c>
      <c r="AW58" s="104">
        <v>0</v>
      </c>
      <c r="AX58" s="104">
        <v>0</v>
      </c>
      <c r="AZ58" s="104">
        <f t="shared" si="0"/>
        <v>76840</v>
      </c>
      <c r="BA58" s="104">
        <f t="shared" si="1"/>
        <v>2959</v>
      </c>
      <c r="BB58" s="96">
        <f t="shared" si="2"/>
        <v>0</v>
      </c>
      <c r="BC58" s="104">
        <f t="shared" si="3"/>
        <v>3829</v>
      </c>
    </row>
    <row r="59" spans="1:55">
      <c r="A59" s="102" t="s">
        <v>96</v>
      </c>
      <c r="B59" s="24" t="s">
        <v>482</v>
      </c>
      <c r="C59" s="103" t="s">
        <v>95</v>
      </c>
      <c r="D59" s="104">
        <v>0</v>
      </c>
      <c r="E59" s="104">
        <v>14490</v>
      </c>
      <c r="F59" s="104">
        <v>860</v>
      </c>
      <c r="G59" s="104">
        <v>14</v>
      </c>
      <c r="H59" s="104">
        <v>0</v>
      </c>
      <c r="I59" s="104">
        <v>0</v>
      </c>
      <c r="J59" s="104">
        <v>0</v>
      </c>
      <c r="K59" s="104">
        <v>2258</v>
      </c>
      <c r="L59" s="104">
        <v>132</v>
      </c>
      <c r="M59" s="104">
        <v>691</v>
      </c>
      <c r="N59" s="104">
        <v>0</v>
      </c>
      <c r="O59" s="104">
        <v>0</v>
      </c>
      <c r="P59" s="104">
        <v>0</v>
      </c>
      <c r="Q59" s="104">
        <v>0</v>
      </c>
      <c r="R59" s="104">
        <v>0</v>
      </c>
      <c r="S59" s="104">
        <v>0</v>
      </c>
      <c r="T59" s="104">
        <v>0</v>
      </c>
      <c r="U59" s="104">
        <v>0</v>
      </c>
      <c r="V59" s="104">
        <v>0</v>
      </c>
      <c r="W59" s="104">
        <v>0</v>
      </c>
      <c r="X59" s="104">
        <v>0</v>
      </c>
      <c r="Y59" s="104">
        <v>0</v>
      </c>
      <c r="Z59" s="104">
        <v>0</v>
      </c>
      <c r="AA59" s="104">
        <v>0</v>
      </c>
      <c r="AB59" s="104">
        <v>0</v>
      </c>
      <c r="AC59" s="104">
        <v>0</v>
      </c>
      <c r="AD59" s="104">
        <v>0</v>
      </c>
      <c r="AE59" s="104">
        <v>0</v>
      </c>
      <c r="AF59" s="104">
        <v>0</v>
      </c>
      <c r="AG59" s="104">
        <v>0</v>
      </c>
      <c r="AH59" s="104">
        <v>0</v>
      </c>
      <c r="AI59" s="104">
        <v>0</v>
      </c>
      <c r="AJ59" s="104">
        <v>0</v>
      </c>
      <c r="AK59" s="104">
        <v>0</v>
      </c>
      <c r="AL59" s="104">
        <v>0</v>
      </c>
      <c r="AM59" s="104">
        <v>0</v>
      </c>
      <c r="AN59" s="104">
        <v>0</v>
      </c>
      <c r="AO59" s="104">
        <v>0</v>
      </c>
      <c r="AP59" s="104">
        <v>0</v>
      </c>
      <c r="AQ59" s="104">
        <v>0</v>
      </c>
      <c r="AR59" s="104">
        <v>0</v>
      </c>
      <c r="AS59" s="104">
        <v>5235</v>
      </c>
      <c r="AT59" s="104">
        <v>302</v>
      </c>
      <c r="AU59" s="104">
        <v>418</v>
      </c>
      <c r="AV59" s="104">
        <v>951</v>
      </c>
      <c r="AW59" s="104">
        <v>53</v>
      </c>
      <c r="AX59" s="104">
        <v>55</v>
      </c>
      <c r="AZ59" s="104">
        <f t="shared" si="0"/>
        <v>16748</v>
      </c>
      <c r="BA59" s="104">
        <f t="shared" si="1"/>
        <v>992</v>
      </c>
      <c r="BB59" s="96">
        <f t="shared" si="2"/>
        <v>691</v>
      </c>
      <c r="BC59" s="104">
        <f t="shared" si="3"/>
        <v>14</v>
      </c>
    </row>
    <row r="60" spans="1:55">
      <c r="A60" s="102" t="s">
        <v>97</v>
      </c>
      <c r="B60" s="24" t="s">
        <v>483</v>
      </c>
      <c r="C60" s="103" t="s">
        <v>95</v>
      </c>
      <c r="D60" s="104">
        <v>0</v>
      </c>
      <c r="E60" s="104">
        <v>15481</v>
      </c>
      <c r="F60" s="104">
        <v>559</v>
      </c>
      <c r="G60" s="104">
        <v>0</v>
      </c>
      <c r="H60" s="104">
        <v>0</v>
      </c>
      <c r="I60" s="104">
        <v>0</v>
      </c>
      <c r="J60" s="104">
        <v>0</v>
      </c>
      <c r="K60" s="104">
        <v>7901</v>
      </c>
      <c r="L60" s="104">
        <v>282</v>
      </c>
      <c r="M60" s="104">
        <v>0</v>
      </c>
      <c r="N60" s="104">
        <v>0</v>
      </c>
      <c r="O60" s="104">
        <v>0</v>
      </c>
      <c r="P60" s="104">
        <v>0</v>
      </c>
      <c r="Q60" s="104">
        <v>0</v>
      </c>
      <c r="R60" s="104">
        <v>0</v>
      </c>
      <c r="S60" s="104">
        <v>0</v>
      </c>
      <c r="T60" s="104">
        <v>0</v>
      </c>
      <c r="U60" s="104">
        <v>0</v>
      </c>
      <c r="V60" s="104">
        <v>0</v>
      </c>
      <c r="W60" s="104">
        <v>0</v>
      </c>
      <c r="X60" s="104">
        <v>0</v>
      </c>
      <c r="Y60" s="104">
        <v>0</v>
      </c>
      <c r="Z60" s="104">
        <v>0</v>
      </c>
      <c r="AA60" s="104">
        <v>0</v>
      </c>
      <c r="AB60" s="104">
        <v>0</v>
      </c>
      <c r="AC60" s="104">
        <v>0</v>
      </c>
      <c r="AD60" s="104">
        <v>0</v>
      </c>
      <c r="AE60" s="104">
        <v>0</v>
      </c>
      <c r="AF60" s="104">
        <v>0</v>
      </c>
      <c r="AG60" s="104">
        <v>0</v>
      </c>
      <c r="AH60" s="104">
        <v>0</v>
      </c>
      <c r="AI60" s="104">
        <v>0</v>
      </c>
      <c r="AJ60" s="104">
        <v>0</v>
      </c>
      <c r="AK60" s="104">
        <v>0</v>
      </c>
      <c r="AL60" s="104">
        <v>0</v>
      </c>
      <c r="AM60" s="104">
        <v>0</v>
      </c>
      <c r="AN60" s="104">
        <v>0</v>
      </c>
      <c r="AO60" s="104">
        <v>0</v>
      </c>
      <c r="AP60" s="104">
        <v>0</v>
      </c>
      <c r="AQ60" s="104">
        <v>0</v>
      </c>
      <c r="AR60" s="104">
        <v>0</v>
      </c>
      <c r="AS60" s="104">
        <v>0</v>
      </c>
      <c r="AT60" s="104">
        <v>0</v>
      </c>
      <c r="AU60" s="104">
        <v>0</v>
      </c>
      <c r="AV60" s="104">
        <v>0</v>
      </c>
      <c r="AW60" s="104">
        <v>0</v>
      </c>
      <c r="AX60" s="104">
        <v>0</v>
      </c>
      <c r="AZ60" s="104">
        <f t="shared" si="0"/>
        <v>23382</v>
      </c>
      <c r="BA60" s="104">
        <f t="shared" si="1"/>
        <v>841</v>
      </c>
      <c r="BB60" s="96">
        <f t="shared" si="2"/>
        <v>0</v>
      </c>
      <c r="BC60" s="104">
        <f t="shared" si="3"/>
        <v>0</v>
      </c>
    </row>
    <row r="61" spans="1:55">
      <c r="A61" s="102" t="s">
        <v>98</v>
      </c>
      <c r="B61" s="24" t="s">
        <v>484</v>
      </c>
      <c r="C61" s="103" t="s">
        <v>99</v>
      </c>
      <c r="D61" s="104">
        <v>0</v>
      </c>
      <c r="E61" s="104">
        <v>45740</v>
      </c>
      <c r="F61" s="104">
        <v>1526</v>
      </c>
      <c r="G61" s="104">
        <v>0</v>
      </c>
      <c r="H61" s="104">
        <v>0</v>
      </c>
      <c r="I61" s="104">
        <v>0</v>
      </c>
      <c r="J61" s="104">
        <v>0</v>
      </c>
      <c r="K61" s="104">
        <v>20398</v>
      </c>
      <c r="L61" s="104">
        <v>0</v>
      </c>
      <c r="M61" s="104">
        <v>0</v>
      </c>
      <c r="N61" s="104">
        <v>0</v>
      </c>
      <c r="O61" s="104">
        <v>0</v>
      </c>
      <c r="P61" s="104">
        <v>0</v>
      </c>
      <c r="Q61" s="104">
        <v>0</v>
      </c>
      <c r="R61" s="104">
        <v>0</v>
      </c>
      <c r="S61" s="104">
        <v>0</v>
      </c>
      <c r="T61" s="104">
        <v>0</v>
      </c>
      <c r="U61" s="104">
        <v>0</v>
      </c>
      <c r="V61" s="104">
        <v>0</v>
      </c>
      <c r="W61" s="104">
        <v>0</v>
      </c>
      <c r="X61" s="104">
        <v>22578</v>
      </c>
      <c r="Y61" s="104">
        <v>0</v>
      </c>
      <c r="Z61" s="104">
        <v>0</v>
      </c>
      <c r="AA61" s="104">
        <v>0</v>
      </c>
      <c r="AB61" s="104">
        <v>0</v>
      </c>
      <c r="AC61" s="104">
        <v>0</v>
      </c>
      <c r="AD61" s="104">
        <v>0</v>
      </c>
      <c r="AE61" s="104">
        <v>0</v>
      </c>
      <c r="AF61" s="104">
        <v>0</v>
      </c>
      <c r="AG61" s="104">
        <v>0</v>
      </c>
      <c r="AH61" s="104">
        <v>0</v>
      </c>
      <c r="AI61" s="104">
        <v>0</v>
      </c>
      <c r="AJ61" s="104">
        <v>0</v>
      </c>
      <c r="AK61" s="104">
        <v>0</v>
      </c>
      <c r="AL61" s="104">
        <v>0</v>
      </c>
      <c r="AM61" s="104">
        <v>0</v>
      </c>
      <c r="AN61" s="104">
        <v>0</v>
      </c>
      <c r="AO61" s="104">
        <v>0</v>
      </c>
      <c r="AP61" s="104">
        <v>0</v>
      </c>
      <c r="AQ61" s="104">
        <v>0</v>
      </c>
      <c r="AR61" s="104">
        <v>0</v>
      </c>
      <c r="AS61" s="104">
        <v>0</v>
      </c>
      <c r="AT61" s="104">
        <v>0</v>
      </c>
      <c r="AU61" s="104">
        <v>0</v>
      </c>
      <c r="AV61" s="104">
        <v>0</v>
      </c>
      <c r="AW61" s="104">
        <v>0</v>
      </c>
      <c r="AX61" s="104">
        <v>0</v>
      </c>
      <c r="AZ61" s="104">
        <f t="shared" si="0"/>
        <v>88716</v>
      </c>
      <c r="BA61" s="104">
        <f t="shared" si="1"/>
        <v>1526</v>
      </c>
      <c r="BB61" s="96">
        <f t="shared" si="2"/>
        <v>0</v>
      </c>
      <c r="BC61" s="104">
        <f t="shared" si="3"/>
        <v>0</v>
      </c>
    </row>
    <row r="62" spans="1:55">
      <c r="A62" s="102" t="s">
        <v>100</v>
      </c>
      <c r="B62" s="24" t="s">
        <v>306</v>
      </c>
      <c r="C62" s="103" t="s">
        <v>99</v>
      </c>
      <c r="D62" s="104">
        <v>0</v>
      </c>
      <c r="E62" s="104">
        <v>55550</v>
      </c>
      <c r="F62" s="104">
        <v>243</v>
      </c>
      <c r="G62" s="104">
        <v>0</v>
      </c>
      <c r="H62" s="104">
        <v>0</v>
      </c>
      <c r="I62" s="104">
        <v>0</v>
      </c>
      <c r="J62" s="104">
        <v>0</v>
      </c>
      <c r="K62" s="104">
        <v>26355</v>
      </c>
      <c r="L62" s="104">
        <v>119</v>
      </c>
      <c r="M62" s="104">
        <v>0</v>
      </c>
      <c r="N62" s="104">
        <v>0</v>
      </c>
      <c r="O62" s="104">
        <v>0</v>
      </c>
      <c r="P62" s="104">
        <v>0</v>
      </c>
      <c r="Q62" s="104">
        <v>0</v>
      </c>
      <c r="R62" s="104">
        <v>0</v>
      </c>
      <c r="S62" s="104">
        <v>0</v>
      </c>
      <c r="T62" s="104">
        <v>0</v>
      </c>
      <c r="U62" s="104">
        <v>0</v>
      </c>
      <c r="V62" s="104">
        <v>0</v>
      </c>
      <c r="W62" s="104">
        <v>0</v>
      </c>
      <c r="X62" s="104">
        <v>0</v>
      </c>
      <c r="Y62" s="104">
        <v>0</v>
      </c>
      <c r="Z62" s="104">
        <v>0</v>
      </c>
      <c r="AA62" s="104">
        <v>0</v>
      </c>
      <c r="AB62" s="104">
        <v>0</v>
      </c>
      <c r="AC62" s="104">
        <v>0</v>
      </c>
      <c r="AD62" s="104">
        <v>0</v>
      </c>
      <c r="AE62" s="104">
        <v>0</v>
      </c>
      <c r="AF62" s="104">
        <v>0</v>
      </c>
      <c r="AG62" s="104">
        <v>0</v>
      </c>
      <c r="AH62" s="104">
        <v>0</v>
      </c>
      <c r="AI62" s="104">
        <v>0</v>
      </c>
      <c r="AJ62" s="104">
        <v>0</v>
      </c>
      <c r="AK62" s="104">
        <v>0</v>
      </c>
      <c r="AL62" s="104">
        <v>0</v>
      </c>
      <c r="AM62" s="104">
        <v>0</v>
      </c>
      <c r="AN62" s="104">
        <v>0</v>
      </c>
      <c r="AO62" s="104">
        <v>0</v>
      </c>
      <c r="AP62" s="104">
        <v>0</v>
      </c>
      <c r="AQ62" s="104">
        <v>0</v>
      </c>
      <c r="AR62" s="104">
        <v>0</v>
      </c>
      <c r="AS62" s="104">
        <v>0</v>
      </c>
      <c r="AT62" s="104">
        <v>0</v>
      </c>
      <c r="AU62" s="104">
        <v>0</v>
      </c>
      <c r="AV62" s="104">
        <v>0</v>
      </c>
      <c r="AW62" s="104">
        <v>0</v>
      </c>
      <c r="AX62" s="104">
        <v>0</v>
      </c>
      <c r="AZ62" s="104">
        <f t="shared" si="0"/>
        <v>81905</v>
      </c>
      <c r="BA62" s="104">
        <f t="shared" si="1"/>
        <v>362</v>
      </c>
      <c r="BB62" s="96">
        <f t="shared" si="2"/>
        <v>0</v>
      </c>
      <c r="BC62" s="104">
        <f t="shared" si="3"/>
        <v>0</v>
      </c>
    </row>
    <row r="63" spans="1:55">
      <c r="A63" s="102" t="s">
        <v>101</v>
      </c>
      <c r="B63" s="24" t="s">
        <v>485</v>
      </c>
      <c r="C63" s="103" t="s">
        <v>99</v>
      </c>
      <c r="D63" s="104">
        <v>0</v>
      </c>
      <c r="E63" s="104">
        <v>78835</v>
      </c>
      <c r="F63" s="104">
        <v>0</v>
      </c>
      <c r="G63" s="104">
        <v>0</v>
      </c>
      <c r="H63" s="104">
        <v>0</v>
      </c>
      <c r="I63" s="104">
        <v>0</v>
      </c>
      <c r="J63" s="104">
        <v>0</v>
      </c>
      <c r="K63" s="104">
        <v>27845</v>
      </c>
      <c r="L63" s="104">
        <v>0</v>
      </c>
      <c r="M63" s="104">
        <v>0</v>
      </c>
      <c r="N63" s="104">
        <v>0</v>
      </c>
      <c r="O63" s="104">
        <v>0</v>
      </c>
      <c r="P63" s="104">
        <v>0</v>
      </c>
      <c r="Q63" s="104">
        <v>0</v>
      </c>
      <c r="R63" s="104">
        <v>0</v>
      </c>
      <c r="S63" s="104">
        <v>0</v>
      </c>
      <c r="T63" s="104">
        <v>0</v>
      </c>
      <c r="U63" s="104">
        <v>0</v>
      </c>
      <c r="V63" s="104">
        <v>0</v>
      </c>
      <c r="W63" s="104">
        <v>0</v>
      </c>
      <c r="X63" s="104">
        <v>36824</v>
      </c>
      <c r="Y63" s="104">
        <v>0</v>
      </c>
      <c r="Z63" s="104">
        <v>0</v>
      </c>
      <c r="AA63" s="104">
        <v>0</v>
      </c>
      <c r="AB63" s="104">
        <v>0</v>
      </c>
      <c r="AC63" s="104">
        <v>0</v>
      </c>
      <c r="AD63" s="104">
        <v>0</v>
      </c>
      <c r="AE63" s="104">
        <v>0</v>
      </c>
      <c r="AF63" s="104">
        <v>0</v>
      </c>
      <c r="AG63" s="104">
        <v>0</v>
      </c>
      <c r="AH63" s="104">
        <v>0</v>
      </c>
      <c r="AI63" s="104">
        <v>0</v>
      </c>
      <c r="AJ63" s="104">
        <v>0</v>
      </c>
      <c r="AK63" s="104">
        <v>0</v>
      </c>
      <c r="AL63" s="104">
        <v>0</v>
      </c>
      <c r="AM63" s="104">
        <v>0</v>
      </c>
      <c r="AN63" s="104">
        <v>0</v>
      </c>
      <c r="AO63" s="104">
        <v>0</v>
      </c>
      <c r="AP63" s="104">
        <v>0</v>
      </c>
      <c r="AQ63" s="104">
        <v>0</v>
      </c>
      <c r="AR63" s="104">
        <v>0</v>
      </c>
      <c r="AS63" s="104">
        <v>5623</v>
      </c>
      <c r="AT63" s="104">
        <v>0</v>
      </c>
      <c r="AU63" s="104">
        <v>0</v>
      </c>
      <c r="AV63" s="104">
        <v>0</v>
      </c>
      <c r="AW63" s="104">
        <v>0</v>
      </c>
      <c r="AX63" s="104">
        <v>0</v>
      </c>
      <c r="AZ63" s="104">
        <f t="shared" si="0"/>
        <v>143504</v>
      </c>
      <c r="BA63" s="104">
        <f t="shared" si="1"/>
        <v>0</v>
      </c>
      <c r="BB63" s="96">
        <f t="shared" si="2"/>
        <v>0</v>
      </c>
      <c r="BC63" s="104">
        <f t="shared" si="3"/>
        <v>0</v>
      </c>
    </row>
    <row r="64" spans="1:55">
      <c r="A64" s="102" t="s">
        <v>102</v>
      </c>
      <c r="B64" s="24" t="s">
        <v>486</v>
      </c>
      <c r="C64" s="103" t="s">
        <v>99</v>
      </c>
      <c r="D64" s="104">
        <v>0</v>
      </c>
      <c r="E64" s="104">
        <v>5286</v>
      </c>
      <c r="F64" s="104">
        <v>0</v>
      </c>
      <c r="G64" s="104">
        <v>0</v>
      </c>
      <c r="H64" s="104">
        <v>0</v>
      </c>
      <c r="I64" s="104">
        <v>0</v>
      </c>
      <c r="J64" s="104">
        <v>0</v>
      </c>
      <c r="K64" s="104">
        <v>19210</v>
      </c>
      <c r="L64" s="104">
        <v>0</v>
      </c>
      <c r="M64" s="104">
        <v>0</v>
      </c>
      <c r="N64" s="104">
        <v>0</v>
      </c>
      <c r="O64" s="104">
        <v>0</v>
      </c>
      <c r="P64" s="104">
        <v>0</v>
      </c>
      <c r="Q64" s="104">
        <v>0</v>
      </c>
      <c r="R64" s="104">
        <v>0</v>
      </c>
      <c r="S64" s="104">
        <v>0</v>
      </c>
      <c r="T64" s="104">
        <v>0</v>
      </c>
      <c r="U64" s="104">
        <v>0</v>
      </c>
      <c r="V64" s="104">
        <v>0</v>
      </c>
      <c r="W64" s="104">
        <v>0</v>
      </c>
      <c r="X64" s="104">
        <v>56168</v>
      </c>
      <c r="Y64" s="104">
        <v>0</v>
      </c>
      <c r="Z64" s="104">
        <v>0</v>
      </c>
      <c r="AA64" s="104">
        <v>0</v>
      </c>
      <c r="AB64" s="104">
        <v>0</v>
      </c>
      <c r="AC64" s="104">
        <v>0</v>
      </c>
      <c r="AD64" s="104">
        <v>0</v>
      </c>
      <c r="AE64" s="104">
        <v>0</v>
      </c>
      <c r="AF64" s="104">
        <v>0</v>
      </c>
      <c r="AG64" s="104">
        <v>0</v>
      </c>
      <c r="AH64" s="104">
        <v>0</v>
      </c>
      <c r="AI64" s="104">
        <v>0</v>
      </c>
      <c r="AJ64" s="104">
        <v>0</v>
      </c>
      <c r="AK64" s="104">
        <v>0</v>
      </c>
      <c r="AL64" s="104">
        <v>0</v>
      </c>
      <c r="AM64" s="104">
        <v>0</v>
      </c>
      <c r="AN64" s="104">
        <v>0</v>
      </c>
      <c r="AO64" s="104">
        <v>0</v>
      </c>
      <c r="AP64" s="104">
        <v>0</v>
      </c>
      <c r="AQ64" s="104">
        <v>0</v>
      </c>
      <c r="AR64" s="104">
        <v>0</v>
      </c>
      <c r="AS64" s="104">
        <v>9515</v>
      </c>
      <c r="AT64" s="104">
        <v>0</v>
      </c>
      <c r="AU64" s="104">
        <v>0</v>
      </c>
      <c r="AV64" s="104">
        <v>0</v>
      </c>
      <c r="AW64" s="104">
        <v>0</v>
      </c>
      <c r="AX64" s="104">
        <v>0</v>
      </c>
      <c r="AZ64" s="104">
        <f t="shared" si="0"/>
        <v>80664</v>
      </c>
      <c r="BA64" s="104">
        <f t="shared" si="1"/>
        <v>0</v>
      </c>
      <c r="BB64" s="96">
        <f t="shared" si="2"/>
        <v>0</v>
      </c>
      <c r="BC64" s="104">
        <f t="shared" si="3"/>
        <v>0</v>
      </c>
    </row>
    <row r="65" spans="1:55">
      <c r="A65" s="102" t="s">
        <v>103</v>
      </c>
      <c r="B65" s="24" t="s">
        <v>487</v>
      </c>
      <c r="C65" s="103" t="s">
        <v>99</v>
      </c>
      <c r="D65" s="104">
        <v>0</v>
      </c>
      <c r="E65" s="104">
        <v>253260</v>
      </c>
      <c r="F65" s="104">
        <v>3713</v>
      </c>
      <c r="G65" s="104">
        <v>0</v>
      </c>
      <c r="H65" s="104">
        <v>0</v>
      </c>
      <c r="I65" s="104">
        <v>0</v>
      </c>
      <c r="J65" s="104">
        <v>0</v>
      </c>
      <c r="K65" s="104">
        <v>65422</v>
      </c>
      <c r="L65" s="104">
        <v>859</v>
      </c>
      <c r="M65" s="104">
        <v>0</v>
      </c>
      <c r="N65" s="104">
        <v>0</v>
      </c>
      <c r="O65" s="104">
        <v>0</v>
      </c>
      <c r="P65" s="104">
        <v>0</v>
      </c>
      <c r="Q65" s="104">
        <v>0</v>
      </c>
      <c r="R65" s="104">
        <v>0</v>
      </c>
      <c r="S65" s="104">
        <v>0</v>
      </c>
      <c r="T65" s="104">
        <v>0</v>
      </c>
      <c r="U65" s="104">
        <v>0</v>
      </c>
      <c r="V65" s="104">
        <v>0</v>
      </c>
      <c r="W65" s="104">
        <v>0</v>
      </c>
      <c r="X65" s="104">
        <v>174391</v>
      </c>
      <c r="Y65" s="104">
        <v>2300</v>
      </c>
      <c r="Z65" s="104">
        <v>0</v>
      </c>
      <c r="AA65" s="104">
        <v>0</v>
      </c>
      <c r="AB65" s="104">
        <v>0</v>
      </c>
      <c r="AC65" s="104">
        <v>0</v>
      </c>
      <c r="AD65" s="104">
        <v>0</v>
      </c>
      <c r="AE65" s="104">
        <v>0</v>
      </c>
      <c r="AF65" s="104">
        <v>0</v>
      </c>
      <c r="AG65" s="104">
        <v>0</v>
      </c>
      <c r="AH65" s="104">
        <v>0</v>
      </c>
      <c r="AI65" s="104">
        <v>0</v>
      </c>
      <c r="AJ65" s="104">
        <v>0</v>
      </c>
      <c r="AK65" s="104">
        <v>0</v>
      </c>
      <c r="AL65" s="104">
        <v>0</v>
      </c>
      <c r="AM65" s="104">
        <v>0</v>
      </c>
      <c r="AN65" s="104">
        <v>0</v>
      </c>
      <c r="AO65" s="104">
        <v>0</v>
      </c>
      <c r="AP65" s="104">
        <v>0</v>
      </c>
      <c r="AQ65" s="104">
        <v>0</v>
      </c>
      <c r="AR65" s="104">
        <v>0</v>
      </c>
      <c r="AS65" s="104">
        <v>0</v>
      </c>
      <c r="AT65" s="104">
        <v>0</v>
      </c>
      <c r="AU65" s="104">
        <v>0</v>
      </c>
      <c r="AV65" s="104">
        <v>0</v>
      </c>
      <c r="AW65" s="104">
        <v>0</v>
      </c>
      <c r="AX65" s="104">
        <v>0</v>
      </c>
      <c r="AZ65" s="104">
        <f t="shared" si="0"/>
        <v>493073</v>
      </c>
      <c r="BA65" s="104">
        <f t="shared" si="1"/>
        <v>6872</v>
      </c>
      <c r="BB65" s="96">
        <f t="shared" si="2"/>
        <v>0</v>
      </c>
      <c r="BC65" s="104">
        <f t="shared" si="3"/>
        <v>0</v>
      </c>
    </row>
    <row r="66" spans="1:55">
      <c r="A66" s="102" t="s">
        <v>104</v>
      </c>
      <c r="B66" s="24" t="s">
        <v>488</v>
      </c>
      <c r="C66" s="103" t="s">
        <v>105</v>
      </c>
      <c r="D66" s="104">
        <v>0</v>
      </c>
      <c r="E66" s="104">
        <v>42314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19990</v>
      </c>
      <c r="L66" s="104">
        <v>0</v>
      </c>
      <c r="M66" s="104">
        <v>0</v>
      </c>
      <c r="N66" s="104">
        <v>0</v>
      </c>
      <c r="O66" s="104">
        <v>0</v>
      </c>
      <c r="P66" s="104">
        <v>0</v>
      </c>
      <c r="Q66" s="104">
        <v>0</v>
      </c>
      <c r="R66" s="104">
        <v>0</v>
      </c>
      <c r="S66" s="104">
        <v>0</v>
      </c>
      <c r="T66" s="104">
        <v>0</v>
      </c>
      <c r="U66" s="104">
        <v>0</v>
      </c>
      <c r="V66" s="104">
        <v>0</v>
      </c>
      <c r="W66" s="104">
        <v>0</v>
      </c>
      <c r="X66" s="104">
        <v>48560</v>
      </c>
      <c r="Y66" s="104">
        <v>0</v>
      </c>
      <c r="Z66" s="104">
        <v>0</v>
      </c>
      <c r="AA66" s="104">
        <v>0</v>
      </c>
      <c r="AB66" s="104">
        <v>0</v>
      </c>
      <c r="AC66" s="104">
        <v>0</v>
      </c>
      <c r="AD66" s="104">
        <v>0</v>
      </c>
      <c r="AE66" s="104">
        <v>0</v>
      </c>
      <c r="AF66" s="104">
        <v>0</v>
      </c>
      <c r="AG66" s="104">
        <v>0</v>
      </c>
      <c r="AH66" s="104">
        <v>0</v>
      </c>
      <c r="AI66" s="104">
        <v>0</v>
      </c>
      <c r="AJ66" s="104">
        <v>0</v>
      </c>
      <c r="AK66" s="104">
        <v>0</v>
      </c>
      <c r="AL66" s="104">
        <v>0</v>
      </c>
      <c r="AM66" s="104">
        <v>0</v>
      </c>
      <c r="AN66" s="104">
        <v>0</v>
      </c>
      <c r="AO66" s="104">
        <v>0</v>
      </c>
      <c r="AP66" s="104">
        <v>0</v>
      </c>
      <c r="AQ66" s="104">
        <v>0</v>
      </c>
      <c r="AR66" s="104">
        <v>0</v>
      </c>
      <c r="AS66" s="104">
        <v>0</v>
      </c>
      <c r="AT66" s="104">
        <v>0</v>
      </c>
      <c r="AU66" s="104">
        <v>0</v>
      </c>
      <c r="AV66" s="104">
        <v>0</v>
      </c>
      <c r="AW66" s="104">
        <v>0</v>
      </c>
      <c r="AX66" s="104">
        <v>0</v>
      </c>
      <c r="AZ66" s="104">
        <f t="shared" si="0"/>
        <v>110864</v>
      </c>
      <c r="BA66" s="104">
        <f t="shared" si="1"/>
        <v>0</v>
      </c>
      <c r="BB66" s="96">
        <f t="shared" si="2"/>
        <v>0</v>
      </c>
      <c r="BC66" s="104">
        <f t="shared" si="3"/>
        <v>0</v>
      </c>
    </row>
    <row r="67" spans="1:55">
      <c r="A67" s="102" t="s">
        <v>106</v>
      </c>
      <c r="B67" s="24" t="s">
        <v>489</v>
      </c>
      <c r="C67" s="103" t="s">
        <v>105</v>
      </c>
      <c r="D67" s="104">
        <v>1534</v>
      </c>
      <c r="E67" s="104">
        <v>17213</v>
      </c>
      <c r="F67" s="104">
        <v>328</v>
      </c>
      <c r="G67" s="104">
        <v>419</v>
      </c>
      <c r="H67" s="104">
        <v>0</v>
      </c>
      <c r="I67" s="104">
        <v>0</v>
      </c>
      <c r="J67" s="104">
        <v>0</v>
      </c>
      <c r="K67" s="104">
        <v>18082</v>
      </c>
      <c r="L67" s="104">
        <v>338</v>
      </c>
      <c r="M67" s="104">
        <v>0</v>
      </c>
      <c r="N67" s="104">
        <v>153</v>
      </c>
      <c r="O67" s="104">
        <v>0</v>
      </c>
      <c r="P67" s="104">
        <v>0</v>
      </c>
      <c r="Q67" s="104">
        <v>0</v>
      </c>
      <c r="R67" s="104">
        <v>0</v>
      </c>
      <c r="S67" s="104">
        <v>0</v>
      </c>
      <c r="T67" s="104">
        <v>0</v>
      </c>
      <c r="U67" s="104">
        <v>0</v>
      </c>
      <c r="V67" s="104">
        <v>0</v>
      </c>
      <c r="W67" s="104">
        <v>0</v>
      </c>
      <c r="X67" s="104">
        <v>89144</v>
      </c>
      <c r="Y67" s="104">
        <v>1663</v>
      </c>
      <c r="Z67" s="104">
        <v>1545</v>
      </c>
      <c r="AA67" s="104">
        <v>0</v>
      </c>
      <c r="AB67" s="104">
        <v>0</v>
      </c>
      <c r="AC67" s="104">
        <v>0</v>
      </c>
      <c r="AD67" s="104">
        <v>0</v>
      </c>
      <c r="AE67" s="104">
        <v>0</v>
      </c>
      <c r="AF67" s="104">
        <v>0</v>
      </c>
      <c r="AG67" s="104">
        <v>0</v>
      </c>
      <c r="AH67" s="104">
        <v>0</v>
      </c>
      <c r="AI67" s="104">
        <v>0</v>
      </c>
      <c r="AJ67" s="104">
        <v>0</v>
      </c>
      <c r="AK67" s="104">
        <v>0</v>
      </c>
      <c r="AL67" s="104">
        <v>0</v>
      </c>
      <c r="AM67" s="104">
        <v>0</v>
      </c>
      <c r="AN67" s="104">
        <v>0</v>
      </c>
      <c r="AO67" s="104">
        <v>0</v>
      </c>
      <c r="AP67" s="104">
        <v>0</v>
      </c>
      <c r="AQ67" s="104">
        <v>0</v>
      </c>
      <c r="AR67" s="104">
        <v>0</v>
      </c>
      <c r="AS67" s="104">
        <v>4516</v>
      </c>
      <c r="AT67" s="104">
        <v>84</v>
      </c>
      <c r="AU67" s="104">
        <v>76</v>
      </c>
      <c r="AV67" s="104">
        <v>0</v>
      </c>
      <c r="AW67" s="104">
        <v>0</v>
      </c>
      <c r="AX67" s="104">
        <v>0</v>
      </c>
      <c r="AZ67" s="104">
        <f t="shared" si="0"/>
        <v>124439</v>
      </c>
      <c r="BA67" s="104">
        <f t="shared" si="1"/>
        <v>2329</v>
      </c>
      <c r="BB67" s="96">
        <f t="shared" si="2"/>
        <v>0</v>
      </c>
      <c r="BC67" s="104">
        <f t="shared" si="3"/>
        <v>3651</v>
      </c>
    </row>
    <row r="68" spans="1:55">
      <c r="A68" s="102" t="s">
        <v>107</v>
      </c>
      <c r="B68" s="24" t="s">
        <v>490</v>
      </c>
      <c r="C68" s="103" t="s">
        <v>105</v>
      </c>
      <c r="D68" s="104">
        <v>0</v>
      </c>
      <c r="E68" s="104">
        <v>395324</v>
      </c>
      <c r="F68" s="104">
        <v>4466</v>
      </c>
      <c r="G68" s="104">
        <v>0</v>
      </c>
      <c r="H68" s="104">
        <v>11999</v>
      </c>
      <c r="I68" s="104">
        <v>135</v>
      </c>
      <c r="J68" s="104">
        <v>0</v>
      </c>
      <c r="K68" s="104">
        <v>46930</v>
      </c>
      <c r="L68" s="104">
        <v>517</v>
      </c>
      <c r="M68" s="104">
        <v>191502</v>
      </c>
      <c r="N68" s="104">
        <v>0</v>
      </c>
      <c r="O68" s="104">
        <v>0</v>
      </c>
      <c r="P68" s="104">
        <v>0</v>
      </c>
      <c r="Q68" s="104">
        <v>0</v>
      </c>
      <c r="R68" s="104">
        <v>0</v>
      </c>
      <c r="S68" s="104">
        <v>0</v>
      </c>
      <c r="T68" s="104">
        <v>0</v>
      </c>
      <c r="U68" s="104">
        <v>0</v>
      </c>
      <c r="V68" s="104">
        <v>0</v>
      </c>
      <c r="W68" s="104">
        <v>0</v>
      </c>
      <c r="X68" s="104">
        <v>450510</v>
      </c>
      <c r="Y68" s="104">
        <v>5049</v>
      </c>
      <c r="Z68" s="104">
        <v>0</v>
      </c>
      <c r="AA68" s="104">
        <v>0</v>
      </c>
      <c r="AB68" s="104">
        <v>0</v>
      </c>
      <c r="AC68" s="104">
        <v>0</v>
      </c>
      <c r="AD68" s="104">
        <v>0</v>
      </c>
      <c r="AE68" s="104">
        <v>0</v>
      </c>
      <c r="AF68" s="104">
        <v>0</v>
      </c>
      <c r="AG68" s="104">
        <v>0</v>
      </c>
      <c r="AH68" s="104">
        <v>0</v>
      </c>
      <c r="AI68" s="104">
        <v>0</v>
      </c>
      <c r="AJ68" s="104">
        <v>0</v>
      </c>
      <c r="AK68" s="104">
        <v>0</v>
      </c>
      <c r="AL68" s="104">
        <v>0</v>
      </c>
      <c r="AM68" s="104">
        <v>0</v>
      </c>
      <c r="AN68" s="104">
        <v>0</v>
      </c>
      <c r="AO68" s="104">
        <v>0</v>
      </c>
      <c r="AP68" s="104">
        <v>0</v>
      </c>
      <c r="AQ68" s="104">
        <v>0</v>
      </c>
      <c r="AR68" s="104">
        <v>0</v>
      </c>
      <c r="AS68" s="104">
        <v>96064</v>
      </c>
      <c r="AT68" s="104">
        <v>1079</v>
      </c>
      <c r="AU68" s="104">
        <v>0</v>
      </c>
      <c r="AV68" s="104">
        <v>7006</v>
      </c>
      <c r="AW68" s="104">
        <v>79</v>
      </c>
      <c r="AX68" s="104">
        <v>0</v>
      </c>
      <c r="AZ68" s="104">
        <f t="shared" si="0"/>
        <v>904763</v>
      </c>
      <c r="BA68" s="104">
        <f t="shared" si="1"/>
        <v>10167</v>
      </c>
      <c r="BB68" s="96">
        <f t="shared" si="2"/>
        <v>191502</v>
      </c>
      <c r="BC68" s="104">
        <f t="shared" si="3"/>
        <v>0</v>
      </c>
    </row>
    <row r="69" spans="1:55">
      <c r="A69" s="102" t="s">
        <v>108</v>
      </c>
      <c r="B69" s="24" t="s">
        <v>491</v>
      </c>
      <c r="C69" s="103" t="s">
        <v>109</v>
      </c>
      <c r="D69" s="104">
        <v>111</v>
      </c>
      <c r="E69" s="104">
        <v>23235</v>
      </c>
      <c r="F69" s="104">
        <v>317</v>
      </c>
      <c r="G69" s="104">
        <v>42</v>
      </c>
      <c r="H69" s="104">
        <v>0</v>
      </c>
      <c r="I69" s="104">
        <v>0</v>
      </c>
      <c r="J69" s="104">
        <v>0</v>
      </c>
      <c r="K69" s="104">
        <v>15024</v>
      </c>
      <c r="L69" s="104">
        <v>209</v>
      </c>
      <c r="M69" s="104">
        <v>21</v>
      </c>
      <c r="N69" s="104">
        <v>0</v>
      </c>
      <c r="O69" s="104">
        <v>0</v>
      </c>
      <c r="P69" s="104">
        <v>0</v>
      </c>
      <c r="Q69" s="104">
        <v>0</v>
      </c>
      <c r="R69" s="104">
        <v>0</v>
      </c>
      <c r="S69" s="104">
        <v>0</v>
      </c>
      <c r="T69" s="104">
        <v>0</v>
      </c>
      <c r="U69" s="104">
        <v>0</v>
      </c>
      <c r="V69" s="104">
        <v>0</v>
      </c>
      <c r="W69" s="104">
        <v>0</v>
      </c>
      <c r="X69" s="104">
        <v>31794</v>
      </c>
      <c r="Y69" s="104">
        <v>436</v>
      </c>
      <c r="Z69" s="104">
        <v>50</v>
      </c>
      <c r="AA69" s="104">
        <v>0</v>
      </c>
      <c r="AB69" s="104">
        <v>0</v>
      </c>
      <c r="AC69" s="104">
        <v>0</v>
      </c>
      <c r="AD69" s="104">
        <v>0</v>
      </c>
      <c r="AE69" s="104">
        <v>0</v>
      </c>
      <c r="AF69" s="104">
        <v>0</v>
      </c>
      <c r="AG69" s="104">
        <v>0</v>
      </c>
      <c r="AH69" s="104">
        <v>0</v>
      </c>
      <c r="AI69" s="104">
        <v>0</v>
      </c>
      <c r="AJ69" s="104">
        <v>0</v>
      </c>
      <c r="AK69" s="104">
        <v>0</v>
      </c>
      <c r="AL69" s="104">
        <v>0</v>
      </c>
      <c r="AM69" s="104">
        <v>0</v>
      </c>
      <c r="AN69" s="104">
        <v>0</v>
      </c>
      <c r="AO69" s="104">
        <v>0</v>
      </c>
      <c r="AP69" s="104">
        <v>0</v>
      </c>
      <c r="AQ69" s="104">
        <v>0</v>
      </c>
      <c r="AR69" s="104">
        <v>0</v>
      </c>
      <c r="AS69" s="104">
        <v>4546</v>
      </c>
      <c r="AT69" s="104">
        <v>63</v>
      </c>
      <c r="AU69" s="104">
        <v>6</v>
      </c>
      <c r="AV69" s="104">
        <v>526</v>
      </c>
      <c r="AW69" s="104">
        <v>7</v>
      </c>
      <c r="AX69" s="104">
        <v>1</v>
      </c>
      <c r="AZ69" s="104">
        <f t="shared" si="0"/>
        <v>70053</v>
      </c>
      <c r="BA69" s="104">
        <f t="shared" si="1"/>
        <v>962</v>
      </c>
      <c r="BB69" s="96">
        <f t="shared" si="2"/>
        <v>21</v>
      </c>
      <c r="BC69" s="104">
        <f t="shared" si="3"/>
        <v>203</v>
      </c>
    </row>
    <row r="70" spans="1:55">
      <c r="A70" s="102" t="s">
        <v>110</v>
      </c>
      <c r="B70" s="24" t="s">
        <v>492</v>
      </c>
      <c r="C70" s="103" t="s">
        <v>109</v>
      </c>
      <c r="D70" s="104">
        <v>0</v>
      </c>
      <c r="E70" s="104">
        <v>12314</v>
      </c>
      <c r="F70" s="104">
        <v>136</v>
      </c>
      <c r="G70" s="104">
        <v>0</v>
      </c>
      <c r="H70" s="104">
        <v>0</v>
      </c>
      <c r="I70" s="104">
        <v>0</v>
      </c>
      <c r="J70" s="104">
        <v>0</v>
      </c>
      <c r="K70" s="104">
        <v>6925</v>
      </c>
      <c r="L70" s="104">
        <v>76</v>
      </c>
      <c r="M70" s="104">
        <v>0</v>
      </c>
      <c r="N70" s="104">
        <v>0</v>
      </c>
      <c r="O70" s="104">
        <v>0</v>
      </c>
      <c r="P70" s="104">
        <v>0</v>
      </c>
      <c r="Q70" s="104">
        <v>0</v>
      </c>
      <c r="R70" s="104">
        <v>0</v>
      </c>
      <c r="S70" s="104">
        <v>0</v>
      </c>
      <c r="T70" s="104">
        <v>0</v>
      </c>
      <c r="U70" s="104">
        <v>0</v>
      </c>
      <c r="V70" s="104">
        <v>0</v>
      </c>
      <c r="W70" s="104">
        <v>0</v>
      </c>
      <c r="X70" s="104">
        <v>0</v>
      </c>
      <c r="Y70" s="104">
        <v>0</v>
      </c>
      <c r="Z70" s="104">
        <v>0</v>
      </c>
      <c r="AA70" s="104">
        <v>0</v>
      </c>
      <c r="AB70" s="104">
        <v>0</v>
      </c>
      <c r="AC70" s="104">
        <v>0</v>
      </c>
      <c r="AD70" s="104">
        <v>0</v>
      </c>
      <c r="AE70" s="104">
        <v>0</v>
      </c>
      <c r="AF70" s="104">
        <v>0</v>
      </c>
      <c r="AG70" s="104">
        <v>0</v>
      </c>
      <c r="AH70" s="104">
        <v>0</v>
      </c>
      <c r="AI70" s="104">
        <v>0</v>
      </c>
      <c r="AJ70" s="104">
        <v>0</v>
      </c>
      <c r="AK70" s="104">
        <v>0</v>
      </c>
      <c r="AL70" s="104">
        <v>0</v>
      </c>
      <c r="AM70" s="104">
        <v>0</v>
      </c>
      <c r="AN70" s="104">
        <v>0</v>
      </c>
      <c r="AO70" s="104">
        <v>0</v>
      </c>
      <c r="AP70" s="104">
        <v>0</v>
      </c>
      <c r="AQ70" s="104">
        <v>0</v>
      </c>
      <c r="AR70" s="104">
        <v>0</v>
      </c>
      <c r="AS70" s="104">
        <v>2643</v>
      </c>
      <c r="AT70" s="104">
        <v>29</v>
      </c>
      <c r="AU70" s="104">
        <v>0</v>
      </c>
      <c r="AV70" s="104">
        <v>0</v>
      </c>
      <c r="AW70" s="104">
        <v>0</v>
      </c>
      <c r="AX70" s="104">
        <v>0</v>
      </c>
      <c r="AZ70" s="104">
        <f t="shared" si="0"/>
        <v>19239</v>
      </c>
      <c r="BA70" s="104">
        <f t="shared" si="1"/>
        <v>212</v>
      </c>
      <c r="BB70" s="96">
        <f t="shared" si="2"/>
        <v>0</v>
      </c>
      <c r="BC70" s="104">
        <f t="shared" si="3"/>
        <v>0</v>
      </c>
    </row>
    <row r="71" spans="1:55">
      <c r="A71" s="102" t="s">
        <v>111</v>
      </c>
      <c r="B71" s="24" t="s">
        <v>493</v>
      </c>
      <c r="C71" s="103" t="s">
        <v>112</v>
      </c>
      <c r="D71" s="104">
        <v>0</v>
      </c>
      <c r="E71" s="104">
        <v>11681</v>
      </c>
      <c r="F71" s="104">
        <v>155</v>
      </c>
      <c r="G71" s="104">
        <v>0</v>
      </c>
      <c r="H71" s="104">
        <v>0</v>
      </c>
      <c r="I71" s="104">
        <v>0</v>
      </c>
      <c r="J71" s="104">
        <v>0</v>
      </c>
      <c r="K71" s="104">
        <v>1293</v>
      </c>
      <c r="L71" s="104">
        <v>11</v>
      </c>
      <c r="M71" s="104">
        <v>0</v>
      </c>
      <c r="N71" s="104">
        <v>0</v>
      </c>
      <c r="O71" s="104">
        <v>0</v>
      </c>
      <c r="P71" s="104">
        <v>0</v>
      </c>
      <c r="Q71" s="104">
        <v>0</v>
      </c>
      <c r="R71" s="104">
        <v>0</v>
      </c>
      <c r="S71" s="104">
        <v>0</v>
      </c>
      <c r="T71" s="104">
        <v>0</v>
      </c>
      <c r="U71" s="104">
        <v>0</v>
      </c>
      <c r="V71" s="104">
        <v>0</v>
      </c>
      <c r="W71" s="104">
        <v>0</v>
      </c>
      <c r="X71" s="104">
        <v>21617</v>
      </c>
      <c r="Y71" s="104">
        <v>255</v>
      </c>
      <c r="Z71" s="104">
        <v>0</v>
      </c>
      <c r="AA71" s="104">
        <v>0</v>
      </c>
      <c r="AB71" s="104">
        <v>0</v>
      </c>
      <c r="AC71" s="104">
        <v>0</v>
      </c>
      <c r="AD71" s="104">
        <v>0</v>
      </c>
      <c r="AE71" s="104">
        <v>0</v>
      </c>
      <c r="AF71" s="104">
        <v>0</v>
      </c>
      <c r="AG71" s="104">
        <v>0</v>
      </c>
      <c r="AH71" s="104">
        <v>0</v>
      </c>
      <c r="AI71" s="104">
        <v>0</v>
      </c>
      <c r="AJ71" s="104">
        <v>0</v>
      </c>
      <c r="AK71" s="104">
        <v>0</v>
      </c>
      <c r="AL71" s="104">
        <v>0</v>
      </c>
      <c r="AM71" s="104">
        <v>0</v>
      </c>
      <c r="AN71" s="104">
        <v>0</v>
      </c>
      <c r="AO71" s="104">
        <v>0</v>
      </c>
      <c r="AP71" s="104">
        <v>0</v>
      </c>
      <c r="AQ71" s="104">
        <v>0</v>
      </c>
      <c r="AR71" s="104">
        <v>0</v>
      </c>
      <c r="AS71" s="104">
        <v>0</v>
      </c>
      <c r="AT71" s="104">
        <v>0</v>
      </c>
      <c r="AU71" s="104">
        <v>0</v>
      </c>
      <c r="AV71" s="104">
        <v>0</v>
      </c>
      <c r="AW71" s="104">
        <v>0</v>
      </c>
      <c r="AX71" s="104">
        <v>0</v>
      </c>
      <c r="AZ71" s="104">
        <f t="shared" ref="AZ71:AZ134" si="4">E71+H71+K71+O71+R71+U71+X71+AA71</f>
        <v>34591</v>
      </c>
      <c r="BA71" s="104">
        <f t="shared" ref="BA71:BA134" si="5">F71+I71+L71+P71+S71+V71+Y71+AB71</f>
        <v>421</v>
      </c>
      <c r="BB71" s="96">
        <f t="shared" ref="BB71:BB134" si="6">M71</f>
        <v>0</v>
      </c>
      <c r="BC71" s="104">
        <f t="shared" ref="BC71:BC134" si="7">D71+G71+J71+N71+Q71+T71+W71+Z71+AC71</f>
        <v>0</v>
      </c>
    </row>
    <row r="72" spans="1:55">
      <c r="A72" s="102" t="s">
        <v>113</v>
      </c>
      <c r="B72" s="24" t="s">
        <v>494</v>
      </c>
      <c r="C72" s="103" t="s">
        <v>112</v>
      </c>
      <c r="D72" s="104">
        <v>2091</v>
      </c>
      <c r="E72" s="104">
        <v>135633</v>
      </c>
      <c r="F72" s="104">
        <v>2941</v>
      </c>
      <c r="G72" s="104">
        <v>1787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110557</v>
      </c>
      <c r="Y72" s="104">
        <v>2433</v>
      </c>
      <c r="Z72" s="104">
        <v>1478</v>
      </c>
      <c r="AA72" s="104">
        <v>0</v>
      </c>
      <c r="AB72" s="104">
        <v>0</v>
      </c>
      <c r="AC72" s="104">
        <v>0</v>
      </c>
      <c r="AD72" s="104">
        <v>0</v>
      </c>
      <c r="AE72" s="104">
        <v>0</v>
      </c>
      <c r="AF72" s="104">
        <v>0</v>
      </c>
      <c r="AG72" s="104">
        <v>0</v>
      </c>
      <c r="AH72" s="104">
        <v>0</v>
      </c>
      <c r="AI72" s="104">
        <v>0</v>
      </c>
      <c r="AJ72" s="104">
        <v>0</v>
      </c>
      <c r="AK72" s="104">
        <v>0</v>
      </c>
      <c r="AL72" s="104">
        <v>0</v>
      </c>
      <c r="AM72" s="104">
        <v>0</v>
      </c>
      <c r="AN72" s="104">
        <v>0</v>
      </c>
      <c r="AO72" s="104">
        <v>0</v>
      </c>
      <c r="AP72" s="104">
        <v>0</v>
      </c>
      <c r="AQ72" s="104">
        <v>0</v>
      </c>
      <c r="AR72" s="104">
        <v>0</v>
      </c>
      <c r="AS72" s="104">
        <v>0</v>
      </c>
      <c r="AT72" s="104">
        <v>0</v>
      </c>
      <c r="AU72" s="104">
        <v>0</v>
      </c>
      <c r="AV72" s="104">
        <v>0</v>
      </c>
      <c r="AW72" s="104">
        <v>0</v>
      </c>
      <c r="AX72" s="104">
        <v>0</v>
      </c>
      <c r="AZ72" s="104">
        <f t="shared" si="4"/>
        <v>246190</v>
      </c>
      <c r="BA72" s="104">
        <f t="shared" si="5"/>
        <v>5374</v>
      </c>
      <c r="BB72" s="96">
        <f t="shared" si="6"/>
        <v>0</v>
      </c>
      <c r="BC72" s="104">
        <f t="shared" si="7"/>
        <v>5356</v>
      </c>
    </row>
    <row r="73" spans="1:55">
      <c r="A73" s="102" t="s">
        <v>114</v>
      </c>
      <c r="B73" s="24" t="s">
        <v>495</v>
      </c>
      <c r="C73" s="103" t="s">
        <v>112</v>
      </c>
      <c r="D73" s="104">
        <v>517</v>
      </c>
      <c r="E73" s="104">
        <v>30760</v>
      </c>
      <c r="F73" s="104">
        <v>637</v>
      </c>
      <c r="G73" s="104">
        <v>392</v>
      </c>
      <c r="H73" s="104">
        <v>0</v>
      </c>
      <c r="I73" s="104">
        <v>0</v>
      </c>
      <c r="J73" s="104">
        <v>0</v>
      </c>
      <c r="K73" s="104">
        <v>9962</v>
      </c>
      <c r="L73" s="104">
        <v>217</v>
      </c>
      <c r="M73" s="104">
        <v>0</v>
      </c>
      <c r="N73" s="104">
        <v>0</v>
      </c>
      <c r="O73" s="104">
        <v>0</v>
      </c>
      <c r="P73" s="104">
        <v>0</v>
      </c>
      <c r="Q73" s="104">
        <v>0</v>
      </c>
      <c r="R73" s="104">
        <v>0</v>
      </c>
      <c r="S73" s="104">
        <v>0</v>
      </c>
      <c r="T73" s="104">
        <v>0</v>
      </c>
      <c r="U73" s="104">
        <v>0</v>
      </c>
      <c r="V73" s="104">
        <v>0</v>
      </c>
      <c r="W73" s="104">
        <v>0</v>
      </c>
      <c r="X73" s="104">
        <v>34125</v>
      </c>
      <c r="Y73" s="104">
        <v>733</v>
      </c>
      <c r="Z73" s="104">
        <v>316</v>
      </c>
      <c r="AA73" s="104">
        <v>0</v>
      </c>
      <c r="AB73" s="104">
        <v>0</v>
      </c>
      <c r="AC73" s="104">
        <v>0</v>
      </c>
      <c r="AD73" s="104">
        <v>0</v>
      </c>
      <c r="AE73" s="104">
        <v>0</v>
      </c>
      <c r="AF73" s="104">
        <v>0</v>
      </c>
      <c r="AG73" s="104">
        <v>0</v>
      </c>
      <c r="AH73" s="104">
        <v>0</v>
      </c>
      <c r="AI73" s="104">
        <v>0</v>
      </c>
      <c r="AJ73" s="104">
        <v>0</v>
      </c>
      <c r="AK73" s="104">
        <v>0</v>
      </c>
      <c r="AL73" s="104">
        <v>0</v>
      </c>
      <c r="AM73" s="104">
        <v>0</v>
      </c>
      <c r="AN73" s="104">
        <v>0</v>
      </c>
      <c r="AO73" s="104">
        <v>0</v>
      </c>
      <c r="AP73" s="104">
        <v>0</v>
      </c>
      <c r="AQ73" s="104">
        <v>0</v>
      </c>
      <c r="AR73" s="104">
        <v>0</v>
      </c>
      <c r="AS73" s="104">
        <v>5441</v>
      </c>
      <c r="AT73" s="104">
        <v>116</v>
      </c>
      <c r="AU73" s="104">
        <v>52</v>
      </c>
      <c r="AV73" s="104">
        <v>0</v>
      </c>
      <c r="AW73" s="104">
        <v>0</v>
      </c>
      <c r="AX73" s="104">
        <v>0</v>
      </c>
      <c r="AZ73" s="104">
        <f t="shared" si="4"/>
        <v>74847</v>
      </c>
      <c r="BA73" s="104">
        <f t="shared" si="5"/>
        <v>1587</v>
      </c>
      <c r="BB73" s="96">
        <f t="shared" si="6"/>
        <v>0</v>
      </c>
      <c r="BC73" s="104">
        <f t="shared" si="7"/>
        <v>1225</v>
      </c>
    </row>
    <row r="74" spans="1:55">
      <c r="A74" s="102" t="s">
        <v>115</v>
      </c>
      <c r="B74" s="24" t="s">
        <v>380</v>
      </c>
      <c r="C74" s="103" t="s">
        <v>116</v>
      </c>
      <c r="D74" s="104">
        <v>5106</v>
      </c>
      <c r="E74" s="104">
        <v>7282507</v>
      </c>
      <c r="F74" s="104">
        <v>67850</v>
      </c>
      <c r="G74" s="104">
        <v>5045</v>
      </c>
      <c r="H74" s="104">
        <v>102253</v>
      </c>
      <c r="I74" s="104">
        <v>954</v>
      </c>
      <c r="J74" s="104">
        <v>173</v>
      </c>
      <c r="K74" s="104">
        <v>1343924</v>
      </c>
      <c r="L74" s="104">
        <v>12484</v>
      </c>
      <c r="M74" s="104">
        <v>0</v>
      </c>
      <c r="N74" s="104">
        <v>2428</v>
      </c>
      <c r="O74" s="104">
        <v>22</v>
      </c>
      <c r="P74" s="104">
        <v>0</v>
      </c>
      <c r="Q74" s="104">
        <v>372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2610652</v>
      </c>
      <c r="Y74" s="104">
        <v>26669</v>
      </c>
      <c r="Z74" s="104">
        <v>2741</v>
      </c>
      <c r="AA74" s="104">
        <v>0</v>
      </c>
      <c r="AB74" s="104">
        <v>0</v>
      </c>
      <c r="AC74" s="104">
        <v>0</v>
      </c>
      <c r="AD74" s="104">
        <v>0</v>
      </c>
      <c r="AE74" s="104">
        <v>0</v>
      </c>
      <c r="AF74" s="104">
        <v>0</v>
      </c>
      <c r="AG74" s="104">
        <v>42921</v>
      </c>
      <c r="AH74" s="104">
        <v>404</v>
      </c>
      <c r="AI74" s="104">
        <v>133</v>
      </c>
      <c r="AJ74" s="104">
        <v>0</v>
      </c>
      <c r="AK74" s="104">
        <v>0</v>
      </c>
      <c r="AL74" s="104">
        <v>0</v>
      </c>
      <c r="AM74" s="104">
        <v>0</v>
      </c>
      <c r="AN74" s="104">
        <v>0</v>
      </c>
      <c r="AO74" s="104">
        <v>0</v>
      </c>
      <c r="AP74" s="104">
        <v>0</v>
      </c>
      <c r="AQ74" s="104">
        <v>0</v>
      </c>
      <c r="AR74" s="104">
        <v>0</v>
      </c>
      <c r="AS74" s="104">
        <v>0</v>
      </c>
      <c r="AT74" s="104">
        <v>0</v>
      </c>
      <c r="AU74" s="104">
        <v>0</v>
      </c>
      <c r="AV74" s="104">
        <v>0</v>
      </c>
      <c r="AW74" s="104">
        <v>0</v>
      </c>
      <c r="AX74" s="104">
        <v>0</v>
      </c>
      <c r="AZ74" s="104">
        <f t="shared" si="4"/>
        <v>11339358</v>
      </c>
      <c r="BA74" s="104">
        <f t="shared" si="5"/>
        <v>107957</v>
      </c>
      <c r="BB74" s="96">
        <f t="shared" si="6"/>
        <v>0</v>
      </c>
      <c r="BC74" s="104">
        <f t="shared" si="7"/>
        <v>15865</v>
      </c>
    </row>
    <row r="75" spans="1:55">
      <c r="A75" s="102" t="s">
        <v>117</v>
      </c>
      <c r="B75" s="24" t="s">
        <v>496</v>
      </c>
      <c r="C75" s="103" t="s">
        <v>116</v>
      </c>
      <c r="D75" s="104">
        <v>0</v>
      </c>
      <c r="E75" s="104">
        <v>554488</v>
      </c>
      <c r="F75" s="104">
        <v>13655</v>
      </c>
      <c r="G75" s="104">
        <v>0</v>
      </c>
      <c r="H75" s="104">
        <v>0</v>
      </c>
      <c r="I75" s="104">
        <v>0</v>
      </c>
      <c r="J75" s="104">
        <v>0</v>
      </c>
      <c r="K75" s="104">
        <v>95180</v>
      </c>
      <c r="L75" s="104">
        <v>2639</v>
      </c>
      <c r="M75" s="104">
        <v>0</v>
      </c>
      <c r="N75" s="104">
        <v>0</v>
      </c>
      <c r="O75" s="104">
        <v>0</v>
      </c>
      <c r="P75" s="104">
        <v>0</v>
      </c>
      <c r="Q75" s="104">
        <v>0</v>
      </c>
      <c r="R75" s="104">
        <v>0</v>
      </c>
      <c r="S75" s="104">
        <v>0</v>
      </c>
      <c r="T75" s="104">
        <v>0</v>
      </c>
      <c r="U75" s="104">
        <v>0</v>
      </c>
      <c r="V75" s="104">
        <v>0</v>
      </c>
      <c r="W75" s="104">
        <v>0</v>
      </c>
      <c r="X75" s="104">
        <v>337089</v>
      </c>
      <c r="Y75" s="104">
        <v>8853</v>
      </c>
      <c r="Z75" s="104">
        <v>0</v>
      </c>
      <c r="AA75" s="104">
        <v>0</v>
      </c>
      <c r="AB75" s="104">
        <v>0</v>
      </c>
      <c r="AC75" s="104">
        <v>0</v>
      </c>
      <c r="AD75" s="104">
        <v>0</v>
      </c>
      <c r="AE75" s="104">
        <v>0</v>
      </c>
      <c r="AF75" s="104">
        <v>0</v>
      </c>
      <c r="AG75" s="104">
        <v>777</v>
      </c>
      <c r="AH75" s="104">
        <v>79</v>
      </c>
      <c r="AI75" s="104">
        <v>0</v>
      </c>
      <c r="AJ75" s="104">
        <v>0</v>
      </c>
      <c r="AK75" s="104">
        <v>0</v>
      </c>
      <c r="AL75" s="104">
        <v>0</v>
      </c>
      <c r="AM75" s="104">
        <v>0</v>
      </c>
      <c r="AN75" s="104">
        <v>0</v>
      </c>
      <c r="AO75" s="104">
        <v>0</v>
      </c>
      <c r="AP75" s="104">
        <v>0</v>
      </c>
      <c r="AQ75" s="104">
        <v>0</v>
      </c>
      <c r="AR75" s="104">
        <v>0</v>
      </c>
      <c r="AS75" s="104">
        <v>131242</v>
      </c>
      <c r="AT75" s="104">
        <v>3260</v>
      </c>
      <c r="AU75" s="104">
        <v>0</v>
      </c>
      <c r="AV75" s="104">
        <v>24681</v>
      </c>
      <c r="AW75" s="104">
        <v>603</v>
      </c>
      <c r="AX75" s="104">
        <v>0</v>
      </c>
      <c r="AZ75" s="104">
        <f t="shared" si="4"/>
        <v>986757</v>
      </c>
      <c r="BA75" s="104">
        <f t="shared" si="5"/>
        <v>25147</v>
      </c>
      <c r="BB75" s="96">
        <f t="shared" si="6"/>
        <v>0</v>
      </c>
      <c r="BC75" s="104">
        <f t="shared" si="7"/>
        <v>0</v>
      </c>
    </row>
    <row r="76" spans="1:55">
      <c r="A76" s="102" t="s">
        <v>118</v>
      </c>
      <c r="B76" s="24" t="s">
        <v>497</v>
      </c>
      <c r="C76" s="103" t="s">
        <v>116</v>
      </c>
      <c r="D76" s="104">
        <v>0</v>
      </c>
      <c r="E76" s="104">
        <v>372807</v>
      </c>
      <c r="F76" s="104">
        <v>0</v>
      </c>
      <c r="G76" s="104">
        <v>0</v>
      </c>
      <c r="H76" s="104">
        <v>0</v>
      </c>
      <c r="I76" s="104">
        <v>0</v>
      </c>
      <c r="J76" s="104">
        <v>0</v>
      </c>
      <c r="K76" s="104">
        <v>84400</v>
      </c>
      <c r="L76" s="104">
        <v>0</v>
      </c>
      <c r="M76" s="104">
        <v>0</v>
      </c>
      <c r="N76" s="104">
        <v>0</v>
      </c>
      <c r="O76" s="104">
        <v>0</v>
      </c>
      <c r="P76" s="104">
        <v>0</v>
      </c>
      <c r="Q76" s="104">
        <v>0</v>
      </c>
      <c r="R76" s="104">
        <v>0</v>
      </c>
      <c r="S76" s="104">
        <v>0</v>
      </c>
      <c r="T76" s="104">
        <v>0</v>
      </c>
      <c r="U76" s="104">
        <v>0</v>
      </c>
      <c r="V76" s="104">
        <v>0</v>
      </c>
      <c r="W76" s="104">
        <v>0</v>
      </c>
      <c r="X76" s="104">
        <v>186143</v>
      </c>
      <c r="Y76" s="104">
        <v>0</v>
      </c>
      <c r="Z76" s="104">
        <v>0</v>
      </c>
      <c r="AA76" s="104">
        <v>0</v>
      </c>
      <c r="AB76" s="104">
        <v>0</v>
      </c>
      <c r="AC76" s="104">
        <v>0</v>
      </c>
      <c r="AD76" s="104">
        <v>0</v>
      </c>
      <c r="AE76" s="104">
        <v>0</v>
      </c>
      <c r="AF76" s="104">
        <v>0</v>
      </c>
      <c r="AG76" s="104">
        <v>0</v>
      </c>
      <c r="AH76" s="104">
        <v>0</v>
      </c>
      <c r="AI76" s="104">
        <v>0</v>
      </c>
      <c r="AJ76" s="104">
        <v>0</v>
      </c>
      <c r="AK76" s="104">
        <v>0</v>
      </c>
      <c r="AL76" s="104">
        <v>0</v>
      </c>
      <c r="AM76" s="104">
        <v>0</v>
      </c>
      <c r="AN76" s="104">
        <v>0</v>
      </c>
      <c r="AO76" s="104">
        <v>0</v>
      </c>
      <c r="AP76" s="104">
        <v>0</v>
      </c>
      <c r="AQ76" s="104">
        <v>0</v>
      </c>
      <c r="AR76" s="104">
        <v>0</v>
      </c>
      <c r="AS76" s="104">
        <v>0</v>
      </c>
      <c r="AT76" s="104">
        <v>0</v>
      </c>
      <c r="AU76" s="104">
        <v>0</v>
      </c>
      <c r="AV76" s="104">
        <v>0</v>
      </c>
      <c r="AW76" s="104">
        <v>0</v>
      </c>
      <c r="AX76" s="104">
        <v>0</v>
      </c>
      <c r="AZ76" s="104">
        <f t="shared" si="4"/>
        <v>643350</v>
      </c>
      <c r="BA76" s="104">
        <f t="shared" si="5"/>
        <v>0</v>
      </c>
      <c r="BB76" s="96">
        <f t="shared" si="6"/>
        <v>0</v>
      </c>
      <c r="BC76" s="104">
        <f t="shared" si="7"/>
        <v>0</v>
      </c>
    </row>
    <row r="77" spans="1:55">
      <c r="A77" s="102" t="s">
        <v>119</v>
      </c>
      <c r="B77" s="24" t="s">
        <v>498</v>
      </c>
      <c r="C77" s="103" t="s">
        <v>116</v>
      </c>
      <c r="D77" s="104">
        <v>100</v>
      </c>
      <c r="E77" s="104">
        <v>207554</v>
      </c>
      <c r="F77" s="104">
        <v>4789</v>
      </c>
      <c r="G77" s="104">
        <v>68</v>
      </c>
      <c r="H77" s="104">
        <v>0</v>
      </c>
      <c r="I77" s="104">
        <v>0</v>
      </c>
      <c r="J77" s="104">
        <v>0</v>
      </c>
      <c r="K77" s="104">
        <v>56393</v>
      </c>
      <c r="L77" s="104">
        <v>1301</v>
      </c>
      <c r="M77" s="104">
        <v>0</v>
      </c>
      <c r="N77" s="104">
        <v>20</v>
      </c>
      <c r="O77" s="104">
        <v>0</v>
      </c>
      <c r="P77" s="104">
        <v>0</v>
      </c>
      <c r="Q77" s="104">
        <v>0</v>
      </c>
      <c r="R77" s="104">
        <v>0</v>
      </c>
      <c r="S77" s="104">
        <v>0</v>
      </c>
      <c r="T77" s="104">
        <v>0</v>
      </c>
      <c r="U77" s="104">
        <v>0</v>
      </c>
      <c r="V77" s="104">
        <v>0</v>
      </c>
      <c r="W77" s="104">
        <v>0</v>
      </c>
      <c r="X77" s="104">
        <v>245463</v>
      </c>
      <c r="Y77" s="104">
        <v>5655</v>
      </c>
      <c r="Z77" s="104">
        <v>87</v>
      </c>
      <c r="AA77" s="104">
        <v>0</v>
      </c>
      <c r="AB77" s="104">
        <v>0</v>
      </c>
      <c r="AC77" s="104">
        <v>0</v>
      </c>
      <c r="AD77" s="104">
        <v>0</v>
      </c>
      <c r="AE77" s="104">
        <v>0</v>
      </c>
      <c r="AF77" s="104">
        <v>0</v>
      </c>
      <c r="AG77" s="104">
        <v>9439</v>
      </c>
      <c r="AH77" s="104">
        <v>214</v>
      </c>
      <c r="AI77" s="104">
        <v>2</v>
      </c>
      <c r="AJ77" s="104">
        <v>0</v>
      </c>
      <c r="AK77" s="104">
        <v>0</v>
      </c>
      <c r="AL77" s="104">
        <v>0</v>
      </c>
      <c r="AM77" s="104">
        <v>0</v>
      </c>
      <c r="AN77" s="104">
        <v>0</v>
      </c>
      <c r="AO77" s="104">
        <v>0</v>
      </c>
      <c r="AP77" s="104">
        <v>0</v>
      </c>
      <c r="AQ77" s="104">
        <v>0</v>
      </c>
      <c r="AR77" s="104">
        <v>0</v>
      </c>
      <c r="AS77" s="104">
        <v>56394</v>
      </c>
      <c r="AT77" s="104">
        <v>1301</v>
      </c>
      <c r="AU77" s="104">
        <v>20</v>
      </c>
      <c r="AV77" s="104">
        <v>8679</v>
      </c>
      <c r="AW77" s="104">
        <v>201</v>
      </c>
      <c r="AX77" s="104">
        <v>3</v>
      </c>
      <c r="AZ77" s="104">
        <f t="shared" si="4"/>
        <v>509410</v>
      </c>
      <c r="BA77" s="104">
        <f t="shared" si="5"/>
        <v>11745</v>
      </c>
      <c r="BB77" s="96">
        <f t="shared" si="6"/>
        <v>0</v>
      </c>
      <c r="BC77" s="104">
        <f t="shared" si="7"/>
        <v>275</v>
      </c>
    </row>
    <row r="78" spans="1:55">
      <c r="A78" s="102" t="s">
        <v>120</v>
      </c>
      <c r="B78" s="24" t="s">
        <v>499</v>
      </c>
      <c r="C78" s="103" t="s">
        <v>116</v>
      </c>
      <c r="D78" s="104">
        <v>0</v>
      </c>
      <c r="E78" s="104">
        <v>154621</v>
      </c>
      <c r="F78" s="104">
        <v>3890</v>
      </c>
      <c r="G78" s="104">
        <v>0</v>
      </c>
      <c r="H78" s="104">
        <v>0</v>
      </c>
      <c r="I78" s="104">
        <v>0</v>
      </c>
      <c r="J78" s="104">
        <v>0</v>
      </c>
      <c r="K78" s="104">
        <v>0</v>
      </c>
      <c r="L78" s="104">
        <v>0</v>
      </c>
      <c r="M78" s="104">
        <v>0</v>
      </c>
      <c r="N78" s="104">
        <v>0</v>
      </c>
      <c r="O78" s="104">
        <v>0</v>
      </c>
      <c r="P78" s="104">
        <v>0</v>
      </c>
      <c r="Q78" s="104">
        <v>0</v>
      </c>
      <c r="R78" s="104">
        <v>0</v>
      </c>
      <c r="S78" s="104">
        <v>0</v>
      </c>
      <c r="T78" s="104">
        <v>0</v>
      </c>
      <c r="U78" s="104">
        <v>0</v>
      </c>
      <c r="V78" s="104">
        <v>0</v>
      </c>
      <c r="W78" s="104">
        <v>0</v>
      </c>
      <c r="X78" s="104">
        <v>64626</v>
      </c>
      <c r="Y78" s="104">
        <v>1483</v>
      </c>
      <c r="Z78" s="104">
        <v>0</v>
      </c>
      <c r="AA78" s="104">
        <v>0</v>
      </c>
      <c r="AB78" s="104">
        <v>0</v>
      </c>
      <c r="AC78" s="104">
        <v>0</v>
      </c>
      <c r="AD78" s="104">
        <v>0</v>
      </c>
      <c r="AE78" s="104">
        <v>0</v>
      </c>
      <c r="AF78" s="104">
        <v>0</v>
      </c>
      <c r="AG78" s="104">
        <v>0</v>
      </c>
      <c r="AH78" s="104">
        <v>0</v>
      </c>
      <c r="AI78" s="104">
        <v>0</v>
      </c>
      <c r="AJ78" s="104">
        <v>10717</v>
      </c>
      <c r="AK78" s="104">
        <v>269</v>
      </c>
      <c r="AL78" s="104">
        <v>0</v>
      </c>
      <c r="AM78" s="104">
        <v>0</v>
      </c>
      <c r="AN78" s="104">
        <v>0</v>
      </c>
      <c r="AO78" s="104">
        <v>0</v>
      </c>
      <c r="AP78" s="104">
        <v>0</v>
      </c>
      <c r="AQ78" s="104">
        <v>0</v>
      </c>
      <c r="AR78" s="104">
        <v>0</v>
      </c>
      <c r="AS78" s="104">
        <v>23049</v>
      </c>
      <c r="AT78" s="104">
        <v>585</v>
      </c>
      <c r="AU78" s="104">
        <v>0</v>
      </c>
      <c r="AV78" s="104">
        <v>0</v>
      </c>
      <c r="AW78" s="104">
        <v>0</v>
      </c>
      <c r="AX78" s="104">
        <v>0</v>
      </c>
      <c r="AZ78" s="104">
        <f t="shared" si="4"/>
        <v>219247</v>
      </c>
      <c r="BA78" s="104">
        <f t="shared" si="5"/>
        <v>5373</v>
      </c>
      <c r="BB78" s="96">
        <f t="shared" si="6"/>
        <v>0</v>
      </c>
      <c r="BC78" s="104">
        <f t="shared" si="7"/>
        <v>0</v>
      </c>
    </row>
    <row r="79" spans="1:55">
      <c r="A79" s="102" t="s">
        <v>121</v>
      </c>
      <c r="B79" s="24" t="s">
        <v>500</v>
      </c>
      <c r="C79" s="103" t="s">
        <v>116</v>
      </c>
      <c r="D79" s="104">
        <v>0</v>
      </c>
      <c r="E79" s="104">
        <v>125442</v>
      </c>
      <c r="F79" s="104">
        <v>3183</v>
      </c>
      <c r="G79" s="104">
        <v>0</v>
      </c>
      <c r="H79" s="104">
        <v>0</v>
      </c>
      <c r="I79" s="104">
        <v>0</v>
      </c>
      <c r="J79" s="104">
        <v>0</v>
      </c>
      <c r="K79" s="104">
        <v>30783</v>
      </c>
      <c r="L79" s="104">
        <v>779</v>
      </c>
      <c r="M79" s="104">
        <v>0</v>
      </c>
      <c r="N79" s="104">
        <v>0</v>
      </c>
      <c r="O79" s="104">
        <v>0</v>
      </c>
      <c r="P79" s="104">
        <v>0</v>
      </c>
      <c r="Q79" s="104">
        <v>0</v>
      </c>
      <c r="R79" s="104">
        <v>0</v>
      </c>
      <c r="S79" s="104">
        <v>0</v>
      </c>
      <c r="T79" s="104">
        <v>0</v>
      </c>
      <c r="U79" s="104">
        <v>0</v>
      </c>
      <c r="V79" s="104">
        <v>0</v>
      </c>
      <c r="W79" s="104">
        <v>0</v>
      </c>
      <c r="X79" s="104">
        <v>0</v>
      </c>
      <c r="Y79" s="104">
        <v>0</v>
      </c>
      <c r="Z79" s="104">
        <v>0</v>
      </c>
      <c r="AA79" s="104">
        <v>0</v>
      </c>
      <c r="AB79" s="104">
        <v>0</v>
      </c>
      <c r="AC79" s="104">
        <v>0</v>
      </c>
      <c r="AD79" s="104">
        <v>0</v>
      </c>
      <c r="AE79" s="104">
        <v>0</v>
      </c>
      <c r="AF79" s="104">
        <v>0</v>
      </c>
      <c r="AG79" s="104">
        <v>0</v>
      </c>
      <c r="AH79" s="104">
        <v>0</v>
      </c>
      <c r="AI79" s="104">
        <v>0</v>
      </c>
      <c r="AJ79" s="104">
        <v>0</v>
      </c>
      <c r="AK79" s="104">
        <v>0</v>
      </c>
      <c r="AL79" s="104">
        <v>0</v>
      </c>
      <c r="AM79" s="104">
        <v>0</v>
      </c>
      <c r="AN79" s="104">
        <v>0</v>
      </c>
      <c r="AO79" s="104">
        <v>0</v>
      </c>
      <c r="AP79" s="104">
        <v>0</v>
      </c>
      <c r="AQ79" s="104">
        <v>0</v>
      </c>
      <c r="AR79" s="104">
        <v>0</v>
      </c>
      <c r="AS79" s="104">
        <v>23088</v>
      </c>
      <c r="AT79" s="104">
        <v>584</v>
      </c>
      <c r="AU79" s="104">
        <v>0</v>
      </c>
      <c r="AV79" s="104">
        <v>0</v>
      </c>
      <c r="AW79" s="104">
        <v>0</v>
      </c>
      <c r="AX79" s="104">
        <v>0</v>
      </c>
      <c r="AZ79" s="104">
        <f t="shared" si="4"/>
        <v>156225</v>
      </c>
      <c r="BA79" s="104">
        <f t="shared" si="5"/>
        <v>3962</v>
      </c>
      <c r="BB79" s="96">
        <f t="shared" si="6"/>
        <v>0</v>
      </c>
      <c r="BC79" s="104">
        <f t="shared" si="7"/>
        <v>0</v>
      </c>
    </row>
    <row r="80" spans="1:55">
      <c r="A80" s="102" t="s">
        <v>122</v>
      </c>
      <c r="B80" s="24" t="s">
        <v>501</v>
      </c>
      <c r="C80" s="103" t="s">
        <v>116</v>
      </c>
      <c r="D80" s="104">
        <v>0</v>
      </c>
      <c r="E80" s="104">
        <v>449510</v>
      </c>
      <c r="F80" s="104">
        <v>6375</v>
      </c>
      <c r="G80" s="104">
        <v>0</v>
      </c>
      <c r="H80" s="104">
        <v>0</v>
      </c>
      <c r="I80" s="104">
        <v>0</v>
      </c>
      <c r="J80" s="104">
        <v>0</v>
      </c>
      <c r="K80" s="104">
        <v>118918</v>
      </c>
      <c r="L80" s="104">
        <v>1675</v>
      </c>
      <c r="M80" s="104">
        <v>0</v>
      </c>
      <c r="N80" s="104">
        <v>0</v>
      </c>
      <c r="O80" s="104">
        <v>0</v>
      </c>
      <c r="P80" s="104">
        <v>0</v>
      </c>
      <c r="Q80" s="104">
        <v>0</v>
      </c>
      <c r="R80" s="104">
        <v>0</v>
      </c>
      <c r="S80" s="104">
        <v>0</v>
      </c>
      <c r="T80" s="104">
        <v>0</v>
      </c>
      <c r="U80" s="104">
        <v>0</v>
      </c>
      <c r="V80" s="104">
        <v>0</v>
      </c>
      <c r="W80" s="104">
        <v>0</v>
      </c>
      <c r="X80" s="104">
        <v>541976</v>
      </c>
      <c r="Y80" s="104">
        <v>7610</v>
      </c>
      <c r="Z80" s="104">
        <v>0</v>
      </c>
      <c r="AA80" s="104">
        <v>0</v>
      </c>
      <c r="AB80" s="104">
        <v>0</v>
      </c>
      <c r="AC80" s="104">
        <v>0</v>
      </c>
      <c r="AD80" s="104">
        <v>0</v>
      </c>
      <c r="AE80" s="104">
        <v>0</v>
      </c>
      <c r="AF80" s="104">
        <v>0</v>
      </c>
      <c r="AG80" s="104">
        <v>0</v>
      </c>
      <c r="AH80" s="104">
        <v>0</v>
      </c>
      <c r="AI80" s="104">
        <v>0</v>
      </c>
      <c r="AJ80" s="104">
        <v>0</v>
      </c>
      <c r="AK80" s="104">
        <v>0</v>
      </c>
      <c r="AL80" s="104">
        <v>0</v>
      </c>
      <c r="AM80" s="104">
        <v>0</v>
      </c>
      <c r="AN80" s="104">
        <v>0</v>
      </c>
      <c r="AO80" s="104">
        <v>0</v>
      </c>
      <c r="AP80" s="104">
        <v>0</v>
      </c>
      <c r="AQ80" s="104">
        <v>0</v>
      </c>
      <c r="AR80" s="104">
        <v>0</v>
      </c>
      <c r="AS80" s="104">
        <v>0</v>
      </c>
      <c r="AT80" s="104">
        <v>0</v>
      </c>
      <c r="AU80" s="104">
        <v>0</v>
      </c>
      <c r="AV80" s="104">
        <v>0</v>
      </c>
      <c r="AW80" s="104">
        <v>0</v>
      </c>
      <c r="AX80" s="104">
        <v>0</v>
      </c>
      <c r="AZ80" s="104">
        <f t="shared" si="4"/>
        <v>1110404</v>
      </c>
      <c r="BA80" s="104">
        <f t="shared" si="5"/>
        <v>15660</v>
      </c>
      <c r="BB80" s="96">
        <f t="shared" si="6"/>
        <v>0</v>
      </c>
      <c r="BC80" s="104">
        <f t="shared" si="7"/>
        <v>0</v>
      </c>
    </row>
    <row r="81" spans="1:55">
      <c r="A81" s="102" t="s">
        <v>123</v>
      </c>
      <c r="B81" s="24" t="s">
        <v>502</v>
      </c>
      <c r="C81" s="103" t="s">
        <v>116</v>
      </c>
      <c r="D81" s="104">
        <v>0</v>
      </c>
      <c r="E81" s="104">
        <v>666412</v>
      </c>
      <c r="F81" s="104">
        <v>5971</v>
      </c>
      <c r="G81" s="104">
        <v>0</v>
      </c>
      <c r="H81" s="104">
        <v>0</v>
      </c>
      <c r="I81" s="104">
        <v>0</v>
      </c>
      <c r="J81" s="104">
        <v>0</v>
      </c>
      <c r="K81" s="104">
        <v>149566</v>
      </c>
      <c r="L81" s="104">
        <v>1338</v>
      </c>
      <c r="M81" s="104">
        <v>0</v>
      </c>
      <c r="N81" s="104">
        <v>0</v>
      </c>
      <c r="O81" s="104">
        <v>0</v>
      </c>
      <c r="P81" s="104">
        <v>0</v>
      </c>
      <c r="Q81" s="104">
        <v>0</v>
      </c>
      <c r="R81" s="104">
        <v>0</v>
      </c>
      <c r="S81" s="104">
        <v>0</v>
      </c>
      <c r="T81" s="104">
        <v>0</v>
      </c>
      <c r="U81" s="104">
        <v>0</v>
      </c>
      <c r="V81" s="104">
        <v>0</v>
      </c>
      <c r="W81" s="104">
        <v>0</v>
      </c>
      <c r="X81" s="104">
        <v>0</v>
      </c>
      <c r="Y81" s="104">
        <v>0</v>
      </c>
      <c r="Z81" s="104">
        <v>0</v>
      </c>
      <c r="AA81" s="104">
        <v>612516</v>
      </c>
      <c r="AB81" s="104">
        <v>5409</v>
      </c>
      <c r="AC81" s="104">
        <v>0</v>
      </c>
      <c r="AD81" s="104">
        <v>0</v>
      </c>
      <c r="AE81" s="104">
        <v>0</v>
      </c>
      <c r="AF81" s="104">
        <v>0</v>
      </c>
      <c r="AG81" s="104">
        <v>49186</v>
      </c>
      <c r="AH81" s="104">
        <v>432</v>
      </c>
      <c r="AI81" s="104">
        <v>0</v>
      </c>
      <c r="AJ81" s="104">
        <v>0</v>
      </c>
      <c r="AK81" s="104">
        <v>0</v>
      </c>
      <c r="AL81" s="104">
        <v>0</v>
      </c>
      <c r="AM81" s="104">
        <v>0</v>
      </c>
      <c r="AN81" s="104">
        <v>0</v>
      </c>
      <c r="AO81" s="104">
        <v>0</v>
      </c>
      <c r="AP81" s="104">
        <v>0</v>
      </c>
      <c r="AQ81" s="104">
        <v>0</v>
      </c>
      <c r="AR81" s="104">
        <v>0</v>
      </c>
      <c r="AS81" s="104">
        <v>34878</v>
      </c>
      <c r="AT81" s="104">
        <v>313</v>
      </c>
      <c r="AU81" s="104">
        <v>0</v>
      </c>
      <c r="AV81" s="104">
        <v>0</v>
      </c>
      <c r="AW81" s="104">
        <v>0</v>
      </c>
      <c r="AX81" s="104">
        <v>0</v>
      </c>
      <c r="AZ81" s="104">
        <f t="shared" si="4"/>
        <v>1428494</v>
      </c>
      <c r="BA81" s="104">
        <f t="shared" si="5"/>
        <v>12718</v>
      </c>
      <c r="BB81" s="96">
        <f t="shared" si="6"/>
        <v>0</v>
      </c>
      <c r="BC81" s="104">
        <f t="shared" si="7"/>
        <v>0</v>
      </c>
    </row>
    <row r="82" spans="1:55">
      <c r="A82" s="102" t="s">
        <v>124</v>
      </c>
      <c r="B82" s="24" t="s">
        <v>503</v>
      </c>
      <c r="C82" s="103" t="s">
        <v>116</v>
      </c>
      <c r="D82" s="104">
        <v>0</v>
      </c>
      <c r="E82" s="104">
        <v>161814</v>
      </c>
      <c r="F82" s="104">
        <v>0</v>
      </c>
      <c r="G82" s="104">
        <v>0</v>
      </c>
      <c r="H82" s="104">
        <v>0</v>
      </c>
      <c r="I82" s="104">
        <v>0</v>
      </c>
      <c r="J82" s="104">
        <v>0</v>
      </c>
      <c r="K82" s="104">
        <v>36182</v>
      </c>
      <c r="L82" s="104">
        <v>0</v>
      </c>
      <c r="M82" s="104">
        <v>0</v>
      </c>
      <c r="N82" s="104">
        <v>0</v>
      </c>
      <c r="O82" s="104">
        <v>0</v>
      </c>
      <c r="P82" s="104">
        <v>0</v>
      </c>
      <c r="Q82" s="104">
        <v>0</v>
      </c>
      <c r="R82" s="104">
        <v>0</v>
      </c>
      <c r="S82" s="104">
        <v>0</v>
      </c>
      <c r="T82" s="104">
        <v>0</v>
      </c>
      <c r="U82" s="104">
        <v>0</v>
      </c>
      <c r="V82" s="104">
        <v>0</v>
      </c>
      <c r="W82" s="104">
        <v>0</v>
      </c>
      <c r="X82" s="104">
        <v>207544</v>
      </c>
      <c r="Y82" s="104">
        <v>0</v>
      </c>
      <c r="Z82" s="104">
        <v>0</v>
      </c>
      <c r="AA82" s="104">
        <v>0</v>
      </c>
      <c r="AB82" s="104">
        <v>0</v>
      </c>
      <c r="AC82" s="104">
        <v>0</v>
      </c>
      <c r="AD82" s="104">
        <v>0</v>
      </c>
      <c r="AE82" s="104">
        <v>0</v>
      </c>
      <c r="AF82" s="104">
        <v>0</v>
      </c>
      <c r="AG82" s="104">
        <v>0</v>
      </c>
      <c r="AH82" s="104">
        <v>0</v>
      </c>
      <c r="AI82" s="104">
        <v>0</v>
      </c>
      <c r="AJ82" s="104">
        <v>0</v>
      </c>
      <c r="AK82" s="104">
        <v>0</v>
      </c>
      <c r="AL82" s="104">
        <v>0</v>
      </c>
      <c r="AM82" s="104">
        <v>0</v>
      </c>
      <c r="AN82" s="104">
        <v>0</v>
      </c>
      <c r="AO82" s="104">
        <v>0</v>
      </c>
      <c r="AP82" s="104">
        <v>0</v>
      </c>
      <c r="AQ82" s="104">
        <v>0</v>
      </c>
      <c r="AR82" s="104">
        <v>0</v>
      </c>
      <c r="AS82" s="104">
        <v>0</v>
      </c>
      <c r="AT82" s="104">
        <v>0</v>
      </c>
      <c r="AU82" s="104">
        <v>0</v>
      </c>
      <c r="AV82" s="104">
        <v>0</v>
      </c>
      <c r="AW82" s="104">
        <v>0</v>
      </c>
      <c r="AX82" s="104">
        <v>0</v>
      </c>
      <c r="AZ82" s="104">
        <f t="shared" si="4"/>
        <v>405540</v>
      </c>
      <c r="BA82" s="104">
        <f t="shared" si="5"/>
        <v>0</v>
      </c>
      <c r="BB82" s="96">
        <f t="shared" si="6"/>
        <v>0</v>
      </c>
      <c r="BC82" s="104">
        <f t="shared" si="7"/>
        <v>0</v>
      </c>
    </row>
    <row r="83" spans="1:55">
      <c r="A83" s="102" t="s">
        <v>125</v>
      </c>
      <c r="B83" s="24" t="s">
        <v>504</v>
      </c>
      <c r="C83" s="103" t="s">
        <v>116</v>
      </c>
      <c r="D83" s="104">
        <v>0</v>
      </c>
      <c r="E83" s="104">
        <v>69499</v>
      </c>
      <c r="F83" s="104">
        <v>1435</v>
      </c>
      <c r="G83" s="104">
        <v>22576</v>
      </c>
      <c r="H83" s="104">
        <v>0</v>
      </c>
      <c r="I83" s="104">
        <v>0</v>
      </c>
      <c r="J83" s="104">
        <v>0</v>
      </c>
      <c r="K83" s="104">
        <v>15895</v>
      </c>
      <c r="L83" s="104">
        <v>328</v>
      </c>
      <c r="M83" s="104">
        <v>0</v>
      </c>
      <c r="N83" s="104">
        <v>0</v>
      </c>
      <c r="O83" s="104">
        <v>0</v>
      </c>
      <c r="P83" s="104">
        <v>0</v>
      </c>
      <c r="Q83" s="104">
        <v>0</v>
      </c>
      <c r="R83" s="104">
        <v>0</v>
      </c>
      <c r="S83" s="104">
        <v>0</v>
      </c>
      <c r="T83" s="104">
        <v>0</v>
      </c>
      <c r="U83" s="104">
        <v>0</v>
      </c>
      <c r="V83" s="104">
        <v>0</v>
      </c>
      <c r="W83" s="104">
        <v>0</v>
      </c>
      <c r="X83" s="104">
        <v>72701</v>
      </c>
      <c r="Y83" s="104">
        <v>1503</v>
      </c>
      <c r="Z83" s="104">
        <v>0</v>
      </c>
      <c r="AA83" s="104">
        <v>0</v>
      </c>
      <c r="AB83" s="104">
        <v>0</v>
      </c>
      <c r="AC83" s="104">
        <v>0</v>
      </c>
      <c r="AD83" s="104">
        <v>0</v>
      </c>
      <c r="AE83" s="104">
        <v>0</v>
      </c>
      <c r="AF83" s="104">
        <v>0</v>
      </c>
      <c r="AG83" s="104">
        <v>0</v>
      </c>
      <c r="AH83" s="104">
        <v>0</v>
      </c>
      <c r="AI83" s="104">
        <v>0</v>
      </c>
      <c r="AJ83" s="104">
        <v>0</v>
      </c>
      <c r="AK83" s="104">
        <v>0</v>
      </c>
      <c r="AL83" s="104">
        <v>0</v>
      </c>
      <c r="AM83" s="104">
        <v>0</v>
      </c>
      <c r="AN83" s="104">
        <v>0</v>
      </c>
      <c r="AO83" s="104">
        <v>0</v>
      </c>
      <c r="AP83" s="104">
        <v>0</v>
      </c>
      <c r="AQ83" s="104">
        <v>0</v>
      </c>
      <c r="AR83" s="104">
        <v>0</v>
      </c>
      <c r="AS83" s="104">
        <v>11890</v>
      </c>
      <c r="AT83" s="104">
        <v>246</v>
      </c>
      <c r="AU83" s="104">
        <v>0</v>
      </c>
      <c r="AV83" s="104">
        <v>1250</v>
      </c>
      <c r="AW83" s="104">
        <v>26</v>
      </c>
      <c r="AX83" s="104">
        <v>0</v>
      </c>
      <c r="AZ83" s="104">
        <f t="shared" si="4"/>
        <v>158095</v>
      </c>
      <c r="BA83" s="104">
        <f t="shared" si="5"/>
        <v>3266</v>
      </c>
      <c r="BB83" s="96">
        <f t="shared" si="6"/>
        <v>0</v>
      </c>
      <c r="BC83" s="104">
        <f t="shared" si="7"/>
        <v>22576</v>
      </c>
    </row>
    <row r="84" spans="1:55">
      <c r="A84" s="102" t="s">
        <v>126</v>
      </c>
      <c r="B84" s="24" t="s">
        <v>505</v>
      </c>
      <c r="C84" s="103" t="s">
        <v>127</v>
      </c>
      <c r="D84" s="104">
        <v>0</v>
      </c>
      <c r="E84" s="104">
        <v>27241</v>
      </c>
      <c r="F84" s="104">
        <v>582</v>
      </c>
      <c r="G84" s="104">
        <v>0</v>
      </c>
      <c r="H84" s="104">
        <v>0</v>
      </c>
      <c r="I84" s="104">
        <v>0</v>
      </c>
      <c r="J84" s="104">
        <v>0</v>
      </c>
      <c r="K84" s="104">
        <v>3288</v>
      </c>
      <c r="L84" s="104">
        <v>74</v>
      </c>
      <c r="M84" s="104">
        <v>0</v>
      </c>
      <c r="N84" s="104">
        <v>0</v>
      </c>
      <c r="O84" s="104">
        <v>0</v>
      </c>
      <c r="P84" s="104">
        <v>0</v>
      </c>
      <c r="Q84" s="104">
        <v>0</v>
      </c>
      <c r="R84" s="104">
        <v>0</v>
      </c>
      <c r="S84" s="104">
        <v>0</v>
      </c>
      <c r="T84" s="104">
        <v>0</v>
      </c>
      <c r="U84" s="104">
        <v>0</v>
      </c>
      <c r="V84" s="104">
        <v>0</v>
      </c>
      <c r="W84" s="104">
        <v>0</v>
      </c>
      <c r="X84" s="104">
        <v>0</v>
      </c>
      <c r="Y84" s="104">
        <v>0</v>
      </c>
      <c r="Z84" s="104">
        <v>0</v>
      </c>
      <c r="AA84" s="104">
        <v>0</v>
      </c>
      <c r="AB84" s="104">
        <v>0</v>
      </c>
      <c r="AC84" s="104">
        <v>0</v>
      </c>
      <c r="AD84" s="104">
        <v>0</v>
      </c>
      <c r="AE84" s="104">
        <v>0</v>
      </c>
      <c r="AF84" s="104">
        <v>0</v>
      </c>
      <c r="AG84" s="104">
        <v>0</v>
      </c>
      <c r="AH84" s="104">
        <v>0</v>
      </c>
      <c r="AI84" s="104">
        <v>0</v>
      </c>
      <c r="AJ84" s="104">
        <v>0</v>
      </c>
      <c r="AK84" s="104">
        <v>0</v>
      </c>
      <c r="AL84" s="104">
        <v>0</v>
      </c>
      <c r="AM84" s="104">
        <v>0</v>
      </c>
      <c r="AN84" s="104">
        <v>0</v>
      </c>
      <c r="AO84" s="104">
        <v>0</v>
      </c>
      <c r="AP84" s="104">
        <v>0</v>
      </c>
      <c r="AQ84" s="104">
        <v>0</v>
      </c>
      <c r="AR84" s="104">
        <v>0</v>
      </c>
      <c r="AS84" s="104">
        <v>0</v>
      </c>
      <c r="AT84" s="104">
        <v>0</v>
      </c>
      <c r="AU84" s="104">
        <v>0</v>
      </c>
      <c r="AV84" s="104">
        <v>0</v>
      </c>
      <c r="AW84" s="104">
        <v>0</v>
      </c>
      <c r="AX84" s="104">
        <v>0</v>
      </c>
      <c r="AZ84" s="104">
        <f t="shared" si="4"/>
        <v>30529</v>
      </c>
      <c r="BA84" s="104">
        <f t="shared" si="5"/>
        <v>656</v>
      </c>
      <c r="BB84" s="96">
        <f t="shared" si="6"/>
        <v>0</v>
      </c>
      <c r="BC84" s="104">
        <f t="shared" si="7"/>
        <v>0</v>
      </c>
    </row>
    <row r="85" spans="1:55">
      <c r="A85" s="102" t="s">
        <v>128</v>
      </c>
      <c r="B85" s="24" t="s">
        <v>506</v>
      </c>
      <c r="C85" s="103" t="s">
        <v>127</v>
      </c>
      <c r="D85" s="104">
        <v>0</v>
      </c>
      <c r="E85" s="104">
        <v>51743</v>
      </c>
      <c r="F85" s="104">
        <v>783</v>
      </c>
      <c r="G85" s="104">
        <v>600</v>
      </c>
      <c r="H85" s="104">
        <v>0</v>
      </c>
      <c r="I85" s="104">
        <v>0</v>
      </c>
      <c r="J85" s="104">
        <v>0</v>
      </c>
      <c r="K85" s="104">
        <v>10335</v>
      </c>
      <c r="L85" s="104">
        <v>149</v>
      </c>
      <c r="M85" s="104">
        <v>0</v>
      </c>
      <c r="N85" s="104">
        <v>0</v>
      </c>
      <c r="O85" s="104">
        <v>0</v>
      </c>
      <c r="P85" s="104">
        <v>0</v>
      </c>
      <c r="Q85" s="104">
        <v>0</v>
      </c>
      <c r="R85" s="104">
        <v>0</v>
      </c>
      <c r="S85" s="104">
        <v>0</v>
      </c>
      <c r="T85" s="104">
        <v>0</v>
      </c>
      <c r="U85" s="104">
        <v>0</v>
      </c>
      <c r="V85" s="104">
        <v>0</v>
      </c>
      <c r="W85" s="104">
        <v>0</v>
      </c>
      <c r="X85" s="104">
        <v>0</v>
      </c>
      <c r="Y85" s="104">
        <v>0</v>
      </c>
      <c r="Z85" s="104">
        <v>0</v>
      </c>
      <c r="AA85" s="104">
        <v>0</v>
      </c>
      <c r="AB85" s="104">
        <v>0</v>
      </c>
      <c r="AC85" s="104">
        <v>0</v>
      </c>
      <c r="AD85" s="104">
        <v>0</v>
      </c>
      <c r="AE85" s="104">
        <v>0</v>
      </c>
      <c r="AF85" s="104">
        <v>0</v>
      </c>
      <c r="AG85" s="104">
        <v>0</v>
      </c>
      <c r="AH85" s="104">
        <v>0</v>
      </c>
      <c r="AI85" s="104">
        <v>0</v>
      </c>
      <c r="AJ85" s="104">
        <v>0</v>
      </c>
      <c r="AK85" s="104">
        <v>0</v>
      </c>
      <c r="AL85" s="104">
        <v>0</v>
      </c>
      <c r="AM85" s="104">
        <v>0</v>
      </c>
      <c r="AN85" s="104">
        <v>0</v>
      </c>
      <c r="AO85" s="104">
        <v>0</v>
      </c>
      <c r="AP85" s="104">
        <v>0</v>
      </c>
      <c r="AQ85" s="104">
        <v>0</v>
      </c>
      <c r="AR85" s="104">
        <v>0</v>
      </c>
      <c r="AS85" s="104">
        <v>7598</v>
      </c>
      <c r="AT85" s="104">
        <v>115</v>
      </c>
      <c r="AU85" s="104">
        <v>0</v>
      </c>
      <c r="AV85" s="104">
        <v>0</v>
      </c>
      <c r="AW85" s="104">
        <v>0</v>
      </c>
      <c r="AX85" s="104">
        <v>0</v>
      </c>
      <c r="AZ85" s="104">
        <f t="shared" si="4"/>
        <v>62078</v>
      </c>
      <c r="BA85" s="104">
        <f t="shared" si="5"/>
        <v>932</v>
      </c>
      <c r="BB85" s="96">
        <f t="shared" si="6"/>
        <v>0</v>
      </c>
      <c r="BC85" s="104">
        <f t="shared" si="7"/>
        <v>600</v>
      </c>
    </row>
    <row r="86" spans="1:55">
      <c r="A86" s="102" t="s">
        <v>129</v>
      </c>
      <c r="B86" s="24" t="s">
        <v>507</v>
      </c>
      <c r="C86" s="103" t="s">
        <v>127</v>
      </c>
      <c r="D86" s="104">
        <v>0</v>
      </c>
      <c r="E86" s="104">
        <v>7160</v>
      </c>
      <c r="F86" s="104">
        <v>159</v>
      </c>
      <c r="G86" s="104">
        <v>3</v>
      </c>
      <c r="H86" s="104">
        <v>0</v>
      </c>
      <c r="I86" s="104">
        <v>0</v>
      </c>
      <c r="J86" s="104">
        <v>0</v>
      </c>
      <c r="K86" s="104">
        <v>9054</v>
      </c>
      <c r="L86" s="104">
        <v>0</v>
      </c>
      <c r="M86" s="104">
        <v>0</v>
      </c>
      <c r="N86" s="104">
        <v>0</v>
      </c>
      <c r="O86" s="104">
        <v>0</v>
      </c>
      <c r="P86" s="104">
        <v>0</v>
      </c>
      <c r="Q86" s="104">
        <v>0</v>
      </c>
      <c r="R86" s="104">
        <v>0</v>
      </c>
      <c r="S86" s="104">
        <v>0</v>
      </c>
      <c r="T86" s="104">
        <v>0</v>
      </c>
      <c r="U86" s="104">
        <v>0</v>
      </c>
      <c r="V86" s="104">
        <v>0</v>
      </c>
      <c r="W86" s="104">
        <v>0</v>
      </c>
      <c r="X86" s="104">
        <v>7422</v>
      </c>
      <c r="Y86" s="104">
        <v>157</v>
      </c>
      <c r="Z86" s="104">
        <v>0</v>
      </c>
      <c r="AA86" s="104">
        <v>0</v>
      </c>
      <c r="AB86" s="104">
        <v>0</v>
      </c>
      <c r="AC86" s="104">
        <v>0</v>
      </c>
      <c r="AD86" s="104">
        <v>0</v>
      </c>
      <c r="AE86" s="104">
        <v>0</v>
      </c>
      <c r="AF86" s="104">
        <v>0</v>
      </c>
      <c r="AG86" s="104">
        <v>0</v>
      </c>
      <c r="AH86" s="104">
        <v>0</v>
      </c>
      <c r="AI86" s="104">
        <v>0</v>
      </c>
      <c r="AJ86" s="104">
        <v>0</v>
      </c>
      <c r="AK86" s="104">
        <v>0</v>
      </c>
      <c r="AL86" s="104">
        <v>0</v>
      </c>
      <c r="AM86" s="104">
        <v>0</v>
      </c>
      <c r="AN86" s="104">
        <v>0</v>
      </c>
      <c r="AO86" s="104">
        <v>0</v>
      </c>
      <c r="AP86" s="104">
        <v>0</v>
      </c>
      <c r="AQ86" s="104">
        <v>0</v>
      </c>
      <c r="AR86" s="104">
        <v>0</v>
      </c>
      <c r="AS86" s="104">
        <v>3353</v>
      </c>
      <c r="AT86" s="104">
        <v>94</v>
      </c>
      <c r="AU86" s="104">
        <v>0</v>
      </c>
      <c r="AV86" s="104">
        <v>0</v>
      </c>
      <c r="AW86" s="104">
        <v>0</v>
      </c>
      <c r="AX86" s="104">
        <v>0</v>
      </c>
      <c r="AZ86" s="104">
        <f t="shared" si="4"/>
        <v>23636</v>
      </c>
      <c r="BA86" s="104">
        <f t="shared" si="5"/>
        <v>316</v>
      </c>
      <c r="BB86" s="96">
        <f t="shared" si="6"/>
        <v>0</v>
      </c>
      <c r="BC86" s="104">
        <f t="shared" si="7"/>
        <v>3</v>
      </c>
    </row>
    <row r="87" spans="1:55">
      <c r="A87" s="102" t="s">
        <v>130</v>
      </c>
      <c r="B87" s="24" t="s">
        <v>508</v>
      </c>
      <c r="C87" s="103" t="s">
        <v>131</v>
      </c>
      <c r="D87" s="104">
        <v>0</v>
      </c>
      <c r="E87" s="104">
        <v>51130</v>
      </c>
      <c r="F87" s="104">
        <v>810</v>
      </c>
      <c r="G87" s="104">
        <v>0</v>
      </c>
      <c r="H87" s="104">
        <v>0</v>
      </c>
      <c r="I87" s="104">
        <v>0</v>
      </c>
      <c r="J87" s="104">
        <v>0</v>
      </c>
      <c r="K87" s="104">
        <v>13775</v>
      </c>
      <c r="L87" s="104">
        <v>217</v>
      </c>
      <c r="M87" s="104">
        <v>0</v>
      </c>
      <c r="N87" s="104">
        <v>0</v>
      </c>
      <c r="O87" s="104">
        <v>0</v>
      </c>
      <c r="P87" s="104">
        <v>0</v>
      </c>
      <c r="Q87" s="104">
        <v>0</v>
      </c>
      <c r="R87" s="104">
        <v>0</v>
      </c>
      <c r="S87" s="104">
        <v>0</v>
      </c>
      <c r="T87" s="104">
        <v>0</v>
      </c>
      <c r="U87" s="104">
        <v>0</v>
      </c>
      <c r="V87" s="104">
        <v>0</v>
      </c>
      <c r="W87" s="104">
        <v>0</v>
      </c>
      <c r="X87" s="104">
        <v>0</v>
      </c>
      <c r="Y87" s="104">
        <v>0</v>
      </c>
      <c r="Z87" s="104">
        <v>0</v>
      </c>
      <c r="AA87" s="104">
        <v>0</v>
      </c>
      <c r="AB87" s="104">
        <v>0</v>
      </c>
      <c r="AC87" s="104">
        <v>0</v>
      </c>
      <c r="AD87" s="104">
        <v>0</v>
      </c>
      <c r="AE87" s="104">
        <v>0</v>
      </c>
      <c r="AF87" s="104">
        <v>0</v>
      </c>
      <c r="AG87" s="104">
        <v>0</v>
      </c>
      <c r="AH87" s="104">
        <v>0</v>
      </c>
      <c r="AI87" s="104">
        <v>0</v>
      </c>
      <c r="AJ87" s="104">
        <v>0</v>
      </c>
      <c r="AK87" s="104">
        <v>0</v>
      </c>
      <c r="AL87" s="104">
        <v>0</v>
      </c>
      <c r="AM87" s="104">
        <v>0</v>
      </c>
      <c r="AN87" s="104">
        <v>0</v>
      </c>
      <c r="AO87" s="104">
        <v>0</v>
      </c>
      <c r="AP87" s="104">
        <v>0</v>
      </c>
      <c r="AQ87" s="104">
        <v>0</v>
      </c>
      <c r="AR87" s="104">
        <v>0</v>
      </c>
      <c r="AS87" s="104">
        <v>0</v>
      </c>
      <c r="AT87" s="104">
        <v>0</v>
      </c>
      <c r="AU87" s="104">
        <v>0</v>
      </c>
      <c r="AV87" s="104">
        <v>0</v>
      </c>
      <c r="AW87" s="104">
        <v>0</v>
      </c>
      <c r="AX87" s="104">
        <v>0</v>
      </c>
      <c r="AZ87" s="104">
        <f t="shared" si="4"/>
        <v>64905</v>
      </c>
      <c r="BA87" s="104">
        <f t="shared" si="5"/>
        <v>1027</v>
      </c>
      <c r="BB87" s="96">
        <f t="shared" si="6"/>
        <v>0</v>
      </c>
      <c r="BC87" s="104">
        <f t="shared" si="7"/>
        <v>0</v>
      </c>
    </row>
    <row r="88" spans="1:55">
      <c r="A88" s="102" t="s">
        <v>132</v>
      </c>
      <c r="B88" s="24" t="s">
        <v>509</v>
      </c>
      <c r="C88" s="103" t="s">
        <v>131</v>
      </c>
      <c r="D88" s="104">
        <v>2210</v>
      </c>
      <c r="E88" s="104">
        <v>127670</v>
      </c>
      <c r="F88" s="104">
        <v>1634</v>
      </c>
      <c r="G88" s="104">
        <v>0</v>
      </c>
      <c r="H88" s="104">
        <v>0</v>
      </c>
      <c r="I88" s="104">
        <v>0</v>
      </c>
      <c r="J88" s="104">
        <v>0</v>
      </c>
      <c r="K88" s="104">
        <v>21570</v>
      </c>
      <c r="L88" s="104">
        <v>274</v>
      </c>
      <c r="M88" s="104">
        <v>0</v>
      </c>
      <c r="N88" s="104">
        <v>0</v>
      </c>
      <c r="O88" s="104">
        <v>0</v>
      </c>
      <c r="P88" s="104">
        <v>0</v>
      </c>
      <c r="Q88" s="104">
        <v>0</v>
      </c>
      <c r="R88" s="104">
        <v>0</v>
      </c>
      <c r="S88" s="104">
        <v>0</v>
      </c>
      <c r="T88" s="104">
        <v>0</v>
      </c>
      <c r="U88" s="104">
        <v>0</v>
      </c>
      <c r="V88" s="104">
        <v>0</v>
      </c>
      <c r="W88" s="104">
        <v>0</v>
      </c>
      <c r="X88" s="104">
        <v>0</v>
      </c>
      <c r="Y88" s="104">
        <v>0</v>
      </c>
      <c r="Z88" s="104">
        <v>0</v>
      </c>
      <c r="AA88" s="104">
        <v>0</v>
      </c>
      <c r="AB88" s="104">
        <v>0</v>
      </c>
      <c r="AC88" s="104">
        <v>0</v>
      </c>
      <c r="AD88" s="104">
        <v>0</v>
      </c>
      <c r="AE88" s="104">
        <v>0</v>
      </c>
      <c r="AF88" s="104">
        <v>0</v>
      </c>
      <c r="AG88" s="104">
        <v>0</v>
      </c>
      <c r="AH88" s="104">
        <v>0</v>
      </c>
      <c r="AI88" s="104">
        <v>0</v>
      </c>
      <c r="AJ88" s="104">
        <v>0</v>
      </c>
      <c r="AK88" s="104">
        <v>0</v>
      </c>
      <c r="AL88" s="104">
        <v>0</v>
      </c>
      <c r="AM88" s="104">
        <v>0</v>
      </c>
      <c r="AN88" s="104">
        <v>0</v>
      </c>
      <c r="AO88" s="104">
        <v>0</v>
      </c>
      <c r="AP88" s="104">
        <v>0</v>
      </c>
      <c r="AQ88" s="104">
        <v>0</v>
      </c>
      <c r="AR88" s="104">
        <v>0</v>
      </c>
      <c r="AS88" s="104">
        <v>0</v>
      </c>
      <c r="AT88" s="104">
        <v>0</v>
      </c>
      <c r="AU88" s="104">
        <v>0</v>
      </c>
      <c r="AV88" s="104">
        <v>0</v>
      </c>
      <c r="AW88" s="104">
        <v>0</v>
      </c>
      <c r="AX88" s="104">
        <v>0</v>
      </c>
      <c r="AZ88" s="104">
        <f t="shared" si="4"/>
        <v>149240</v>
      </c>
      <c r="BA88" s="104">
        <f t="shared" si="5"/>
        <v>1908</v>
      </c>
      <c r="BB88" s="96">
        <f t="shared" si="6"/>
        <v>0</v>
      </c>
      <c r="BC88" s="104">
        <f t="shared" si="7"/>
        <v>2210</v>
      </c>
    </row>
    <row r="89" spans="1:55">
      <c r="A89" s="102" t="s">
        <v>133</v>
      </c>
      <c r="B89" s="24" t="s">
        <v>510</v>
      </c>
      <c r="C89" s="103" t="s">
        <v>134</v>
      </c>
      <c r="D89" s="104">
        <v>0</v>
      </c>
      <c r="E89" s="104">
        <v>48148</v>
      </c>
      <c r="F89" s="104">
        <v>2862</v>
      </c>
      <c r="G89" s="104">
        <v>0</v>
      </c>
      <c r="H89" s="104">
        <v>0</v>
      </c>
      <c r="I89" s="104">
        <v>0</v>
      </c>
      <c r="J89" s="104">
        <v>0</v>
      </c>
      <c r="K89" s="104">
        <v>12416</v>
      </c>
      <c r="L89" s="104">
        <v>0</v>
      </c>
      <c r="M89" s="104">
        <v>119</v>
      </c>
      <c r="N89" s="104">
        <v>0</v>
      </c>
      <c r="O89" s="104">
        <v>0</v>
      </c>
      <c r="P89" s="104">
        <v>0</v>
      </c>
      <c r="Q89" s="104">
        <v>0</v>
      </c>
      <c r="R89" s="104">
        <v>0</v>
      </c>
      <c r="S89" s="104">
        <v>0</v>
      </c>
      <c r="T89" s="104">
        <v>0</v>
      </c>
      <c r="U89" s="104">
        <v>0</v>
      </c>
      <c r="V89" s="104">
        <v>0</v>
      </c>
      <c r="W89" s="104">
        <v>0</v>
      </c>
      <c r="X89" s="104">
        <v>0</v>
      </c>
      <c r="Y89" s="104">
        <v>0</v>
      </c>
      <c r="Z89" s="104">
        <v>0</v>
      </c>
      <c r="AA89" s="104">
        <v>0</v>
      </c>
      <c r="AB89" s="104">
        <v>0</v>
      </c>
      <c r="AC89" s="104">
        <v>0</v>
      </c>
      <c r="AD89" s="104">
        <v>0</v>
      </c>
      <c r="AE89" s="104">
        <v>0</v>
      </c>
      <c r="AF89" s="104">
        <v>0</v>
      </c>
      <c r="AG89" s="104">
        <v>0</v>
      </c>
      <c r="AH89" s="104">
        <v>0</v>
      </c>
      <c r="AI89" s="104">
        <v>0</v>
      </c>
      <c r="AJ89" s="104">
        <v>0</v>
      </c>
      <c r="AK89" s="104">
        <v>0</v>
      </c>
      <c r="AL89" s="104">
        <v>0</v>
      </c>
      <c r="AM89" s="104">
        <v>0</v>
      </c>
      <c r="AN89" s="104">
        <v>0</v>
      </c>
      <c r="AO89" s="104">
        <v>0</v>
      </c>
      <c r="AP89" s="104">
        <v>0</v>
      </c>
      <c r="AQ89" s="104">
        <v>0</v>
      </c>
      <c r="AR89" s="104">
        <v>0</v>
      </c>
      <c r="AS89" s="104">
        <v>4484</v>
      </c>
      <c r="AT89" s="104">
        <v>0</v>
      </c>
      <c r="AU89" s="104">
        <v>0</v>
      </c>
      <c r="AV89" s="104">
        <v>0</v>
      </c>
      <c r="AW89" s="104">
        <v>0</v>
      </c>
      <c r="AX89" s="104">
        <v>0</v>
      </c>
      <c r="AZ89" s="104">
        <f t="shared" si="4"/>
        <v>60564</v>
      </c>
      <c r="BA89" s="104">
        <f t="shared" si="5"/>
        <v>2862</v>
      </c>
      <c r="BB89" s="96">
        <f t="shared" si="6"/>
        <v>119</v>
      </c>
      <c r="BC89" s="104">
        <f t="shared" si="7"/>
        <v>0</v>
      </c>
    </row>
    <row r="90" spans="1:55">
      <c r="A90" s="102" t="s">
        <v>135</v>
      </c>
      <c r="B90" s="24" t="s">
        <v>511</v>
      </c>
      <c r="C90" s="103" t="s">
        <v>134</v>
      </c>
      <c r="D90" s="104">
        <v>0</v>
      </c>
      <c r="E90" s="104">
        <v>12000</v>
      </c>
      <c r="F90" s="104">
        <v>94</v>
      </c>
      <c r="G90" s="104">
        <v>0</v>
      </c>
      <c r="H90" s="104">
        <v>0</v>
      </c>
      <c r="I90" s="104">
        <v>0</v>
      </c>
      <c r="J90" s="104">
        <v>0</v>
      </c>
      <c r="K90" s="104">
        <v>2945</v>
      </c>
      <c r="L90" s="104">
        <v>22</v>
      </c>
      <c r="M90" s="104">
        <v>0</v>
      </c>
      <c r="N90" s="104">
        <v>0</v>
      </c>
      <c r="O90" s="104">
        <v>0</v>
      </c>
      <c r="P90" s="104">
        <v>0</v>
      </c>
      <c r="Q90" s="104">
        <v>0</v>
      </c>
      <c r="R90" s="104">
        <v>0</v>
      </c>
      <c r="S90" s="104">
        <v>0</v>
      </c>
      <c r="T90" s="104">
        <v>0</v>
      </c>
      <c r="U90" s="104">
        <v>0</v>
      </c>
      <c r="V90" s="104">
        <v>0</v>
      </c>
      <c r="W90" s="104">
        <v>0</v>
      </c>
      <c r="X90" s="104">
        <v>0</v>
      </c>
      <c r="Y90" s="104">
        <v>0</v>
      </c>
      <c r="Z90" s="104">
        <v>0</v>
      </c>
      <c r="AA90" s="104">
        <v>0</v>
      </c>
      <c r="AB90" s="104">
        <v>0</v>
      </c>
      <c r="AC90" s="104">
        <v>0</v>
      </c>
      <c r="AD90" s="104">
        <v>0</v>
      </c>
      <c r="AE90" s="104">
        <v>0</v>
      </c>
      <c r="AF90" s="104">
        <v>0</v>
      </c>
      <c r="AG90" s="104">
        <v>0</v>
      </c>
      <c r="AH90" s="104">
        <v>0</v>
      </c>
      <c r="AI90" s="104">
        <v>0</v>
      </c>
      <c r="AJ90" s="104">
        <v>0</v>
      </c>
      <c r="AK90" s="104">
        <v>0</v>
      </c>
      <c r="AL90" s="104">
        <v>0</v>
      </c>
      <c r="AM90" s="104">
        <v>0</v>
      </c>
      <c r="AN90" s="104">
        <v>0</v>
      </c>
      <c r="AO90" s="104">
        <v>0</v>
      </c>
      <c r="AP90" s="104">
        <v>0</v>
      </c>
      <c r="AQ90" s="104">
        <v>0</v>
      </c>
      <c r="AR90" s="104">
        <v>0</v>
      </c>
      <c r="AS90" s="104">
        <v>29</v>
      </c>
      <c r="AT90" s="104">
        <v>0</v>
      </c>
      <c r="AU90" s="104">
        <v>0</v>
      </c>
      <c r="AV90" s="104">
        <v>0</v>
      </c>
      <c r="AW90" s="104">
        <v>0</v>
      </c>
      <c r="AX90" s="104">
        <v>0</v>
      </c>
      <c r="AZ90" s="104">
        <f t="shared" si="4"/>
        <v>14945</v>
      </c>
      <c r="BA90" s="104">
        <f t="shared" si="5"/>
        <v>116</v>
      </c>
      <c r="BB90" s="96">
        <f t="shared" si="6"/>
        <v>0</v>
      </c>
      <c r="BC90" s="104">
        <f t="shared" si="7"/>
        <v>0</v>
      </c>
    </row>
    <row r="91" spans="1:55">
      <c r="A91" s="102" t="s">
        <v>136</v>
      </c>
      <c r="B91" s="24" t="s">
        <v>512</v>
      </c>
      <c r="C91" s="103" t="s">
        <v>20</v>
      </c>
      <c r="D91" s="104">
        <v>0</v>
      </c>
      <c r="E91" s="104">
        <v>20402</v>
      </c>
      <c r="F91" s="104">
        <v>581</v>
      </c>
      <c r="G91" s="104">
        <v>0</v>
      </c>
      <c r="H91" s="104">
        <v>0</v>
      </c>
      <c r="I91" s="104">
        <v>0</v>
      </c>
      <c r="J91" s="104">
        <v>0</v>
      </c>
      <c r="K91" s="104">
        <v>5500</v>
      </c>
      <c r="L91" s="104">
        <v>159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Z91" s="104">
        <v>0</v>
      </c>
      <c r="AA91" s="104">
        <v>0</v>
      </c>
      <c r="AB91" s="104">
        <v>0</v>
      </c>
      <c r="AC91" s="104">
        <v>0</v>
      </c>
      <c r="AD91" s="104">
        <v>0</v>
      </c>
      <c r="AE91" s="104">
        <v>0</v>
      </c>
      <c r="AF91" s="104">
        <v>0</v>
      </c>
      <c r="AG91" s="104">
        <v>0</v>
      </c>
      <c r="AH91" s="104">
        <v>0</v>
      </c>
      <c r="AI91" s="104">
        <v>0</v>
      </c>
      <c r="AJ91" s="104">
        <v>0</v>
      </c>
      <c r="AK91" s="104">
        <v>0</v>
      </c>
      <c r="AL91" s="104">
        <v>0</v>
      </c>
      <c r="AM91" s="104">
        <v>0</v>
      </c>
      <c r="AN91" s="104">
        <v>0</v>
      </c>
      <c r="AO91" s="104">
        <v>0</v>
      </c>
      <c r="AP91" s="104">
        <v>0</v>
      </c>
      <c r="AQ91" s="104">
        <v>0</v>
      </c>
      <c r="AR91" s="104">
        <v>0</v>
      </c>
      <c r="AS91" s="104">
        <v>0</v>
      </c>
      <c r="AT91" s="104">
        <v>0</v>
      </c>
      <c r="AU91" s="104">
        <v>0</v>
      </c>
      <c r="AV91" s="104">
        <v>0</v>
      </c>
      <c r="AW91" s="104">
        <v>0</v>
      </c>
      <c r="AX91" s="104">
        <v>0</v>
      </c>
      <c r="AZ91" s="104">
        <f t="shared" si="4"/>
        <v>25902</v>
      </c>
      <c r="BA91" s="104">
        <f t="shared" si="5"/>
        <v>740</v>
      </c>
      <c r="BB91" s="96">
        <f t="shared" si="6"/>
        <v>0</v>
      </c>
      <c r="BC91" s="104">
        <f t="shared" si="7"/>
        <v>0</v>
      </c>
    </row>
    <row r="92" spans="1:55">
      <c r="A92" s="102" t="s">
        <v>137</v>
      </c>
      <c r="B92" s="24" t="s">
        <v>20</v>
      </c>
      <c r="C92" s="103" t="s">
        <v>20</v>
      </c>
      <c r="D92" s="104">
        <v>0</v>
      </c>
      <c r="E92" s="104">
        <v>20032</v>
      </c>
      <c r="F92" s="104">
        <v>3566</v>
      </c>
      <c r="G92" s="104">
        <v>0</v>
      </c>
      <c r="H92" s="104">
        <v>0</v>
      </c>
      <c r="I92" s="104">
        <v>0</v>
      </c>
      <c r="J92" s="104">
        <v>0</v>
      </c>
      <c r="K92" s="104">
        <v>2005</v>
      </c>
      <c r="L92" s="104">
        <v>57</v>
      </c>
      <c r="M92" s="104">
        <v>0</v>
      </c>
      <c r="N92" s="104">
        <v>0</v>
      </c>
      <c r="O92" s="104">
        <v>0</v>
      </c>
      <c r="P92" s="104">
        <v>0</v>
      </c>
      <c r="Q92" s="104">
        <v>0</v>
      </c>
      <c r="R92" s="104">
        <v>0</v>
      </c>
      <c r="S92" s="104">
        <v>0</v>
      </c>
      <c r="T92" s="104">
        <v>0</v>
      </c>
      <c r="U92" s="104">
        <v>0</v>
      </c>
      <c r="V92" s="104">
        <v>0</v>
      </c>
      <c r="W92" s="104">
        <v>0</v>
      </c>
      <c r="X92" s="104">
        <v>0</v>
      </c>
      <c r="Y92" s="104">
        <v>0</v>
      </c>
      <c r="Z92" s="104">
        <v>0</v>
      </c>
      <c r="AA92" s="104">
        <v>0</v>
      </c>
      <c r="AB92" s="104">
        <v>0</v>
      </c>
      <c r="AC92" s="104">
        <v>0</v>
      </c>
      <c r="AD92" s="104">
        <v>0</v>
      </c>
      <c r="AE92" s="104">
        <v>0</v>
      </c>
      <c r="AF92" s="104">
        <v>0</v>
      </c>
      <c r="AG92" s="104">
        <v>0</v>
      </c>
      <c r="AH92" s="104">
        <v>0</v>
      </c>
      <c r="AI92" s="104">
        <v>0</v>
      </c>
      <c r="AJ92" s="104">
        <v>0</v>
      </c>
      <c r="AK92" s="104">
        <v>0</v>
      </c>
      <c r="AL92" s="104">
        <v>0</v>
      </c>
      <c r="AM92" s="104">
        <v>0</v>
      </c>
      <c r="AN92" s="104">
        <v>0</v>
      </c>
      <c r="AO92" s="104">
        <v>0</v>
      </c>
      <c r="AP92" s="104">
        <v>0</v>
      </c>
      <c r="AQ92" s="104">
        <v>0</v>
      </c>
      <c r="AR92" s="104">
        <v>0</v>
      </c>
      <c r="AS92" s="104">
        <v>0</v>
      </c>
      <c r="AT92" s="104">
        <v>0</v>
      </c>
      <c r="AU92" s="104">
        <v>0</v>
      </c>
      <c r="AV92" s="104">
        <v>0</v>
      </c>
      <c r="AW92" s="104">
        <v>0</v>
      </c>
      <c r="AX92" s="104">
        <v>0</v>
      </c>
      <c r="AZ92" s="104">
        <f t="shared" si="4"/>
        <v>22037</v>
      </c>
      <c r="BA92" s="104">
        <f t="shared" si="5"/>
        <v>3623</v>
      </c>
      <c r="BB92" s="96">
        <f t="shared" si="6"/>
        <v>0</v>
      </c>
      <c r="BC92" s="104">
        <f t="shared" si="7"/>
        <v>0</v>
      </c>
    </row>
    <row r="93" spans="1:55">
      <c r="A93" s="102" t="s">
        <v>138</v>
      </c>
      <c r="B93" s="24" t="s">
        <v>513</v>
      </c>
      <c r="C93" s="103" t="s">
        <v>139</v>
      </c>
      <c r="D93" s="104">
        <v>0</v>
      </c>
      <c r="E93" s="104">
        <v>22816</v>
      </c>
      <c r="F93" s="104">
        <v>521</v>
      </c>
      <c r="G93" s="104">
        <v>0</v>
      </c>
      <c r="H93" s="104">
        <v>0</v>
      </c>
      <c r="I93" s="104">
        <v>0</v>
      </c>
      <c r="J93" s="104">
        <v>0</v>
      </c>
      <c r="K93" s="104">
        <v>9680</v>
      </c>
      <c r="L93" s="104">
        <v>223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Z93" s="104">
        <v>0</v>
      </c>
      <c r="AA93" s="104">
        <v>0</v>
      </c>
      <c r="AB93" s="104">
        <v>0</v>
      </c>
      <c r="AC93" s="104">
        <v>0</v>
      </c>
      <c r="AD93" s="104">
        <v>0</v>
      </c>
      <c r="AE93" s="104">
        <v>0</v>
      </c>
      <c r="AF93" s="104">
        <v>0</v>
      </c>
      <c r="AG93" s="104">
        <v>0</v>
      </c>
      <c r="AH93" s="104">
        <v>0</v>
      </c>
      <c r="AI93" s="104">
        <v>0</v>
      </c>
      <c r="AJ93" s="104">
        <v>0</v>
      </c>
      <c r="AK93" s="104">
        <v>0</v>
      </c>
      <c r="AL93" s="104">
        <v>0</v>
      </c>
      <c r="AM93" s="104">
        <v>0</v>
      </c>
      <c r="AN93" s="104">
        <v>0</v>
      </c>
      <c r="AO93" s="104">
        <v>0</v>
      </c>
      <c r="AP93" s="104">
        <v>0</v>
      </c>
      <c r="AQ93" s="104">
        <v>0</v>
      </c>
      <c r="AR93" s="104">
        <v>0</v>
      </c>
      <c r="AS93" s="104">
        <v>0</v>
      </c>
      <c r="AT93" s="104">
        <v>0</v>
      </c>
      <c r="AU93" s="104">
        <v>0</v>
      </c>
      <c r="AV93" s="104">
        <v>0</v>
      </c>
      <c r="AW93" s="104">
        <v>0</v>
      </c>
      <c r="AX93" s="104">
        <v>0</v>
      </c>
      <c r="AZ93" s="104">
        <f t="shared" si="4"/>
        <v>32496</v>
      </c>
      <c r="BA93" s="104">
        <f t="shared" si="5"/>
        <v>744</v>
      </c>
      <c r="BB93" s="96">
        <f t="shared" si="6"/>
        <v>0</v>
      </c>
      <c r="BC93" s="104">
        <f t="shared" si="7"/>
        <v>0</v>
      </c>
    </row>
    <row r="94" spans="1:55">
      <c r="A94" s="102" t="s">
        <v>140</v>
      </c>
      <c r="B94" s="24" t="s">
        <v>514</v>
      </c>
      <c r="C94" s="103" t="s">
        <v>141</v>
      </c>
      <c r="D94" s="104">
        <v>484</v>
      </c>
      <c r="E94" s="104">
        <v>23159</v>
      </c>
      <c r="F94" s="104">
        <v>429</v>
      </c>
      <c r="G94" s="104">
        <v>182</v>
      </c>
      <c r="H94" s="104">
        <v>0</v>
      </c>
      <c r="I94" s="104">
        <v>0</v>
      </c>
      <c r="J94" s="104">
        <v>0</v>
      </c>
      <c r="K94" s="104">
        <v>12463</v>
      </c>
      <c r="L94" s="104">
        <v>231</v>
      </c>
      <c r="M94" s="104">
        <v>0</v>
      </c>
      <c r="N94" s="104">
        <v>97</v>
      </c>
      <c r="O94" s="104">
        <v>0</v>
      </c>
      <c r="P94" s="104">
        <v>0</v>
      </c>
      <c r="Q94" s="104">
        <v>0</v>
      </c>
      <c r="R94" s="104">
        <v>0</v>
      </c>
      <c r="S94" s="104">
        <v>0</v>
      </c>
      <c r="T94" s="104">
        <v>0</v>
      </c>
      <c r="U94" s="104">
        <v>0</v>
      </c>
      <c r="V94" s="104">
        <v>0</v>
      </c>
      <c r="W94" s="104">
        <v>0</v>
      </c>
      <c r="X94" s="104">
        <v>0</v>
      </c>
      <c r="Y94" s="104">
        <v>0</v>
      </c>
      <c r="Z94" s="104">
        <v>0</v>
      </c>
      <c r="AA94" s="104">
        <v>0</v>
      </c>
      <c r="AB94" s="104">
        <v>0</v>
      </c>
      <c r="AC94" s="104">
        <v>0</v>
      </c>
      <c r="AD94" s="104">
        <v>0</v>
      </c>
      <c r="AE94" s="104">
        <v>0</v>
      </c>
      <c r="AF94" s="104">
        <v>0</v>
      </c>
      <c r="AG94" s="104">
        <v>0</v>
      </c>
      <c r="AH94" s="104">
        <v>0</v>
      </c>
      <c r="AI94" s="104">
        <v>0</v>
      </c>
      <c r="AJ94" s="104">
        <v>0</v>
      </c>
      <c r="AK94" s="104">
        <v>0</v>
      </c>
      <c r="AL94" s="104">
        <v>0</v>
      </c>
      <c r="AM94" s="104">
        <v>0</v>
      </c>
      <c r="AN94" s="104">
        <v>0</v>
      </c>
      <c r="AO94" s="104">
        <v>0</v>
      </c>
      <c r="AP94" s="104">
        <v>0</v>
      </c>
      <c r="AQ94" s="104">
        <v>0</v>
      </c>
      <c r="AR94" s="104">
        <v>0</v>
      </c>
      <c r="AS94" s="104">
        <v>0</v>
      </c>
      <c r="AT94" s="104">
        <v>0</v>
      </c>
      <c r="AU94" s="104">
        <v>0</v>
      </c>
      <c r="AV94" s="104">
        <v>0</v>
      </c>
      <c r="AW94" s="104">
        <v>0</v>
      </c>
      <c r="AX94" s="104">
        <v>0</v>
      </c>
      <c r="AZ94" s="104">
        <f t="shared" si="4"/>
        <v>35622</v>
      </c>
      <c r="BA94" s="104">
        <f t="shared" si="5"/>
        <v>660</v>
      </c>
      <c r="BB94" s="96">
        <f t="shared" si="6"/>
        <v>0</v>
      </c>
      <c r="BC94" s="104">
        <f t="shared" si="7"/>
        <v>763</v>
      </c>
    </row>
    <row r="95" spans="1:55">
      <c r="A95" s="102" t="s">
        <v>142</v>
      </c>
      <c r="B95" s="24" t="s">
        <v>515</v>
      </c>
      <c r="C95" s="103" t="s">
        <v>141</v>
      </c>
      <c r="D95" s="104">
        <v>0</v>
      </c>
      <c r="E95" s="104">
        <v>634</v>
      </c>
      <c r="F95" s="104">
        <v>13</v>
      </c>
      <c r="G95" s="104">
        <v>0</v>
      </c>
      <c r="H95" s="104">
        <v>0</v>
      </c>
      <c r="I95" s="104">
        <v>0</v>
      </c>
      <c r="J95" s="104">
        <v>0</v>
      </c>
      <c r="K95" s="104">
        <v>2468</v>
      </c>
      <c r="L95" s="104">
        <v>48</v>
      </c>
      <c r="M95" s="104">
        <v>58</v>
      </c>
      <c r="N95" s="104">
        <v>0</v>
      </c>
      <c r="O95" s="104">
        <v>0</v>
      </c>
      <c r="P95" s="104">
        <v>0</v>
      </c>
      <c r="Q95" s="104">
        <v>0</v>
      </c>
      <c r="R95" s="104">
        <v>0</v>
      </c>
      <c r="S95" s="104">
        <v>0</v>
      </c>
      <c r="T95" s="104">
        <v>0</v>
      </c>
      <c r="U95" s="104">
        <v>0</v>
      </c>
      <c r="V95" s="104">
        <v>0</v>
      </c>
      <c r="W95" s="104">
        <v>0</v>
      </c>
      <c r="X95" s="104">
        <v>12851</v>
      </c>
      <c r="Y95" s="104">
        <v>257</v>
      </c>
      <c r="Z95" s="104">
        <v>0</v>
      </c>
      <c r="AA95" s="104">
        <v>0</v>
      </c>
      <c r="AB95" s="104">
        <v>0</v>
      </c>
      <c r="AC95" s="104">
        <v>0</v>
      </c>
      <c r="AD95" s="104">
        <v>0</v>
      </c>
      <c r="AE95" s="104">
        <v>0</v>
      </c>
      <c r="AF95" s="104">
        <v>0</v>
      </c>
      <c r="AG95" s="104">
        <v>0</v>
      </c>
      <c r="AH95" s="104">
        <v>0</v>
      </c>
      <c r="AI95" s="104">
        <v>0</v>
      </c>
      <c r="AJ95" s="104">
        <v>0</v>
      </c>
      <c r="AK95" s="104">
        <v>0</v>
      </c>
      <c r="AL95" s="104">
        <v>0</v>
      </c>
      <c r="AM95" s="104">
        <v>0</v>
      </c>
      <c r="AN95" s="104">
        <v>0</v>
      </c>
      <c r="AO95" s="104">
        <v>0</v>
      </c>
      <c r="AP95" s="104">
        <v>0</v>
      </c>
      <c r="AQ95" s="104">
        <v>0</v>
      </c>
      <c r="AR95" s="104">
        <v>0</v>
      </c>
      <c r="AS95" s="104">
        <v>0</v>
      </c>
      <c r="AT95" s="104">
        <v>0</v>
      </c>
      <c r="AU95" s="104">
        <v>0</v>
      </c>
      <c r="AV95" s="104">
        <v>0</v>
      </c>
      <c r="AW95" s="104">
        <v>0</v>
      </c>
      <c r="AX95" s="104">
        <v>0</v>
      </c>
      <c r="AZ95" s="104">
        <f t="shared" si="4"/>
        <v>15953</v>
      </c>
      <c r="BA95" s="104">
        <f t="shared" si="5"/>
        <v>318</v>
      </c>
      <c r="BB95" s="96">
        <f t="shared" si="6"/>
        <v>58</v>
      </c>
      <c r="BC95" s="104">
        <f t="shared" si="7"/>
        <v>0</v>
      </c>
    </row>
    <row r="96" spans="1:55">
      <c r="A96" s="102" t="s">
        <v>143</v>
      </c>
      <c r="B96" s="24" t="s">
        <v>516</v>
      </c>
      <c r="C96" s="103" t="s">
        <v>144</v>
      </c>
      <c r="D96" s="104">
        <v>0</v>
      </c>
      <c r="E96" s="104">
        <v>37341</v>
      </c>
      <c r="F96" s="104">
        <v>587</v>
      </c>
      <c r="G96" s="104">
        <v>0</v>
      </c>
      <c r="H96" s="104">
        <v>0</v>
      </c>
      <c r="I96" s="104">
        <v>0</v>
      </c>
      <c r="J96" s="104">
        <v>0</v>
      </c>
      <c r="K96" s="104">
        <v>13596</v>
      </c>
      <c r="L96" s="104">
        <v>0</v>
      </c>
      <c r="M96" s="104">
        <v>0</v>
      </c>
      <c r="N96" s="104">
        <v>0</v>
      </c>
      <c r="O96" s="104">
        <v>0</v>
      </c>
      <c r="P96" s="104">
        <v>0</v>
      </c>
      <c r="Q96" s="104">
        <v>0</v>
      </c>
      <c r="R96" s="104">
        <v>0</v>
      </c>
      <c r="S96" s="104">
        <v>0</v>
      </c>
      <c r="T96" s="104">
        <v>0</v>
      </c>
      <c r="U96" s="104">
        <v>0</v>
      </c>
      <c r="V96" s="104">
        <v>0</v>
      </c>
      <c r="W96" s="104">
        <v>0</v>
      </c>
      <c r="X96" s="104">
        <v>18772</v>
      </c>
      <c r="Y96" s="104">
        <v>0</v>
      </c>
      <c r="Z96" s="104">
        <v>0</v>
      </c>
      <c r="AA96" s="104">
        <v>0</v>
      </c>
      <c r="AB96" s="104">
        <v>0</v>
      </c>
      <c r="AC96" s="104">
        <v>0</v>
      </c>
      <c r="AD96" s="104">
        <v>0</v>
      </c>
      <c r="AE96" s="104">
        <v>0</v>
      </c>
      <c r="AF96" s="104">
        <v>0</v>
      </c>
      <c r="AG96" s="104">
        <v>0</v>
      </c>
      <c r="AH96" s="104">
        <v>0</v>
      </c>
      <c r="AI96" s="104">
        <v>0</v>
      </c>
      <c r="AJ96" s="104">
        <v>0</v>
      </c>
      <c r="AK96" s="104">
        <v>0</v>
      </c>
      <c r="AL96" s="104">
        <v>0</v>
      </c>
      <c r="AM96" s="104">
        <v>0</v>
      </c>
      <c r="AN96" s="104">
        <v>0</v>
      </c>
      <c r="AO96" s="104">
        <v>0</v>
      </c>
      <c r="AP96" s="104">
        <v>0</v>
      </c>
      <c r="AQ96" s="104">
        <v>0</v>
      </c>
      <c r="AR96" s="104">
        <v>0</v>
      </c>
      <c r="AS96" s="104">
        <v>3392</v>
      </c>
      <c r="AT96" s="104">
        <v>0</v>
      </c>
      <c r="AU96" s="104">
        <v>0</v>
      </c>
      <c r="AV96" s="104">
        <v>0</v>
      </c>
      <c r="AW96" s="104">
        <v>0</v>
      </c>
      <c r="AX96" s="104">
        <v>0</v>
      </c>
      <c r="AZ96" s="104">
        <f t="shared" si="4"/>
        <v>69709</v>
      </c>
      <c r="BA96" s="104">
        <f t="shared" si="5"/>
        <v>587</v>
      </c>
      <c r="BB96" s="96">
        <f t="shared" si="6"/>
        <v>0</v>
      </c>
      <c r="BC96" s="104">
        <f t="shared" si="7"/>
        <v>0</v>
      </c>
    </row>
    <row r="97" spans="1:55">
      <c r="A97" s="102" t="s">
        <v>145</v>
      </c>
      <c r="B97" s="24" t="s">
        <v>517</v>
      </c>
      <c r="C97" s="103" t="s">
        <v>146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2715</v>
      </c>
      <c r="L97" s="104">
        <v>679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Z97" s="104">
        <v>0</v>
      </c>
      <c r="AA97" s="104">
        <v>0</v>
      </c>
      <c r="AB97" s="104">
        <v>0</v>
      </c>
      <c r="AC97" s="104">
        <v>0</v>
      </c>
      <c r="AD97" s="104">
        <v>0</v>
      </c>
      <c r="AE97" s="104">
        <v>0</v>
      </c>
      <c r="AF97" s="104">
        <v>0</v>
      </c>
      <c r="AG97" s="104">
        <v>0</v>
      </c>
      <c r="AH97" s="104">
        <v>0</v>
      </c>
      <c r="AI97" s="104">
        <v>0</v>
      </c>
      <c r="AJ97" s="104">
        <v>0</v>
      </c>
      <c r="AK97" s="104">
        <v>0</v>
      </c>
      <c r="AL97" s="104">
        <v>0</v>
      </c>
      <c r="AM97" s="104">
        <v>0</v>
      </c>
      <c r="AN97" s="104">
        <v>0</v>
      </c>
      <c r="AO97" s="104">
        <v>0</v>
      </c>
      <c r="AP97" s="104">
        <v>0</v>
      </c>
      <c r="AQ97" s="104">
        <v>0</v>
      </c>
      <c r="AR97" s="104">
        <v>0</v>
      </c>
      <c r="AS97" s="104">
        <v>920</v>
      </c>
      <c r="AT97" s="104">
        <v>175</v>
      </c>
      <c r="AU97" s="104">
        <v>0</v>
      </c>
      <c r="AV97" s="104">
        <v>0</v>
      </c>
      <c r="AW97" s="104">
        <v>0</v>
      </c>
      <c r="AX97" s="104">
        <v>0</v>
      </c>
      <c r="AZ97" s="104">
        <f t="shared" si="4"/>
        <v>2715</v>
      </c>
      <c r="BA97" s="104">
        <f t="shared" si="5"/>
        <v>679</v>
      </c>
      <c r="BB97" s="96">
        <f t="shared" si="6"/>
        <v>0</v>
      </c>
      <c r="BC97" s="104">
        <f t="shared" si="7"/>
        <v>0</v>
      </c>
    </row>
    <row r="98" spans="1:55">
      <c r="A98" s="102" t="s">
        <v>147</v>
      </c>
      <c r="B98" s="24" t="s">
        <v>146</v>
      </c>
      <c r="C98" s="103" t="s">
        <v>146</v>
      </c>
      <c r="D98" s="104">
        <v>0</v>
      </c>
      <c r="E98" s="104">
        <v>19897</v>
      </c>
      <c r="F98" s="104">
        <v>440</v>
      </c>
      <c r="G98" s="104">
        <v>0</v>
      </c>
      <c r="H98" s="104">
        <v>0</v>
      </c>
      <c r="I98" s="104">
        <v>0</v>
      </c>
      <c r="J98" s="104">
        <v>0</v>
      </c>
      <c r="K98" s="104">
        <v>10723</v>
      </c>
      <c r="L98" s="104">
        <v>236</v>
      </c>
      <c r="M98" s="104">
        <v>0</v>
      </c>
      <c r="N98" s="104">
        <v>0</v>
      </c>
      <c r="O98" s="104">
        <v>0</v>
      </c>
      <c r="P98" s="104">
        <v>0</v>
      </c>
      <c r="Q98" s="104">
        <v>0</v>
      </c>
      <c r="R98" s="104">
        <v>0</v>
      </c>
      <c r="S98" s="104">
        <v>0</v>
      </c>
      <c r="T98" s="104">
        <v>0</v>
      </c>
      <c r="U98" s="104">
        <v>0</v>
      </c>
      <c r="V98" s="104">
        <v>0</v>
      </c>
      <c r="W98" s="104">
        <v>0</v>
      </c>
      <c r="X98" s="104">
        <v>0</v>
      </c>
      <c r="Y98" s="104">
        <v>0</v>
      </c>
      <c r="Z98" s="104">
        <v>0</v>
      </c>
      <c r="AA98" s="104">
        <v>0</v>
      </c>
      <c r="AB98" s="104">
        <v>0</v>
      </c>
      <c r="AC98" s="104">
        <v>0</v>
      </c>
      <c r="AD98" s="104">
        <v>0</v>
      </c>
      <c r="AE98" s="104">
        <v>0</v>
      </c>
      <c r="AF98" s="104">
        <v>0</v>
      </c>
      <c r="AG98" s="104">
        <v>0</v>
      </c>
      <c r="AH98" s="104">
        <v>0</v>
      </c>
      <c r="AI98" s="104">
        <v>0</v>
      </c>
      <c r="AJ98" s="104">
        <v>0</v>
      </c>
      <c r="AK98" s="104">
        <v>0</v>
      </c>
      <c r="AL98" s="104">
        <v>0</v>
      </c>
      <c r="AM98" s="104">
        <v>0</v>
      </c>
      <c r="AN98" s="104">
        <v>0</v>
      </c>
      <c r="AO98" s="104">
        <v>0</v>
      </c>
      <c r="AP98" s="104">
        <v>0</v>
      </c>
      <c r="AQ98" s="104">
        <v>0</v>
      </c>
      <c r="AR98" s="104">
        <v>0</v>
      </c>
      <c r="AS98" s="104">
        <v>2681</v>
      </c>
      <c r="AT98" s="104">
        <v>59</v>
      </c>
      <c r="AU98" s="104">
        <v>0</v>
      </c>
      <c r="AV98" s="104">
        <v>0</v>
      </c>
      <c r="AW98" s="104">
        <v>0</v>
      </c>
      <c r="AX98" s="104">
        <v>0</v>
      </c>
      <c r="AZ98" s="104">
        <f t="shared" si="4"/>
        <v>30620</v>
      </c>
      <c r="BA98" s="104">
        <f t="shared" si="5"/>
        <v>676</v>
      </c>
      <c r="BB98" s="96">
        <f t="shared" si="6"/>
        <v>0</v>
      </c>
      <c r="BC98" s="104">
        <f t="shared" si="7"/>
        <v>0</v>
      </c>
    </row>
    <row r="99" spans="1:55">
      <c r="A99" s="102" t="s">
        <v>148</v>
      </c>
      <c r="B99" s="24" t="s">
        <v>518</v>
      </c>
      <c r="C99" s="103" t="s">
        <v>149</v>
      </c>
      <c r="D99" s="104">
        <v>0</v>
      </c>
      <c r="E99" s="104">
        <v>108976</v>
      </c>
      <c r="F99" s="104">
        <v>2854</v>
      </c>
      <c r="G99" s="104">
        <v>0</v>
      </c>
      <c r="H99" s="104">
        <v>0</v>
      </c>
      <c r="I99" s="104">
        <v>0</v>
      </c>
      <c r="J99" s="104">
        <v>0</v>
      </c>
      <c r="K99" s="104">
        <v>0</v>
      </c>
      <c r="L99" s="104">
        <v>0</v>
      </c>
      <c r="M99" s="104">
        <v>0</v>
      </c>
      <c r="N99" s="104">
        <v>0</v>
      </c>
      <c r="O99" s="104">
        <v>0</v>
      </c>
      <c r="P99" s="104">
        <v>0</v>
      </c>
      <c r="Q99" s="104">
        <v>0</v>
      </c>
      <c r="R99" s="104">
        <v>0</v>
      </c>
      <c r="S99" s="104">
        <v>0</v>
      </c>
      <c r="T99" s="104">
        <v>0</v>
      </c>
      <c r="U99" s="104">
        <v>0</v>
      </c>
      <c r="V99" s="104">
        <v>0</v>
      </c>
      <c r="W99" s="104">
        <v>0</v>
      </c>
      <c r="X99" s="104">
        <v>0</v>
      </c>
      <c r="Y99" s="104">
        <v>0</v>
      </c>
      <c r="Z99" s="104">
        <v>0</v>
      </c>
      <c r="AA99" s="104">
        <v>0</v>
      </c>
      <c r="AB99" s="104">
        <v>0</v>
      </c>
      <c r="AC99" s="104">
        <v>0</v>
      </c>
      <c r="AD99" s="104">
        <v>0</v>
      </c>
      <c r="AE99" s="104">
        <v>0</v>
      </c>
      <c r="AF99" s="104">
        <v>0</v>
      </c>
      <c r="AG99" s="104">
        <v>0</v>
      </c>
      <c r="AH99" s="104">
        <v>0</v>
      </c>
      <c r="AI99" s="104">
        <v>0</v>
      </c>
      <c r="AJ99" s="104">
        <v>0</v>
      </c>
      <c r="AK99" s="104">
        <v>0</v>
      </c>
      <c r="AL99" s="104">
        <v>0</v>
      </c>
      <c r="AM99" s="104">
        <v>0</v>
      </c>
      <c r="AN99" s="104">
        <v>0</v>
      </c>
      <c r="AO99" s="104">
        <v>0</v>
      </c>
      <c r="AP99" s="104">
        <v>0</v>
      </c>
      <c r="AQ99" s="104">
        <v>0</v>
      </c>
      <c r="AR99" s="104">
        <v>0</v>
      </c>
      <c r="AS99" s="104">
        <v>6205</v>
      </c>
      <c r="AT99" s="104">
        <v>163</v>
      </c>
      <c r="AU99" s="104">
        <v>0</v>
      </c>
      <c r="AV99" s="104">
        <v>0</v>
      </c>
      <c r="AW99" s="104">
        <v>0</v>
      </c>
      <c r="AX99" s="104">
        <v>0</v>
      </c>
      <c r="AZ99" s="104">
        <f t="shared" si="4"/>
        <v>108976</v>
      </c>
      <c r="BA99" s="104">
        <f t="shared" si="5"/>
        <v>2854</v>
      </c>
      <c r="BB99" s="96">
        <f t="shared" si="6"/>
        <v>0</v>
      </c>
      <c r="BC99" s="104">
        <f t="shared" si="7"/>
        <v>0</v>
      </c>
    </row>
    <row r="100" spans="1:55">
      <c r="A100" s="102" t="s">
        <v>150</v>
      </c>
      <c r="B100" s="24" t="s">
        <v>519</v>
      </c>
      <c r="C100" s="103" t="s">
        <v>149</v>
      </c>
      <c r="D100" s="104">
        <v>0</v>
      </c>
      <c r="E100" s="104">
        <v>0</v>
      </c>
      <c r="F100" s="104">
        <v>0</v>
      </c>
      <c r="G100" s="104">
        <v>0</v>
      </c>
      <c r="H100" s="104">
        <v>0</v>
      </c>
      <c r="I100" s="104">
        <v>0</v>
      </c>
      <c r="J100" s="104">
        <v>0</v>
      </c>
      <c r="K100" s="104">
        <v>22710</v>
      </c>
      <c r="L100" s="104">
        <v>0</v>
      </c>
      <c r="M100" s="104">
        <v>0</v>
      </c>
      <c r="N100" s="104">
        <v>0</v>
      </c>
      <c r="O100" s="104">
        <v>0</v>
      </c>
      <c r="P100" s="104">
        <v>0</v>
      </c>
      <c r="Q100" s="104">
        <v>0</v>
      </c>
      <c r="R100" s="104">
        <v>0</v>
      </c>
      <c r="S100" s="104">
        <v>0</v>
      </c>
      <c r="T100" s="104">
        <v>0</v>
      </c>
      <c r="U100" s="104">
        <v>0</v>
      </c>
      <c r="V100" s="104">
        <v>0</v>
      </c>
      <c r="W100" s="104">
        <v>0</v>
      </c>
      <c r="X100" s="104">
        <v>12151</v>
      </c>
      <c r="Y100" s="104">
        <v>245</v>
      </c>
      <c r="Z100" s="104">
        <v>0</v>
      </c>
      <c r="AA100" s="104">
        <v>0</v>
      </c>
      <c r="AB100" s="104">
        <v>0</v>
      </c>
      <c r="AC100" s="104">
        <v>0</v>
      </c>
      <c r="AD100" s="104">
        <v>0</v>
      </c>
      <c r="AE100" s="104">
        <v>0</v>
      </c>
      <c r="AF100" s="104">
        <v>0</v>
      </c>
      <c r="AG100" s="104">
        <v>0</v>
      </c>
      <c r="AH100" s="104">
        <v>0</v>
      </c>
      <c r="AI100" s="104">
        <v>0</v>
      </c>
      <c r="AJ100" s="104">
        <v>0</v>
      </c>
      <c r="AK100" s="104">
        <v>0</v>
      </c>
      <c r="AL100" s="104">
        <v>0</v>
      </c>
      <c r="AM100" s="104">
        <v>0</v>
      </c>
      <c r="AN100" s="104">
        <v>0</v>
      </c>
      <c r="AO100" s="104">
        <v>0</v>
      </c>
      <c r="AP100" s="104">
        <v>0</v>
      </c>
      <c r="AQ100" s="104">
        <v>0</v>
      </c>
      <c r="AR100" s="104">
        <v>0</v>
      </c>
      <c r="AS100" s="104">
        <v>0</v>
      </c>
      <c r="AT100" s="104">
        <v>0</v>
      </c>
      <c r="AU100" s="104">
        <v>0</v>
      </c>
      <c r="AV100" s="104">
        <v>0</v>
      </c>
      <c r="AW100" s="104">
        <v>0</v>
      </c>
      <c r="AX100" s="104">
        <v>0</v>
      </c>
      <c r="AZ100" s="104">
        <f t="shared" si="4"/>
        <v>34861</v>
      </c>
      <c r="BA100" s="104">
        <f t="shared" si="5"/>
        <v>245</v>
      </c>
      <c r="BB100" s="96">
        <f t="shared" si="6"/>
        <v>0</v>
      </c>
      <c r="BC100" s="104">
        <f t="shared" si="7"/>
        <v>0</v>
      </c>
    </row>
    <row r="101" spans="1:55">
      <c r="A101" s="102" t="s">
        <v>151</v>
      </c>
      <c r="B101" s="24" t="s">
        <v>520</v>
      </c>
      <c r="C101" s="103" t="s">
        <v>149</v>
      </c>
      <c r="D101" s="104">
        <v>0</v>
      </c>
      <c r="E101" s="104">
        <v>103993</v>
      </c>
      <c r="F101" s="104">
        <v>2489</v>
      </c>
      <c r="G101" s="104">
        <v>0</v>
      </c>
      <c r="H101" s="104">
        <v>0</v>
      </c>
      <c r="I101" s="104">
        <v>0</v>
      </c>
      <c r="J101" s="104">
        <v>0</v>
      </c>
      <c r="K101" s="104">
        <v>14179</v>
      </c>
      <c r="L101" s="104">
        <v>315</v>
      </c>
      <c r="M101" s="104">
        <v>0</v>
      </c>
      <c r="N101" s="104">
        <v>0</v>
      </c>
      <c r="O101" s="104">
        <v>0</v>
      </c>
      <c r="P101" s="104">
        <v>0</v>
      </c>
      <c r="Q101" s="104">
        <v>0</v>
      </c>
      <c r="R101" s="104">
        <v>0</v>
      </c>
      <c r="S101" s="104">
        <v>0</v>
      </c>
      <c r="T101" s="104">
        <v>0</v>
      </c>
      <c r="U101" s="104">
        <v>0</v>
      </c>
      <c r="V101" s="104">
        <v>0</v>
      </c>
      <c r="W101" s="104">
        <v>0</v>
      </c>
      <c r="X101" s="104">
        <v>24412</v>
      </c>
      <c r="Y101" s="104">
        <v>592</v>
      </c>
      <c r="Z101" s="104">
        <v>0</v>
      </c>
      <c r="AA101" s="104">
        <v>84102</v>
      </c>
      <c r="AB101" s="104">
        <v>2056</v>
      </c>
      <c r="AC101" s="104">
        <v>0</v>
      </c>
      <c r="AD101" s="104">
        <v>0</v>
      </c>
      <c r="AE101" s="104">
        <v>0</v>
      </c>
      <c r="AF101" s="104">
        <v>0</v>
      </c>
      <c r="AG101" s="104">
        <v>0</v>
      </c>
      <c r="AH101" s="104">
        <v>0</v>
      </c>
      <c r="AI101" s="104">
        <v>0</v>
      </c>
      <c r="AJ101" s="104">
        <v>0</v>
      </c>
      <c r="AK101" s="104">
        <v>0</v>
      </c>
      <c r="AL101" s="104">
        <v>0</v>
      </c>
      <c r="AM101" s="104">
        <v>0</v>
      </c>
      <c r="AN101" s="104">
        <v>0</v>
      </c>
      <c r="AO101" s="104">
        <v>0</v>
      </c>
      <c r="AP101" s="104">
        <v>0</v>
      </c>
      <c r="AQ101" s="104">
        <v>0</v>
      </c>
      <c r="AR101" s="104">
        <v>0</v>
      </c>
      <c r="AS101" s="104">
        <v>10504</v>
      </c>
      <c r="AT101" s="104">
        <v>253</v>
      </c>
      <c r="AU101" s="104">
        <v>0</v>
      </c>
      <c r="AV101" s="104">
        <v>557</v>
      </c>
      <c r="AW101" s="104">
        <v>13</v>
      </c>
      <c r="AX101" s="104">
        <v>0</v>
      </c>
      <c r="AZ101" s="104">
        <f t="shared" si="4"/>
        <v>226686</v>
      </c>
      <c r="BA101" s="104">
        <f t="shared" si="5"/>
        <v>5452</v>
      </c>
      <c r="BB101" s="96">
        <f t="shared" si="6"/>
        <v>0</v>
      </c>
      <c r="BC101" s="104">
        <f t="shared" si="7"/>
        <v>0</v>
      </c>
    </row>
    <row r="102" spans="1:55">
      <c r="A102" s="102" t="s">
        <v>152</v>
      </c>
      <c r="B102" s="24" t="s">
        <v>89</v>
      </c>
      <c r="C102" s="103" t="s">
        <v>149</v>
      </c>
      <c r="D102" s="104">
        <v>0</v>
      </c>
      <c r="E102" s="104">
        <v>213441</v>
      </c>
      <c r="F102" s="104">
        <v>3353</v>
      </c>
      <c r="G102" s="104">
        <v>0</v>
      </c>
      <c r="H102" s="104">
        <v>6242</v>
      </c>
      <c r="I102" s="104">
        <v>98</v>
      </c>
      <c r="J102" s="104">
        <v>0</v>
      </c>
      <c r="K102" s="104">
        <v>49874</v>
      </c>
      <c r="L102" s="104">
        <v>784</v>
      </c>
      <c r="M102" s="104">
        <v>0</v>
      </c>
      <c r="N102" s="104">
        <v>0</v>
      </c>
      <c r="O102" s="104">
        <v>0</v>
      </c>
      <c r="P102" s="104">
        <v>0</v>
      </c>
      <c r="Q102" s="104">
        <v>0</v>
      </c>
      <c r="R102" s="104">
        <v>0</v>
      </c>
      <c r="S102" s="104">
        <v>0</v>
      </c>
      <c r="T102" s="104">
        <v>0</v>
      </c>
      <c r="U102" s="104">
        <v>0</v>
      </c>
      <c r="V102" s="104">
        <v>0</v>
      </c>
      <c r="W102" s="104">
        <v>0</v>
      </c>
      <c r="X102" s="104">
        <v>49006</v>
      </c>
      <c r="Y102" s="104">
        <v>783</v>
      </c>
      <c r="Z102" s="104">
        <v>0</v>
      </c>
      <c r="AA102" s="104">
        <v>92033</v>
      </c>
      <c r="AB102" s="104">
        <v>1470</v>
      </c>
      <c r="AC102" s="104">
        <v>0</v>
      </c>
      <c r="AD102" s="104">
        <v>0</v>
      </c>
      <c r="AE102" s="104">
        <v>0</v>
      </c>
      <c r="AF102" s="104">
        <v>0</v>
      </c>
      <c r="AG102" s="104">
        <v>0</v>
      </c>
      <c r="AH102" s="104">
        <v>0</v>
      </c>
      <c r="AI102" s="104">
        <v>0</v>
      </c>
      <c r="AJ102" s="104">
        <v>0</v>
      </c>
      <c r="AK102" s="104">
        <v>0</v>
      </c>
      <c r="AL102" s="104">
        <v>0</v>
      </c>
      <c r="AM102" s="104">
        <v>0</v>
      </c>
      <c r="AN102" s="104">
        <v>0</v>
      </c>
      <c r="AO102" s="104">
        <v>0</v>
      </c>
      <c r="AP102" s="104">
        <v>0</v>
      </c>
      <c r="AQ102" s="104">
        <v>0</v>
      </c>
      <c r="AR102" s="104">
        <v>0</v>
      </c>
      <c r="AS102" s="104">
        <v>22851</v>
      </c>
      <c r="AT102" s="104">
        <v>372</v>
      </c>
      <c r="AU102" s="104">
        <v>0</v>
      </c>
      <c r="AV102" s="104">
        <v>2938</v>
      </c>
      <c r="AW102" s="104">
        <v>48</v>
      </c>
      <c r="AX102" s="104">
        <v>0</v>
      </c>
      <c r="AZ102" s="104">
        <f t="shared" si="4"/>
        <v>410596</v>
      </c>
      <c r="BA102" s="104">
        <f t="shared" si="5"/>
        <v>6488</v>
      </c>
      <c r="BB102" s="96">
        <f t="shared" si="6"/>
        <v>0</v>
      </c>
      <c r="BC102" s="104">
        <f t="shared" si="7"/>
        <v>0</v>
      </c>
    </row>
    <row r="103" spans="1:55">
      <c r="A103" s="102" t="s">
        <v>153</v>
      </c>
      <c r="B103" s="24" t="s">
        <v>521</v>
      </c>
      <c r="C103" s="103" t="s">
        <v>154</v>
      </c>
      <c r="D103" s="104">
        <v>0</v>
      </c>
      <c r="E103" s="104">
        <v>4337</v>
      </c>
      <c r="F103" s="104">
        <v>42</v>
      </c>
      <c r="G103" s="104">
        <v>0</v>
      </c>
      <c r="H103" s="104">
        <v>0</v>
      </c>
      <c r="I103" s="104">
        <v>0</v>
      </c>
      <c r="J103" s="104">
        <v>0</v>
      </c>
      <c r="K103" s="104">
        <v>4366</v>
      </c>
      <c r="L103" s="104">
        <v>42</v>
      </c>
      <c r="M103" s="104">
        <v>0</v>
      </c>
      <c r="N103" s="104">
        <v>0</v>
      </c>
      <c r="O103" s="104">
        <v>0</v>
      </c>
      <c r="P103" s="104">
        <v>0</v>
      </c>
      <c r="Q103" s="104">
        <v>0</v>
      </c>
      <c r="R103" s="104">
        <v>0</v>
      </c>
      <c r="S103" s="104">
        <v>0</v>
      </c>
      <c r="T103" s="104">
        <v>0</v>
      </c>
      <c r="U103" s="104">
        <v>0</v>
      </c>
      <c r="V103" s="104">
        <v>0</v>
      </c>
      <c r="W103" s="104">
        <v>0</v>
      </c>
      <c r="X103" s="104">
        <v>0</v>
      </c>
      <c r="Y103" s="104">
        <v>0</v>
      </c>
      <c r="Z103" s="104">
        <v>0</v>
      </c>
      <c r="AA103" s="104">
        <v>0</v>
      </c>
      <c r="AB103" s="104">
        <v>0</v>
      </c>
      <c r="AC103" s="104">
        <v>0</v>
      </c>
      <c r="AD103" s="104">
        <v>0</v>
      </c>
      <c r="AE103" s="104">
        <v>0</v>
      </c>
      <c r="AF103" s="104">
        <v>0</v>
      </c>
      <c r="AG103" s="104">
        <v>0</v>
      </c>
      <c r="AH103" s="104">
        <v>0</v>
      </c>
      <c r="AI103" s="104">
        <v>0</v>
      </c>
      <c r="AJ103" s="104">
        <v>0</v>
      </c>
      <c r="AK103" s="104">
        <v>0</v>
      </c>
      <c r="AL103" s="104">
        <v>0</v>
      </c>
      <c r="AM103" s="104">
        <v>0</v>
      </c>
      <c r="AN103" s="104">
        <v>0</v>
      </c>
      <c r="AO103" s="104">
        <v>0</v>
      </c>
      <c r="AP103" s="104">
        <v>0</v>
      </c>
      <c r="AQ103" s="104">
        <v>0</v>
      </c>
      <c r="AR103" s="104">
        <v>0</v>
      </c>
      <c r="AS103" s="104">
        <v>0</v>
      </c>
      <c r="AT103" s="104">
        <v>0</v>
      </c>
      <c r="AU103" s="104">
        <v>0</v>
      </c>
      <c r="AV103" s="104">
        <v>0</v>
      </c>
      <c r="AW103" s="104">
        <v>0</v>
      </c>
      <c r="AX103" s="104">
        <v>0</v>
      </c>
      <c r="AZ103" s="104">
        <f t="shared" si="4"/>
        <v>8703</v>
      </c>
      <c r="BA103" s="104">
        <f t="shared" si="5"/>
        <v>84</v>
      </c>
      <c r="BB103" s="96">
        <f t="shared" si="6"/>
        <v>0</v>
      </c>
      <c r="BC103" s="104">
        <f t="shared" si="7"/>
        <v>0</v>
      </c>
    </row>
    <row r="104" spans="1:55">
      <c r="A104" s="102" t="s">
        <v>155</v>
      </c>
      <c r="B104" s="24" t="s">
        <v>522</v>
      </c>
      <c r="C104" s="103" t="s">
        <v>154</v>
      </c>
      <c r="D104" s="104">
        <v>0</v>
      </c>
      <c r="E104" s="104">
        <v>8360</v>
      </c>
      <c r="F104" s="104">
        <v>826</v>
      </c>
      <c r="G104" s="104">
        <v>0</v>
      </c>
      <c r="H104" s="104">
        <v>0</v>
      </c>
      <c r="I104" s="104">
        <v>0</v>
      </c>
      <c r="J104" s="104">
        <v>0</v>
      </c>
      <c r="K104" s="104">
        <v>5480</v>
      </c>
      <c r="L104" s="104">
        <v>527</v>
      </c>
      <c r="M104" s="104">
        <v>0</v>
      </c>
      <c r="N104" s="104">
        <v>0</v>
      </c>
      <c r="O104" s="104">
        <v>0</v>
      </c>
      <c r="P104" s="104">
        <v>0</v>
      </c>
      <c r="Q104" s="104">
        <v>0</v>
      </c>
      <c r="R104" s="104">
        <v>0</v>
      </c>
      <c r="S104" s="104">
        <v>0</v>
      </c>
      <c r="T104" s="104">
        <v>0</v>
      </c>
      <c r="U104" s="104">
        <v>0</v>
      </c>
      <c r="V104" s="104">
        <v>0</v>
      </c>
      <c r="W104" s="104">
        <v>0</v>
      </c>
      <c r="X104" s="104">
        <v>0</v>
      </c>
      <c r="Y104" s="104">
        <v>0</v>
      </c>
      <c r="Z104" s="104">
        <v>0</v>
      </c>
      <c r="AA104" s="104">
        <v>0</v>
      </c>
      <c r="AB104" s="104">
        <v>0</v>
      </c>
      <c r="AC104" s="104">
        <v>0</v>
      </c>
      <c r="AD104" s="104">
        <v>0</v>
      </c>
      <c r="AE104" s="104">
        <v>0</v>
      </c>
      <c r="AF104" s="104">
        <v>0</v>
      </c>
      <c r="AG104" s="104">
        <v>0</v>
      </c>
      <c r="AH104" s="104">
        <v>0</v>
      </c>
      <c r="AI104" s="104">
        <v>0</v>
      </c>
      <c r="AJ104" s="104">
        <v>0</v>
      </c>
      <c r="AK104" s="104">
        <v>0</v>
      </c>
      <c r="AL104" s="104">
        <v>0</v>
      </c>
      <c r="AM104" s="104">
        <v>0</v>
      </c>
      <c r="AN104" s="104">
        <v>0</v>
      </c>
      <c r="AO104" s="104">
        <v>0</v>
      </c>
      <c r="AP104" s="104">
        <v>0</v>
      </c>
      <c r="AQ104" s="104">
        <v>0</v>
      </c>
      <c r="AR104" s="104">
        <v>0</v>
      </c>
      <c r="AS104" s="104">
        <v>0</v>
      </c>
      <c r="AT104" s="104">
        <v>0</v>
      </c>
      <c r="AU104" s="104">
        <v>0</v>
      </c>
      <c r="AV104" s="104">
        <v>0</v>
      </c>
      <c r="AW104" s="104">
        <v>0</v>
      </c>
      <c r="AX104" s="104">
        <v>0</v>
      </c>
      <c r="AZ104" s="104">
        <f t="shared" si="4"/>
        <v>13840</v>
      </c>
      <c r="BA104" s="104">
        <f t="shared" si="5"/>
        <v>1353</v>
      </c>
      <c r="BB104" s="96">
        <f t="shared" si="6"/>
        <v>0</v>
      </c>
      <c r="BC104" s="104">
        <f t="shared" si="7"/>
        <v>0</v>
      </c>
    </row>
    <row r="105" spans="1:55">
      <c r="A105" s="102" t="s">
        <v>156</v>
      </c>
      <c r="B105" s="24" t="s">
        <v>523</v>
      </c>
      <c r="C105" s="103" t="s">
        <v>154</v>
      </c>
      <c r="D105" s="104">
        <v>0</v>
      </c>
      <c r="E105" s="104">
        <v>47377</v>
      </c>
      <c r="F105" s="104">
        <v>1564</v>
      </c>
      <c r="G105" s="104">
        <v>0</v>
      </c>
      <c r="H105" s="104">
        <v>0</v>
      </c>
      <c r="I105" s="104">
        <v>0</v>
      </c>
      <c r="J105" s="104">
        <v>0</v>
      </c>
      <c r="K105" s="104">
        <v>6485</v>
      </c>
      <c r="L105" s="104">
        <v>0</v>
      </c>
      <c r="M105" s="104">
        <v>0</v>
      </c>
      <c r="N105" s="104">
        <v>0</v>
      </c>
      <c r="O105" s="104">
        <v>0</v>
      </c>
      <c r="P105" s="104">
        <v>0</v>
      </c>
      <c r="Q105" s="104">
        <v>0</v>
      </c>
      <c r="R105" s="104">
        <v>0</v>
      </c>
      <c r="S105" s="104">
        <v>0</v>
      </c>
      <c r="T105" s="104">
        <v>0</v>
      </c>
      <c r="U105" s="104">
        <v>0</v>
      </c>
      <c r="V105" s="104">
        <v>0</v>
      </c>
      <c r="W105" s="104">
        <v>0</v>
      </c>
      <c r="X105" s="104">
        <v>11183</v>
      </c>
      <c r="Y105" s="104">
        <v>366</v>
      </c>
      <c r="Z105" s="104">
        <v>0</v>
      </c>
      <c r="AA105" s="104">
        <v>0</v>
      </c>
      <c r="AB105" s="104">
        <v>0</v>
      </c>
      <c r="AC105" s="104">
        <v>0</v>
      </c>
      <c r="AD105" s="104">
        <v>0</v>
      </c>
      <c r="AE105" s="104">
        <v>0</v>
      </c>
      <c r="AF105" s="104">
        <v>0</v>
      </c>
      <c r="AG105" s="104">
        <v>0</v>
      </c>
      <c r="AH105" s="104">
        <v>0</v>
      </c>
      <c r="AI105" s="104">
        <v>0</v>
      </c>
      <c r="AJ105" s="104">
        <v>0</v>
      </c>
      <c r="AK105" s="104">
        <v>0</v>
      </c>
      <c r="AL105" s="104">
        <v>0</v>
      </c>
      <c r="AM105" s="104">
        <v>0</v>
      </c>
      <c r="AN105" s="104">
        <v>0</v>
      </c>
      <c r="AO105" s="104">
        <v>0</v>
      </c>
      <c r="AP105" s="104">
        <v>0</v>
      </c>
      <c r="AQ105" s="104">
        <v>0</v>
      </c>
      <c r="AR105" s="104">
        <v>0</v>
      </c>
      <c r="AS105" s="104">
        <v>0</v>
      </c>
      <c r="AT105" s="104">
        <v>0</v>
      </c>
      <c r="AU105" s="104">
        <v>0</v>
      </c>
      <c r="AV105" s="104">
        <v>0</v>
      </c>
      <c r="AW105" s="104">
        <v>0</v>
      </c>
      <c r="AX105" s="104">
        <v>0</v>
      </c>
      <c r="AZ105" s="104">
        <f t="shared" si="4"/>
        <v>65045</v>
      </c>
      <c r="BA105" s="104">
        <f t="shared" si="5"/>
        <v>1930</v>
      </c>
      <c r="BB105" s="96">
        <f t="shared" si="6"/>
        <v>0</v>
      </c>
      <c r="BC105" s="104">
        <f t="shared" si="7"/>
        <v>0</v>
      </c>
    </row>
    <row r="106" spans="1:55">
      <c r="A106" s="102" t="s">
        <v>157</v>
      </c>
      <c r="B106" s="24" t="s">
        <v>524</v>
      </c>
      <c r="C106" s="103" t="s">
        <v>158</v>
      </c>
      <c r="D106" s="104">
        <v>0</v>
      </c>
      <c r="E106" s="104">
        <v>35091</v>
      </c>
      <c r="F106" s="104">
        <v>564</v>
      </c>
      <c r="G106" s="104">
        <v>0</v>
      </c>
      <c r="H106" s="104">
        <v>0</v>
      </c>
      <c r="I106" s="104">
        <v>0</v>
      </c>
      <c r="J106" s="104">
        <v>0</v>
      </c>
      <c r="K106" s="104">
        <v>14737</v>
      </c>
      <c r="L106" s="104">
        <v>238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Z106" s="104">
        <v>0</v>
      </c>
      <c r="AA106" s="104">
        <v>0</v>
      </c>
      <c r="AB106" s="104">
        <v>0</v>
      </c>
      <c r="AC106" s="104">
        <v>0</v>
      </c>
      <c r="AD106" s="104">
        <v>0</v>
      </c>
      <c r="AE106" s="104">
        <v>0</v>
      </c>
      <c r="AF106" s="104">
        <v>0</v>
      </c>
      <c r="AG106" s="104">
        <v>0</v>
      </c>
      <c r="AH106" s="104">
        <v>0</v>
      </c>
      <c r="AI106" s="104">
        <v>0</v>
      </c>
      <c r="AJ106" s="104">
        <v>0</v>
      </c>
      <c r="AK106" s="104">
        <v>0</v>
      </c>
      <c r="AL106" s="104">
        <v>0</v>
      </c>
      <c r="AM106" s="104">
        <v>0</v>
      </c>
      <c r="AN106" s="104">
        <v>0</v>
      </c>
      <c r="AO106" s="104">
        <v>0</v>
      </c>
      <c r="AP106" s="104">
        <v>0</v>
      </c>
      <c r="AQ106" s="104">
        <v>0</v>
      </c>
      <c r="AR106" s="104">
        <v>0</v>
      </c>
      <c r="AS106" s="104">
        <v>0</v>
      </c>
      <c r="AT106" s="104">
        <v>0</v>
      </c>
      <c r="AU106" s="104">
        <v>0</v>
      </c>
      <c r="AV106" s="104">
        <v>0</v>
      </c>
      <c r="AW106" s="104">
        <v>0</v>
      </c>
      <c r="AX106" s="104">
        <v>0</v>
      </c>
      <c r="AZ106" s="104">
        <f t="shared" si="4"/>
        <v>49828</v>
      </c>
      <c r="BA106" s="104">
        <f t="shared" si="5"/>
        <v>802</v>
      </c>
      <c r="BB106" s="96">
        <f t="shared" si="6"/>
        <v>0</v>
      </c>
      <c r="BC106" s="104">
        <f t="shared" si="7"/>
        <v>0</v>
      </c>
    </row>
    <row r="107" spans="1:55">
      <c r="A107" s="102" t="s">
        <v>159</v>
      </c>
      <c r="B107" s="24" t="s">
        <v>525</v>
      </c>
      <c r="C107" s="103" t="s">
        <v>158</v>
      </c>
      <c r="D107" s="104">
        <v>0</v>
      </c>
      <c r="E107" s="104">
        <v>5813</v>
      </c>
      <c r="F107" s="104">
        <v>117</v>
      </c>
      <c r="G107" s="104">
        <v>0</v>
      </c>
      <c r="H107" s="104">
        <v>0</v>
      </c>
      <c r="I107" s="104">
        <v>0</v>
      </c>
      <c r="J107" s="104">
        <v>0</v>
      </c>
      <c r="K107" s="104">
        <v>3104</v>
      </c>
      <c r="L107" s="104">
        <v>63</v>
      </c>
      <c r="M107" s="104">
        <v>0</v>
      </c>
      <c r="N107" s="104">
        <v>0</v>
      </c>
      <c r="O107" s="104">
        <v>0</v>
      </c>
      <c r="P107" s="104">
        <v>0</v>
      </c>
      <c r="Q107" s="104">
        <v>0</v>
      </c>
      <c r="R107" s="104">
        <v>0</v>
      </c>
      <c r="S107" s="104">
        <v>0</v>
      </c>
      <c r="T107" s="104">
        <v>0</v>
      </c>
      <c r="U107" s="104">
        <v>0</v>
      </c>
      <c r="V107" s="104">
        <v>0</v>
      </c>
      <c r="W107" s="104">
        <v>0</v>
      </c>
      <c r="X107" s="104">
        <v>0</v>
      </c>
      <c r="Y107" s="104">
        <v>0</v>
      </c>
      <c r="Z107" s="104">
        <v>0</v>
      </c>
      <c r="AA107" s="104">
        <v>0</v>
      </c>
      <c r="AB107" s="104">
        <v>0</v>
      </c>
      <c r="AC107" s="104">
        <v>0</v>
      </c>
      <c r="AD107" s="104">
        <v>0</v>
      </c>
      <c r="AE107" s="104">
        <v>0</v>
      </c>
      <c r="AF107" s="104">
        <v>0</v>
      </c>
      <c r="AG107" s="104">
        <v>0</v>
      </c>
      <c r="AH107" s="104">
        <v>0</v>
      </c>
      <c r="AI107" s="104">
        <v>0</v>
      </c>
      <c r="AJ107" s="104">
        <v>0</v>
      </c>
      <c r="AK107" s="104">
        <v>0</v>
      </c>
      <c r="AL107" s="104">
        <v>0</v>
      </c>
      <c r="AM107" s="104">
        <v>0</v>
      </c>
      <c r="AN107" s="104">
        <v>0</v>
      </c>
      <c r="AO107" s="104">
        <v>0</v>
      </c>
      <c r="AP107" s="104">
        <v>0</v>
      </c>
      <c r="AQ107" s="104">
        <v>0</v>
      </c>
      <c r="AR107" s="104">
        <v>0</v>
      </c>
      <c r="AS107" s="104">
        <v>0</v>
      </c>
      <c r="AT107" s="104">
        <v>0</v>
      </c>
      <c r="AU107" s="104">
        <v>0</v>
      </c>
      <c r="AV107" s="104">
        <v>0</v>
      </c>
      <c r="AW107" s="104">
        <v>0</v>
      </c>
      <c r="AX107" s="104">
        <v>0</v>
      </c>
      <c r="AZ107" s="104">
        <f t="shared" si="4"/>
        <v>8917</v>
      </c>
      <c r="BA107" s="104">
        <f t="shared" si="5"/>
        <v>180</v>
      </c>
      <c r="BB107" s="96">
        <f t="shared" si="6"/>
        <v>0</v>
      </c>
      <c r="BC107" s="104">
        <f t="shared" si="7"/>
        <v>0</v>
      </c>
    </row>
    <row r="108" spans="1:55">
      <c r="A108" s="102" t="s">
        <v>160</v>
      </c>
      <c r="B108" s="24" t="s">
        <v>526</v>
      </c>
      <c r="C108" s="103" t="s">
        <v>18</v>
      </c>
      <c r="D108" s="104">
        <v>0</v>
      </c>
      <c r="E108" s="104">
        <v>18552</v>
      </c>
      <c r="F108" s="104">
        <v>498</v>
      </c>
      <c r="G108" s="104">
        <v>7</v>
      </c>
      <c r="H108" s="104">
        <v>0</v>
      </c>
      <c r="I108" s="104">
        <v>0</v>
      </c>
      <c r="J108" s="104">
        <v>0</v>
      </c>
      <c r="K108" s="104">
        <v>11973</v>
      </c>
      <c r="L108" s="104">
        <v>323</v>
      </c>
      <c r="M108" s="104">
        <v>0</v>
      </c>
      <c r="N108" s="104">
        <v>5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Z108" s="104">
        <v>0</v>
      </c>
      <c r="AA108" s="104">
        <v>0</v>
      </c>
      <c r="AB108" s="104">
        <v>0</v>
      </c>
      <c r="AC108" s="104">
        <v>0</v>
      </c>
      <c r="AD108" s="104">
        <v>0</v>
      </c>
      <c r="AE108" s="104">
        <v>0</v>
      </c>
      <c r="AF108" s="104">
        <v>0</v>
      </c>
      <c r="AG108" s="104">
        <v>0</v>
      </c>
      <c r="AH108" s="104">
        <v>0</v>
      </c>
      <c r="AI108" s="104">
        <v>0</v>
      </c>
      <c r="AJ108" s="104">
        <v>0</v>
      </c>
      <c r="AK108" s="104">
        <v>0</v>
      </c>
      <c r="AL108" s="104">
        <v>0</v>
      </c>
      <c r="AM108" s="104">
        <v>0</v>
      </c>
      <c r="AN108" s="104">
        <v>0</v>
      </c>
      <c r="AO108" s="104">
        <v>0</v>
      </c>
      <c r="AP108" s="104">
        <v>0</v>
      </c>
      <c r="AQ108" s="104">
        <v>0</v>
      </c>
      <c r="AR108" s="104">
        <v>0</v>
      </c>
      <c r="AS108" s="104">
        <v>2992</v>
      </c>
      <c r="AT108" s="104">
        <v>81</v>
      </c>
      <c r="AU108" s="104">
        <v>2</v>
      </c>
      <c r="AV108" s="104">
        <v>0</v>
      </c>
      <c r="AW108" s="104">
        <v>0</v>
      </c>
      <c r="AX108" s="104">
        <v>0</v>
      </c>
      <c r="AZ108" s="104">
        <f t="shared" si="4"/>
        <v>30525</v>
      </c>
      <c r="BA108" s="104">
        <f t="shared" si="5"/>
        <v>821</v>
      </c>
      <c r="BB108" s="96">
        <f t="shared" si="6"/>
        <v>0</v>
      </c>
      <c r="BC108" s="104">
        <f t="shared" si="7"/>
        <v>12</v>
      </c>
    </row>
    <row r="109" spans="1:55">
      <c r="A109" s="102" t="s">
        <v>161</v>
      </c>
      <c r="B109" s="24" t="s">
        <v>162</v>
      </c>
      <c r="C109" s="103" t="s">
        <v>162</v>
      </c>
      <c r="D109" s="104">
        <v>365</v>
      </c>
      <c r="E109" s="104">
        <v>29713</v>
      </c>
      <c r="F109" s="104">
        <v>566</v>
      </c>
      <c r="G109" s="104">
        <v>276</v>
      </c>
      <c r="H109" s="104">
        <v>0</v>
      </c>
      <c r="I109" s="104">
        <v>0</v>
      </c>
      <c r="J109" s="104">
        <v>0</v>
      </c>
      <c r="K109" s="104">
        <v>9367</v>
      </c>
      <c r="L109" s="104">
        <v>166</v>
      </c>
      <c r="M109" s="104">
        <v>0</v>
      </c>
      <c r="N109" s="104">
        <v>73</v>
      </c>
      <c r="O109" s="104">
        <v>0</v>
      </c>
      <c r="P109" s="104">
        <v>0</v>
      </c>
      <c r="Q109" s="104">
        <v>0</v>
      </c>
      <c r="R109" s="104">
        <v>0</v>
      </c>
      <c r="S109" s="104">
        <v>0</v>
      </c>
      <c r="T109" s="104">
        <v>0</v>
      </c>
      <c r="U109" s="104">
        <v>0</v>
      </c>
      <c r="V109" s="104">
        <v>0</v>
      </c>
      <c r="W109" s="104">
        <v>0</v>
      </c>
      <c r="X109" s="104">
        <v>32577</v>
      </c>
      <c r="Y109" s="104">
        <v>560</v>
      </c>
      <c r="Z109" s="104">
        <v>232</v>
      </c>
      <c r="AA109" s="104">
        <v>0</v>
      </c>
      <c r="AB109" s="104">
        <v>0</v>
      </c>
      <c r="AC109" s="104">
        <v>0</v>
      </c>
      <c r="AD109" s="104">
        <v>0</v>
      </c>
      <c r="AE109" s="104">
        <v>0</v>
      </c>
      <c r="AF109" s="104">
        <v>0</v>
      </c>
      <c r="AG109" s="104">
        <v>0</v>
      </c>
      <c r="AH109" s="104">
        <v>0</v>
      </c>
      <c r="AI109" s="104">
        <v>0</v>
      </c>
      <c r="AJ109" s="104">
        <v>0</v>
      </c>
      <c r="AK109" s="104">
        <v>0</v>
      </c>
      <c r="AL109" s="104">
        <v>0</v>
      </c>
      <c r="AM109" s="104">
        <v>0</v>
      </c>
      <c r="AN109" s="104">
        <v>0</v>
      </c>
      <c r="AO109" s="104">
        <v>0</v>
      </c>
      <c r="AP109" s="104">
        <v>0</v>
      </c>
      <c r="AQ109" s="104">
        <v>0</v>
      </c>
      <c r="AR109" s="104">
        <v>0</v>
      </c>
      <c r="AS109" s="104">
        <v>0</v>
      </c>
      <c r="AT109" s="104">
        <v>0</v>
      </c>
      <c r="AU109" s="104">
        <v>0</v>
      </c>
      <c r="AV109" s="104">
        <v>0</v>
      </c>
      <c r="AW109" s="104">
        <v>0</v>
      </c>
      <c r="AX109" s="104">
        <v>0</v>
      </c>
      <c r="AZ109" s="104">
        <f t="shared" si="4"/>
        <v>71657</v>
      </c>
      <c r="BA109" s="104">
        <f t="shared" si="5"/>
        <v>1292</v>
      </c>
      <c r="BB109" s="96">
        <f t="shared" si="6"/>
        <v>0</v>
      </c>
      <c r="BC109" s="104">
        <f t="shared" si="7"/>
        <v>946</v>
      </c>
    </row>
    <row r="110" spans="1:55">
      <c r="A110" s="102" t="s">
        <v>163</v>
      </c>
      <c r="B110" s="24" t="s">
        <v>527</v>
      </c>
      <c r="C110" s="103" t="s">
        <v>162</v>
      </c>
      <c r="D110" s="104">
        <v>0</v>
      </c>
      <c r="E110" s="104">
        <v>1337</v>
      </c>
      <c r="F110" s="104">
        <v>24</v>
      </c>
      <c r="G110" s="104">
        <v>55</v>
      </c>
      <c r="H110" s="104">
        <v>0</v>
      </c>
      <c r="I110" s="104">
        <v>0</v>
      </c>
      <c r="J110" s="104">
        <v>0</v>
      </c>
      <c r="K110" s="104">
        <v>4080</v>
      </c>
      <c r="L110" s="104">
        <v>42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Z110" s="104">
        <v>0</v>
      </c>
      <c r="AA110" s="104">
        <v>0</v>
      </c>
      <c r="AB110" s="104">
        <v>0</v>
      </c>
      <c r="AC110" s="104">
        <v>0</v>
      </c>
      <c r="AD110" s="104">
        <v>0</v>
      </c>
      <c r="AE110" s="104">
        <v>0</v>
      </c>
      <c r="AF110" s="104">
        <v>0</v>
      </c>
      <c r="AG110" s="104">
        <v>0</v>
      </c>
      <c r="AH110" s="104">
        <v>0</v>
      </c>
      <c r="AI110" s="104">
        <v>0</v>
      </c>
      <c r="AJ110" s="104">
        <v>0</v>
      </c>
      <c r="AK110" s="104">
        <v>0</v>
      </c>
      <c r="AL110" s="104">
        <v>0</v>
      </c>
      <c r="AM110" s="104">
        <v>0</v>
      </c>
      <c r="AN110" s="104">
        <v>0</v>
      </c>
      <c r="AO110" s="104">
        <v>0</v>
      </c>
      <c r="AP110" s="104">
        <v>0</v>
      </c>
      <c r="AQ110" s="104">
        <v>0</v>
      </c>
      <c r="AR110" s="104">
        <v>0</v>
      </c>
      <c r="AS110" s="104">
        <v>0</v>
      </c>
      <c r="AT110" s="104">
        <v>0</v>
      </c>
      <c r="AU110" s="104">
        <v>0</v>
      </c>
      <c r="AV110" s="104">
        <v>0</v>
      </c>
      <c r="AW110" s="104">
        <v>0</v>
      </c>
      <c r="AX110" s="104">
        <v>0</v>
      </c>
      <c r="AZ110" s="104">
        <f t="shared" si="4"/>
        <v>5417</v>
      </c>
      <c r="BA110" s="104">
        <f t="shared" si="5"/>
        <v>66</v>
      </c>
      <c r="BB110" s="96">
        <f t="shared" si="6"/>
        <v>0</v>
      </c>
      <c r="BC110" s="104">
        <f t="shared" si="7"/>
        <v>55</v>
      </c>
    </row>
    <row r="111" spans="1:55">
      <c r="A111" s="102" t="s">
        <v>164</v>
      </c>
      <c r="B111" s="24" t="s">
        <v>528</v>
      </c>
      <c r="C111" s="103" t="s">
        <v>165</v>
      </c>
      <c r="D111" s="104">
        <v>0</v>
      </c>
      <c r="E111" s="104">
        <v>33455</v>
      </c>
      <c r="F111" s="104">
        <v>334</v>
      </c>
      <c r="G111" s="104">
        <v>0</v>
      </c>
      <c r="H111" s="104">
        <v>0</v>
      </c>
      <c r="I111" s="104">
        <v>0</v>
      </c>
      <c r="J111" s="104">
        <v>0</v>
      </c>
      <c r="K111" s="104">
        <v>9488</v>
      </c>
      <c r="L111" s="104">
        <v>95</v>
      </c>
      <c r="M111" s="104">
        <v>0</v>
      </c>
      <c r="N111" s="104">
        <v>0</v>
      </c>
      <c r="O111" s="104">
        <v>0</v>
      </c>
      <c r="P111" s="104">
        <v>0</v>
      </c>
      <c r="Q111" s="104">
        <v>0</v>
      </c>
      <c r="R111" s="104">
        <v>0</v>
      </c>
      <c r="S111" s="104">
        <v>0</v>
      </c>
      <c r="T111" s="104">
        <v>0</v>
      </c>
      <c r="U111" s="104">
        <v>0</v>
      </c>
      <c r="V111" s="104">
        <v>0</v>
      </c>
      <c r="W111" s="104">
        <v>0</v>
      </c>
      <c r="X111" s="104">
        <v>0</v>
      </c>
      <c r="Y111" s="104">
        <v>0</v>
      </c>
      <c r="Z111" s="104">
        <v>0</v>
      </c>
      <c r="AA111" s="104">
        <v>0</v>
      </c>
      <c r="AB111" s="104">
        <v>0</v>
      </c>
      <c r="AC111" s="104">
        <v>0</v>
      </c>
      <c r="AD111" s="104">
        <v>0</v>
      </c>
      <c r="AE111" s="104">
        <v>0</v>
      </c>
      <c r="AF111" s="104">
        <v>0</v>
      </c>
      <c r="AG111" s="104">
        <v>0</v>
      </c>
      <c r="AH111" s="104">
        <v>0</v>
      </c>
      <c r="AI111" s="104">
        <v>0</v>
      </c>
      <c r="AJ111" s="104">
        <v>0</v>
      </c>
      <c r="AK111" s="104">
        <v>0</v>
      </c>
      <c r="AL111" s="104">
        <v>0</v>
      </c>
      <c r="AM111" s="104">
        <v>0</v>
      </c>
      <c r="AN111" s="104">
        <v>0</v>
      </c>
      <c r="AO111" s="104">
        <v>0</v>
      </c>
      <c r="AP111" s="104">
        <v>0</v>
      </c>
      <c r="AQ111" s="104">
        <v>0</v>
      </c>
      <c r="AR111" s="104">
        <v>0</v>
      </c>
      <c r="AS111" s="104">
        <v>2071</v>
      </c>
      <c r="AT111" s="104">
        <v>21</v>
      </c>
      <c r="AU111" s="104">
        <v>0</v>
      </c>
      <c r="AV111" s="104">
        <v>0</v>
      </c>
      <c r="AW111" s="104">
        <v>0</v>
      </c>
      <c r="AX111" s="104">
        <v>0</v>
      </c>
      <c r="AZ111" s="104">
        <f t="shared" si="4"/>
        <v>42943</v>
      </c>
      <c r="BA111" s="104">
        <f t="shared" si="5"/>
        <v>429</v>
      </c>
      <c r="BB111" s="96">
        <f t="shared" si="6"/>
        <v>0</v>
      </c>
      <c r="BC111" s="104">
        <f t="shared" si="7"/>
        <v>0</v>
      </c>
    </row>
    <row r="112" spans="1:55">
      <c r="A112" s="102" t="s">
        <v>166</v>
      </c>
      <c r="B112" s="24" t="s">
        <v>529</v>
      </c>
      <c r="C112" s="103" t="s">
        <v>25</v>
      </c>
      <c r="D112" s="104">
        <v>0</v>
      </c>
      <c r="E112" s="104">
        <v>2690</v>
      </c>
      <c r="F112" s="104">
        <v>127</v>
      </c>
      <c r="G112" s="104">
        <v>0</v>
      </c>
      <c r="H112" s="104">
        <v>0</v>
      </c>
      <c r="I112" s="104">
        <v>0</v>
      </c>
      <c r="J112" s="104">
        <v>0</v>
      </c>
      <c r="K112" s="104">
        <v>1844</v>
      </c>
      <c r="L112" s="104">
        <v>56</v>
      </c>
      <c r="M112" s="104">
        <v>0</v>
      </c>
      <c r="N112" s="104">
        <v>0</v>
      </c>
      <c r="O112" s="104">
        <v>0</v>
      </c>
      <c r="P112" s="104">
        <v>0</v>
      </c>
      <c r="Q112" s="104">
        <v>0</v>
      </c>
      <c r="R112" s="104">
        <v>0</v>
      </c>
      <c r="S112" s="104">
        <v>0</v>
      </c>
      <c r="T112" s="104">
        <v>0</v>
      </c>
      <c r="U112" s="104">
        <v>0</v>
      </c>
      <c r="V112" s="104">
        <v>0</v>
      </c>
      <c r="W112" s="104">
        <v>0</v>
      </c>
      <c r="X112" s="104">
        <v>0</v>
      </c>
      <c r="Y112" s="104">
        <v>0</v>
      </c>
      <c r="Z112" s="104">
        <v>0</v>
      </c>
      <c r="AA112" s="104">
        <v>0</v>
      </c>
      <c r="AB112" s="104">
        <v>0</v>
      </c>
      <c r="AC112" s="104">
        <v>0</v>
      </c>
      <c r="AD112" s="104">
        <v>0</v>
      </c>
      <c r="AE112" s="104">
        <v>0</v>
      </c>
      <c r="AF112" s="104">
        <v>0</v>
      </c>
      <c r="AG112" s="104">
        <v>0</v>
      </c>
      <c r="AH112" s="104">
        <v>0</v>
      </c>
      <c r="AI112" s="104">
        <v>0</v>
      </c>
      <c r="AJ112" s="104">
        <v>0</v>
      </c>
      <c r="AK112" s="104">
        <v>0</v>
      </c>
      <c r="AL112" s="104">
        <v>0</v>
      </c>
      <c r="AM112" s="104">
        <v>0</v>
      </c>
      <c r="AN112" s="104">
        <v>0</v>
      </c>
      <c r="AO112" s="104">
        <v>0</v>
      </c>
      <c r="AP112" s="104">
        <v>0</v>
      </c>
      <c r="AQ112" s="104">
        <v>0</v>
      </c>
      <c r="AR112" s="104">
        <v>0</v>
      </c>
      <c r="AS112" s="104">
        <v>1256</v>
      </c>
      <c r="AT112" s="104">
        <v>38</v>
      </c>
      <c r="AU112" s="104">
        <v>0</v>
      </c>
      <c r="AV112" s="104">
        <v>0</v>
      </c>
      <c r="AW112" s="104">
        <v>0</v>
      </c>
      <c r="AX112" s="104">
        <v>0</v>
      </c>
      <c r="AZ112" s="104">
        <f t="shared" si="4"/>
        <v>4534</v>
      </c>
      <c r="BA112" s="104">
        <f t="shared" si="5"/>
        <v>183</v>
      </c>
      <c r="BB112" s="96">
        <f t="shared" si="6"/>
        <v>0</v>
      </c>
      <c r="BC112" s="104">
        <f t="shared" si="7"/>
        <v>0</v>
      </c>
    </row>
    <row r="113" spans="1:55">
      <c r="A113" s="102" t="s">
        <v>167</v>
      </c>
      <c r="B113" s="24" t="s">
        <v>530</v>
      </c>
      <c r="C113" s="103" t="s">
        <v>25</v>
      </c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Z113" s="104">
        <f t="shared" si="4"/>
        <v>0</v>
      </c>
      <c r="BA113" s="104">
        <f t="shared" si="5"/>
        <v>0</v>
      </c>
      <c r="BB113" s="96">
        <f t="shared" si="6"/>
        <v>0</v>
      </c>
      <c r="BC113" s="104">
        <f t="shared" si="7"/>
        <v>0</v>
      </c>
    </row>
    <row r="114" spans="1:55">
      <c r="A114" s="102" t="s">
        <v>168</v>
      </c>
      <c r="B114" s="24" t="s">
        <v>531</v>
      </c>
      <c r="C114" s="103" t="s">
        <v>25</v>
      </c>
      <c r="D114" s="104">
        <v>0</v>
      </c>
      <c r="E114" s="104">
        <v>19715</v>
      </c>
      <c r="F114" s="104">
        <v>354</v>
      </c>
      <c r="G114" s="104">
        <v>0</v>
      </c>
      <c r="H114" s="104">
        <v>0</v>
      </c>
      <c r="I114" s="104">
        <v>0</v>
      </c>
      <c r="J114" s="104">
        <v>0</v>
      </c>
      <c r="K114" s="104">
        <v>10393</v>
      </c>
      <c r="L114" s="104">
        <v>193</v>
      </c>
      <c r="M114" s="104">
        <v>0</v>
      </c>
      <c r="N114" s="104">
        <v>0</v>
      </c>
      <c r="O114" s="104">
        <v>0</v>
      </c>
      <c r="P114" s="104">
        <v>0</v>
      </c>
      <c r="Q114" s="104">
        <v>0</v>
      </c>
      <c r="R114" s="104">
        <v>0</v>
      </c>
      <c r="S114" s="104">
        <v>0</v>
      </c>
      <c r="T114" s="104">
        <v>0</v>
      </c>
      <c r="U114" s="104">
        <v>0</v>
      </c>
      <c r="V114" s="104">
        <v>0</v>
      </c>
      <c r="W114" s="104">
        <v>0</v>
      </c>
      <c r="X114" s="104">
        <v>15542</v>
      </c>
      <c r="Y114" s="104">
        <v>278</v>
      </c>
      <c r="Z114" s="104">
        <v>0</v>
      </c>
      <c r="AA114" s="104">
        <v>0</v>
      </c>
      <c r="AB114" s="104">
        <v>0</v>
      </c>
      <c r="AC114" s="104">
        <v>0</v>
      </c>
      <c r="AD114" s="104">
        <v>0</v>
      </c>
      <c r="AE114" s="104">
        <v>0</v>
      </c>
      <c r="AF114" s="104">
        <v>0</v>
      </c>
      <c r="AG114" s="104">
        <v>0</v>
      </c>
      <c r="AH114" s="104">
        <v>0</v>
      </c>
      <c r="AI114" s="104">
        <v>0</v>
      </c>
      <c r="AJ114" s="104">
        <v>0</v>
      </c>
      <c r="AK114" s="104">
        <v>0</v>
      </c>
      <c r="AL114" s="104">
        <v>0</v>
      </c>
      <c r="AM114" s="104">
        <v>0</v>
      </c>
      <c r="AN114" s="104">
        <v>0</v>
      </c>
      <c r="AO114" s="104">
        <v>0</v>
      </c>
      <c r="AP114" s="104">
        <v>0</v>
      </c>
      <c r="AQ114" s="104">
        <v>0</v>
      </c>
      <c r="AR114" s="104">
        <v>0</v>
      </c>
      <c r="AS114" s="104">
        <v>5015</v>
      </c>
      <c r="AT114" s="104">
        <v>90</v>
      </c>
      <c r="AU114" s="104">
        <v>0</v>
      </c>
      <c r="AV114" s="104">
        <v>1429</v>
      </c>
      <c r="AW114" s="104">
        <v>24</v>
      </c>
      <c r="AX114" s="104">
        <v>0</v>
      </c>
      <c r="AZ114" s="104">
        <f t="shared" si="4"/>
        <v>45650</v>
      </c>
      <c r="BA114" s="104">
        <f t="shared" si="5"/>
        <v>825</v>
      </c>
      <c r="BB114" s="96">
        <f t="shared" si="6"/>
        <v>0</v>
      </c>
      <c r="BC114" s="104">
        <f t="shared" si="7"/>
        <v>0</v>
      </c>
    </row>
    <row r="115" spans="1:55">
      <c r="A115" s="102" t="s">
        <v>169</v>
      </c>
      <c r="B115" s="24" t="s">
        <v>532</v>
      </c>
      <c r="C115" s="103" t="s">
        <v>25</v>
      </c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>
        <v>0</v>
      </c>
      <c r="AZ115" s="104">
        <f t="shared" si="4"/>
        <v>0</v>
      </c>
      <c r="BA115" s="104">
        <f t="shared" si="5"/>
        <v>0</v>
      </c>
      <c r="BB115" s="96">
        <f t="shared" si="6"/>
        <v>0</v>
      </c>
      <c r="BC115" s="104">
        <f t="shared" si="7"/>
        <v>0</v>
      </c>
    </row>
    <row r="116" spans="1:55">
      <c r="A116" s="102" t="s">
        <v>170</v>
      </c>
      <c r="B116" s="24" t="s">
        <v>533</v>
      </c>
      <c r="C116" s="103" t="s">
        <v>171</v>
      </c>
      <c r="D116" s="104">
        <v>22261</v>
      </c>
      <c r="E116" s="104">
        <v>1066710</v>
      </c>
      <c r="F116" s="104">
        <v>16628</v>
      </c>
      <c r="G116" s="104">
        <v>15425</v>
      </c>
      <c r="H116" s="104">
        <v>22636</v>
      </c>
      <c r="I116" s="104">
        <v>353</v>
      </c>
      <c r="J116" s="104">
        <v>554</v>
      </c>
      <c r="K116" s="104">
        <v>181052</v>
      </c>
      <c r="L116" s="104">
        <v>2823</v>
      </c>
      <c r="M116" s="104">
        <v>0</v>
      </c>
      <c r="N116" s="104">
        <v>15210</v>
      </c>
      <c r="O116" s="104">
        <v>0</v>
      </c>
      <c r="P116" s="104">
        <v>0</v>
      </c>
      <c r="Q116" s="104">
        <v>0</v>
      </c>
      <c r="R116" s="104">
        <v>0</v>
      </c>
      <c r="S116" s="104">
        <v>0</v>
      </c>
      <c r="T116" s="104">
        <v>0</v>
      </c>
      <c r="U116" s="104">
        <v>0</v>
      </c>
      <c r="V116" s="104">
        <v>0</v>
      </c>
      <c r="W116" s="104">
        <v>0</v>
      </c>
      <c r="X116" s="104">
        <v>796975</v>
      </c>
      <c r="Y116" s="104">
        <v>12431</v>
      </c>
      <c r="Z116" s="104">
        <v>20439</v>
      </c>
      <c r="AA116" s="104">
        <v>0</v>
      </c>
      <c r="AB116" s="104">
        <v>0</v>
      </c>
      <c r="AC116" s="104">
        <v>0</v>
      </c>
      <c r="AD116" s="104">
        <v>0</v>
      </c>
      <c r="AE116" s="104">
        <v>0</v>
      </c>
      <c r="AF116" s="104">
        <v>0</v>
      </c>
      <c r="AG116" s="104">
        <v>0</v>
      </c>
      <c r="AH116" s="104">
        <v>0</v>
      </c>
      <c r="AI116" s="104">
        <v>0</v>
      </c>
      <c r="AJ116" s="104">
        <v>0</v>
      </c>
      <c r="AK116" s="104">
        <v>0</v>
      </c>
      <c r="AL116" s="104">
        <v>0</v>
      </c>
      <c r="AM116" s="104">
        <v>0</v>
      </c>
      <c r="AN116" s="104">
        <v>0</v>
      </c>
      <c r="AO116" s="104">
        <v>0</v>
      </c>
      <c r="AP116" s="104">
        <v>0</v>
      </c>
      <c r="AQ116" s="104">
        <v>0</v>
      </c>
      <c r="AR116" s="104">
        <v>0</v>
      </c>
      <c r="AS116" s="104">
        <v>0</v>
      </c>
      <c r="AT116" s="104">
        <v>0</v>
      </c>
      <c r="AU116" s="104">
        <v>0</v>
      </c>
      <c r="AV116" s="104">
        <v>0</v>
      </c>
      <c r="AW116" s="104">
        <v>0</v>
      </c>
      <c r="AX116" s="104">
        <v>0</v>
      </c>
      <c r="AZ116" s="104">
        <f t="shared" si="4"/>
        <v>2067373</v>
      </c>
      <c r="BA116" s="104">
        <f t="shared" si="5"/>
        <v>32235</v>
      </c>
      <c r="BB116" s="96">
        <f t="shared" si="6"/>
        <v>0</v>
      </c>
      <c r="BC116" s="104">
        <f t="shared" si="7"/>
        <v>73889</v>
      </c>
    </row>
    <row r="117" spans="1:55">
      <c r="A117" s="102" t="s">
        <v>172</v>
      </c>
      <c r="B117" s="24" t="s">
        <v>534</v>
      </c>
      <c r="C117" s="103" t="s">
        <v>171</v>
      </c>
      <c r="D117" s="104">
        <v>2652</v>
      </c>
      <c r="E117" s="104">
        <v>45194</v>
      </c>
      <c r="F117" s="104">
        <v>1168</v>
      </c>
      <c r="G117" s="104">
        <v>825</v>
      </c>
      <c r="H117" s="104">
        <v>0</v>
      </c>
      <c r="I117" s="104">
        <v>0</v>
      </c>
      <c r="J117" s="104">
        <v>0</v>
      </c>
      <c r="K117" s="104">
        <v>19577</v>
      </c>
      <c r="L117" s="104">
        <v>414</v>
      </c>
      <c r="M117" s="104">
        <v>0</v>
      </c>
      <c r="N117" s="104">
        <v>265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Z117" s="104">
        <v>0</v>
      </c>
      <c r="AA117" s="104">
        <v>0</v>
      </c>
      <c r="AB117" s="104">
        <v>0</v>
      </c>
      <c r="AC117" s="104">
        <v>0</v>
      </c>
      <c r="AD117" s="104">
        <v>0</v>
      </c>
      <c r="AE117" s="104">
        <v>0</v>
      </c>
      <c r="AF117" s="104">
        <v>0</v>
      </c>
      <c r="AG117" s="104">
        <v>0</v>
      </c>
      <c r="AH117" s="104">
        <v>0</v>
      </c>
      <c r="AI117" s="104">
        <v>0</v>
      </c>
      <c r="AJ117" s="104">
        <v>0</v>
      </c>
      <c r="AK117" s="104">
        <v>0</v>
      </c>
      <c r="AL117" s="104">
        <v>0</v>
      </c>
      <c r="AM117" s="104">
        <v>0</v>
      </c>
      <c r="AN117" s="104">
        <v>0</v>
      </c>
      <c r="AO117" s="104">
        <v>0</v>
      </c>
      <c r="AP117" s="104">
        <v>0</v>
      </c>
      <c r="AQ117" s="104">
        <v>0</v>
      </c>
      <c r="AR117" s="104">
        <v>0</v>
      </c>
      <c r="AS117" s="104">
        <v>0</v>
      </c>
      <c r="AT117" s="104">
        <v>0</v>
      </c>
      <c r="AU117" s="104">
        <v>0</v>
      </c>
      <c r="AV117" s="104">
        <v>0</v>
      </c>
      <c r="AW117" s="104">
        <v>0</v>
      </c>
      <c r="AX117" s="104">
        <v>0</v>
      </c>
      <c r="AZ117" s="104">
        <f t="shared" si="4"/>
        <v>64771</v>
      </c>
      <c r="BA117" s="104">
        <f t="shared" si="5"/>
        <v>1582</v>
      </c>
      <c r="BB117" s="96">
        <f t="shared" si="6"/>
        <v>0</v>
      </c>
      <c r="BC117" s="104">
        <f t="shared" si="7"/>
        <v>3742</v>
      </c>
    </row>
    <row r="118" spans="1:55">
      <c r="A118" s="102" t="s">
        <v>173</v>
      </c>
      <c r="B118" s="24" t="s">
        <v>535</v>
      </c>
      <c r="C118" s="103" t="s">
        <v>171</v>
      </c>
      <c r="D118" s="104">
        <v>0</v>
      </c>
      <c r="E118" s="104">
        <v>43564</v>
      </c>
      <c r="F118" s="104">
        <v>1006</v>
      </c>
      <c r="G118" s="104">
        <v>0</v>
      </c>
      <c r="H118" s="104">
        <v>0</v>
      </c>
      <c r="I118" s="104">
        <v>0</v>
      </c>
      <c r="J118" s="104">
        <v>0</v>
      </c>
      <c r="K118" s="104">
        <v>12952</v>
      </c>
      <c r="L118" s="104">
        <v>296</v>
      </c>
      <c r="M118" s="104">
        <v>0</v>
      </c>
      <c r="N118" s="104">
        <v>0</v>
      </c>
      <c r="O118" s="104">
        <v>0</v>
      </c>
      <c r="P118" s="104">
        <v>0</v>
      </c>
      <c r="Q118" s="104">
        <v>0</v>
      </c>
      <c r="R118" s="104">
        <v>0</v>
      </c>
      <c r="S118" s="104">
        <v>0</v>
      </c>
      <c r="T118" s="104">
        <v>0</v>
      </c>
      <c r="U118" s="104">
        <v>0</v>
      </c>
      <c r="V118" s="104">
        <v>0</v>
      </c>
      <c r="W118" s="104">
        <v>0</v>
      </c>
      <c r="X118" s="104">
        <v>44294</v>
      </c>
      <c r="Y118" s="104">
        <v>1026</v>
      </c>
      <c r="Z118" s="104">
        <v>0</v>
      </c>
      <c r="AA118" s="104">
        <v>0</v>
      </c>
      <c r="AB118" s="104">
        <v>0</v>
      </c>
      <c r="AC118" s="104">
        <v>0</v>
      </c>
      <c r="AD118" s="104">
        <v>0</v>
      </c>
      <c r="AE118" s="104">
        <v>0</v>
      </c>
      <c r="AF118" s="104">
        <v>0</v>
      </c>
      <c r="AG118" s="104">
        <v>0</v>
      </c>
      <c r="AH118" s="104">
        <v>0</v>
      </c>
      <c r="AI118" s="104">
        <v>0</v>
      </c>
      <c r="AJ118" s="104">
        <v>0</v>
      </c>
      <c r="AK118" s="104">
        <v>0</v>
      </c>
      <c r="AL118" s="104">
        <v>0</v>
      </c>
      <c r="AM118" s="104">
        <v>0</v>
      </c>
      <c r="AN118" s="104">
        <v>0</v>
      </c>
      <c r="AO118" s="104">
        <v>0</v>
      </c>
      <c r="AP118" s="104">
        <v>0</v>
      </c>
      <c r="AQ118" s="104">
        <v>0</v>
      </c>
      <c r="AR118" s="104">
        <v>0</v>
      </c>
      <c r="AS118" s="104">
        <v>0</v>
      </c>
      <c r="AT118" s="104">
        <v>0</v>
      </c>
      <c r="AU118" s="104">
        <v>0</v>
      </c>
      <c r="AV118" s="104">
        <v>0</v>
      </c>
      <c r="AW118" s="104">
        <v>0</v>
      </c>
      <c r="AX118" s="104">
        <v>61</v>
      </c>
      <c r="AZ118" s="104">
        <f t="shared" si="4"/>
        <v>100810</v>
      </c>
      <c r="BA118" s="104">
        <f t="shared" si="5"/>
        <v>2328</v>
      </c>
      <c r="BB118" s="96">
        <f t="shared" si="6"/>
        <v>0</v>
      </c>
      <c r="BC118" s="104">
        <f t="shared" si="7"/>
        <v>0</v>
      </c>
    </row>
    <row r="119" spans="1:55">
      <c r="A119" s="102" t="s">
        <v>174</v>
      </c>
      <c r="B119" s="24" t="s">
        <v>536</v>
      </c>
      <c r="C119" s="103" t="s">
        <v>175</v>
      </c>
      <c r="D119" s="104">
        <v>1141</v>
      </c>
      <c r="E119" s="104">
        <v>445535</v>
      </c>
      <c r="F119" s="104">
        <v>5003</v>
      </c>
      <c r="G119" s="104">
        <v>842</v>
      </c>
      <c r="H119" s="104">
        <v>0</v>
      </c>
      <c r="I119" s="104">
        <v>0</v>
      </c>
      <c r="J119" s="104">
        <v>0</v>
      </c>
      <c r="K119" s="104">
        <v>51267</v>
      </c>
      <c r="L119" s="104">
        <v>566</v>
      </c>
      <c r="M119" s="104">
        <v>0</v>
      </c>
      <c r="N119" s="104">
        <v>228</v>
      </c>
      <c r="O119" s="104">
        <v>0</v>
      </c>
      <c r="P119" s="104">
        <v>0</v>
      </c>
      <c r="Q119" s="104">
        <v>0</v>
      </c>
      <c r="R119" s="104">
        <v>0</v>
      </c>
      <c r="S119" s="104">
        <v>0</v>
      </c>
      <c r="T119" s="104">
        <v>0</v>
      </c>
      <c r="U119" s="104">
        <v>0</v>
      </c>
      <c r="V119" s="104">
        <v>0</v>
      </c>
      <c r="W119" s="104">
        <v>0</v>
      </c>
      <c r="X119" s="104">
        <v>306062</v>
      </c>
      <c r="Y119" s="104">
        <v>3426</v>
      </c>
      <c r="Z119" s="104">
        <v>709</v>
      </c>
      <c r="AA119" s="104">
        <v>0</v>
      </c>
      <c r="AB119" s="104">
        <v>0</v>
      </c>
      <c r="AC119" s="104">
        <v>0</v>
      </c>
      <c r="AD119" s="104">
        <v>0</v>
      </c>
      <c r="AE119" s="104">
        <v>0</v>
      </c>
      <c r="AF119" s="104">
        <v>0</v>
      </c>
      <c r="AG119" s="104">
        <v>0</v>
      </c>
      <c r="AH119" s="104">
        <v>0</v>
      </c>
      <c r="AI119" s="104">
        <v>0</v>
      </c>
      <c r="AJ119" s="104">
        <v>0</v>
      </c>
      <c r="AK119" s="104">
        <v>0</v>
      </c>
      <c r="AL119" s="104">
        <v>0</v>
      </c>
      <c r="AM119" s="104">
        <v>0</v>
      </c>
      <c r="AN119" s="104">
        <v>0</v>
      </c>
      <c r="AO119" s="104">
        <v>0</v>
      </c>
      <c r="AP119" s="104">
        <v>0</v>
      </c>
      <c r="AQ119" s="104">
        <v>0</v>
      </c>
      <c r="AR119" s="104">
        <v>0</v>
      </c>
      <c r="AS119" s="104">
        <v>92548</v>
      </c>
      <c r="AT119" s="104">
        <v>1223</v>
      </c>
      <c r="AU119" s="104">
        <v>220</v>
      </c>
      <c r="AV119" s="104">
        <v>25365</v>
      </c>
      <c r="AW119" s="104">
        <v>284</v>
      </c>
      <c r="AX119" s="104">
        <v>0</v>
      </c>
      <c r="AZ119" s="104">
        <f t="shared" si="4"/>
        <v>802864</v>
      </c>
      <c r="BA119" s="104">
        <f t="shared" si="5"/>
        <v>8995</v>
      </c>
      <c r="BB119" s="96">
        <f t="shared" si="6"/>
        <v>0</v>
      </c>
      <c r="BC119" s="104">
        <f t="shared" si="7"/>
        <v>2920</v>
      </c>
    </row>
    <row r="120" spans="1:55">
      <c r="A120" s="102" t="s">
        <v>176</v>
      </c>
      <c r="B120" s="24" t="s">
        <v>537</v>
      </c>
      <c r="C120" s="103" t="s">
        <v>175</v>
      </c>
      <c r="D120" s="104">
        <v>1757</v>
      </c>
      <c r="E120" s="104">
        <v>97906</v>
      </c>
      <c r="F120" s="104">
        <v>2398</v>
      </c>
      <c r="G120" s="104">
        <v>1044</v>
      </c>
      <c r="H120" s="104">
        <v>0</v>
      </c>
      <c r="I120" s="104">
        <v>0</v>
      </c>
      <c r="J120" s="104">
        <v>0</v>
      </c>
      <c r="K120" s="104">
        <v>32053</v>
      </c>
      <c r="L120" s="104">
        <v>784</v>
      </c>
      <c r="M120" s="104">
        <v>41479</v>
      </c>
      <c r="N120" s="104">
        <v>0</v>
      </c>
      <c r="O120" s="104">
        <v>0</v>
      </c>
      <c r="P120" s="104">
        <v>0</v>
      </c>
      <c r="Q120" s="104">
        <v>0</v>
      </c>
      <c r="R120" s="104">
        <v>0</v>
      </c>
      <c r="S120" s="104">
        <v>0</v>
      </c>
      <c r="T120" s="104">
        <v>0</v>
      </c>
      <c r="U120" s="104">
        <v>0</v>
      </c>
      <c r="V120" s="104">
        <v>0</v>
      </c>
      <c r="W120" s="104">
        <v>0</v>
      </c>
      <c r="X120" s="104">
        <v>51775</v>
      </c>
      <c r="Y120" s="104">
        <v>1286</v>
      </c>
      <c r="Z120" s="104">
        <v>457</v>
      </c>
      <c r="AA120" s="104">
        <v>0</v>
      </c>
      <c r="AB120" s="104">
        <v>0</v>
      </c>
      <c r="AC120" s="104">
        <v>0</v>
      </c>
      <c r="AD120" s="104">
        <v>0</v>
      </c>
      <c r="AE120" s="104">
        <v>0</v>
      </c>
      <c r="AF120" s="104">
        <v>0</v>
      </c>
      <c r="AG120" s="104">
        <v>0</v>
      </c>
      <c r="AH120" s="104">
        <v>0</v>
      </c>
      <c r="AI120" s="104">
        <v>0</v>
      </c>
      <c r="AJ120" s="104">
        <v>0</v>
      </c>
      <c r="AK120" s="104">
        <v>0</v>
      </c>
      <c r="AL120" s="104">
        <v>0</v>
      </c>
      <c r="AM120" s="104">
        <v>0</v>
      </c>
      <c r="AN120" s="104">
        <v>0</v>
      </c>
      <c r="AO120" s="104">
        <v>0</v>
      </c>
      <c r="AP120" s="104">
        <v>0</v>
      </c>
      <c r="AQ120" s="104">
        <v>0</v>
      </c>
      <c r="AR120" s="104">
        <v>0</v>
      </c>
      <c r="AS120" s="104">
        <v>0</v>
      </c>
      <c r="AT120" s="104">
        <v>0</v>
      </c>
      <c r="AU120" s="104">
        <v>0</v>
      </c>
      <c r="AV120" s="104">
        <v>0</v>
      </c>
      <c r="AW120" s="104">
        <v>0</v>
      </c>
      <c r="AX120" s="104">
        <v>0</v>
      </c>
      <c r="AZ120" s="104">
        <f t="shared" si="4"/>
        <v>181734</v>
      </c>
      <c r="BA120" s="104">
        <f t="shared" si="5"/>
        <v>4468</v>
      </c>
      <c r="BB120" s="96">
        <f t="shared" si="6"/>
        <v>41479</v>
      </c>
      <c r="BC120" s="104">
        <f t="shared" si="7"/>
        <v>3258</v>
      </c>
    </row>
    <row r="121" spans="1:55">
      <c r="A121" s="102" t="s">
        <v>177</v>
      </c>
      <c r="B121" s="24" t="s">
        <v>538</v>
      </c>
      <c r="C121" s="103" t="s">
        <v>175</v>
      </c>
      <c r="D121" s="104">
        <v>0</v>
      </c>
      <c r="E121" s="104">
        <v>34361</v>
      </c>
      <c r="F121" s="104">
        <v>604</v>
      </c>
      <c r="G121" s="104">
        <v>0</v>
      </c>
      <c r="H121" s="104">
        <v>0</v>
      </c>
      <c r="I121" s="104">
        <v>0</v>
      </c>
      <c r="J121" s="104">
        <v>0</v>
      </c>
      <c r="K121" s="104">
        <v>11333</v>
      </c>
      <c r="L121" s="104">
        <v>200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Z121" s="104">
        <v>0</v>
      </c>
      <c r="AA121" s="104">
        <v>0</v>
      </c>
      <c r="AB121" s="104">
        <v>0</v>
      </c>
      <c r="AC121" s="104">
        <v>0</v>
      </c>
      <c r="AD121" s="104">
        <v>0</v>
      </c>
      <c r="AE121" s="104">
        <v>0</v>
      </c>
      <c r="AF121" s="104">
        <v>0</v>
      </c>
      <c r="AG121" s="104">
        <v>0</v>
      </c>
      <c r="AH121" s="104">
        <v>0</v>
      </c>
      <c r="AI121" s="104">
        <v>0</v>
      </c>
      <c r="AJ121" s="104">
        <v>0</v>
      </c>
      <c r="AK121" s="104">
        <v>0</v>
      </c>
      <c r="AL121" s="104">
        <v>0</v>
      </c>
      <c r="AM121" s="104">
        <v>0</v>
      </c>
      <c r="AN121" s="104">
        <v>0</v>
      </c>
      <c r="AO121" s="104">
        <v>0</v>
      </c>
      <c r="AP121" s="104">
        <v>0</v>
      </c>
      <c r="AQ121" s="104">
        <v>0</v>
      </c>
      <c r="AR121" s="104">
        <v>0</v>
      </c>
      <c r="AS121" s="104">
        <v>0</v>
      </c>
      <c r="AT121" s="104">
        <v>0</v>
      </c>
      <c r="AU121" s="104">
        <v>0</v>
      </c>
      <c r="AV121" s="104">
        <v>0</v>
      </c>
      <c r="AW121" s="104">
        <v>0</v>
      </c>
      <c r="AX121" s="104">
        <v>0</v>
      </c>
      <c r="AZ121" s="104">
        <f t="shared" si="4"/>
        <v>45694</v>
      </c>
      <c r="BA121" s="104">
        <f t="shared" si="5"/>
        <v>804</v>
      </c>
      <c r="BB121" s="96">
        <f t="shared" si="6"/>
        <v>0</v>
      </c>
      <c r="BC121" s="104">
        <f t="shared" si="7"/>
        <v>0</v>
      </c>
    </row>
    <row r="122" spans="1:55">
      <c r="A122" s="102" t="s">
        <v>178</v>
      </c>
      <c r="B122" s="24" t="s">
        <v>539</v>
      </c>
      <c r="C122" s="103" t="s">
        <v>175</v>
      </c>
      <c r="D122" s="104">
        <v>0</v>
      </c>
      <c r="E122" s="104">
        <v>30259</v>
      </c>
      <c r="F122" s="104">
        <v>423</v>
      </c>
      <c r="G122" s="104">
        <v>0</v>
      </c>
      <c r="H122" s="104">
        <v>0</v>
      </c>
      <c r="I122" s="104">
        <v>0</v>
      </c>
      <c r="J122" s="104">
        <v>0</v>
      </c>
      <c r="K122" s="104">
        <v>6969</v>
      </c>
      <c r="L122" s="104">
        <v>203</v>
      </c>
      <c r="M122" s="104">
        <v>0</v>
      </c>
      <c r="N122" s="104">
        <v>0</v>
      </c>
      <c r="O122" s="104">
        <v>0</v>
      </c>
      <c r="P122" s="104">
        <v>0</v>
      </c>
      <c r="Q122" s="104">
        <v>0</v>
      </c>
      <c r="R122" s="104">
        <v>0</v>
      </c>
      <c r="S122" s="104">
        <v>0</v>
      </c>
      <c r="T122" s="104">
        <v>0</v>
      </c>
      <c r="U122" s="104">
        <v>0</v>
      </c>
      <c r="V122" s="104">
        <v>0</v>
      </c>
      <c r="W122" s="104">
        <v>0</v>
      </c>
      <c r="X122" s="104">
        <v>2428</v>
      </c>
      <c r="Y122" s="104">
        <v>27</v>
      </c>
      <c r="Z122" s="104">
        <v>0</v>
      </c>
      <c r="AA122" s="104">
        <v>0</v>
      </c>
      <c r="AB122" s="104">
        <v>0</v>
      </c>
      <c r="AC122" s="104">
        <v>0</v>
      </c>
      <c r="AD122" s="104">
        <v>0</v>
      </c>
      <c r="AE122" s="104">
        <v>0</v>
      </c>
      <c r="AF122" s="104">
        <v>0</v>
      </c>
      <c r="AG122" s="104">
        <v>0</v>
      </c>
      <c r="AH122" s="104">
        <v>0</v>
      </c>
      <c r="AI122" s="104">
        <v>0</v>
      </c>
      <c r="AJ122" s="104">
        <v>0</v>
      </c>
      <c r="AK122" s="104">
        <v>0</v>
      </c>
      <c r="AL122" s="104">
        <v>0</v>
      </c>
      <c r="AM122" s="104">
        <v>0</v>
      </c>
      <c r="AN122" s="104">
        <v>0</v>
      </c>
      <c r="AO122" s="104">
        <v>0</v>
      </c>
      <c r="AP122" s="104">
        <v>0</v>
      </c>
      <c r="AQ122" s="104">
        <v>0</v>
      </c>
      <c r="AR122" s="104">
        <v>0</v>
      </c>
      <c r="AS122" s="104">
        <v>3481</v>
      </c>
      <c r="AT122" s="104">
        <v>102</v>
      </c>
      <c r="AU122" s="104">
        <v>0</v>
      </c>
      <c r="AV122" s="104">
        <v>0</v>
      </c>
      <c r="AW122" s="104">
        <v>0</v>
      </c>
      <c r="AX122" s="104">
        <v>0</v>
      </c>
      <c r="AZ122" s="104">
        <f t="shared" si="4"/>
        <v>39656</v>
      </c>
      <c r="BA122" s="104">
        <f t="shared" si="5"/>
        <v>653</v>
      </c>
      <c r="BB122" s="96">
        <f t="shared" si="6"/>
        <v>0</v>
      </c>
      <c r="BC122" s="104">
        <f t="shared" si="7"/>
        <v>0</v>
      </c>
    </row>
    <row r="123" spans="1:55">
      <c r="A123" s="102" t="s">
        <v>179</v>
      </c>
      <c r="B123" s="24" t="s">
        <v>540</v>
      </c>
      <c r="C123" s="103" t="s">
        <v>175</v>
      </c>
      <c r="D123" s="104">
        <v>0</v>
      </c>
      <c r="E123" s="104">
        <v>81515</v>
      </c>
      <c r="F123" s="104">
        <v>1615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52973</v>
      </c>
      <c r="Y123" s="104">
        <v>1041</v>
      </c>
      <c r="Z123" s="104">
        <v>0</v>
      </c>
      <c r="AA123" s="104">
        <v>0</v>
      </c>
      <c r="AB123" s="104">
        <v>0</v>
      </c>
      <c r="AC123" s="104">
        <v>0</v>
      </c>
      <c r="AD123" s="104">
        <v>0</v>
      </c>
      <c r="AE123" s="104">
        <v>0</v>
      </c>
      <c r="AF123" s="104">
        <v>0</v>
      </c>
      <c r="AG123" s="104">
        <v>0</v>
      </c>
      <c r="AH123" s="104">
        <v>0</v>
      </c>
      <c r="AI123" s="104">
        <v>0</v>
      </c>
      <c r="AJ123" s="104">
        <v>0</v>
      </c>
      <c r="AK123" s="104">
        <v>0</v>
      </c>
      <c r="AL123" s="104">
        <v>0</v>
      </c>
      <c r="AM123" s="104">
        <v>0</v>
      </c>
      <c r="AN123" s="104">
        <v>0</v>
      </c>
      <c r="AO123" s="104">
        <v>0</v>
      </c>
      <c r="AP123" s="104">
        <v>0</v>
      </c>
      <c r="AQ123" s="104">
        <v>0</v>
      </c>
      <c r="AR123" s="104">
        <v>0</v>
      </c>
      <c r="AS123" s="104">
        <v>0</v>
      </c>
      <c r="AT123" s="104">
        <v>0</v>
      </c>
      <c r="AU123" s="104">
        <v>0</v>
      </c>
      <c r="AV123" s="104">
        <v>0</v>
      </c>
      <c r="AW123" s="104">
        <v>0</v>
      </c>
      <c r="AX123" s="104">
        <v>0</v>
      </c>
      <c r="AZ123" s="104">
        <f t="shared" si="4"/>
        <v>134488</v>
      </c>
      <c r="BA123" s="104">
        <f t="shared" si="5"/>
        <v>2656</v>
      </c>
      <c r="BB123" s="96">
        <f t="shared" si="6"/>
        <v>0</v>
      </c>
      <c r="BC123" s="104">
        <f t="shared" si="7"/>
        <v>0</v>
      </c>
    </row>
    <row r="124" spans="1:55">
      <c r="A124" s="102" t="s">
        <v>180</v>
      </c>
      <c r="B124" s="24" t="s">
        <v>541</v>
      </c>
      <c r="C124" s="103" t="s">
        <v>175</v>
      </c>
      <c r="D124" s="104">
        <v>5161</v>
      </c>
      <c r="E124" s="104">
        <v>213863</v>
      </c>
      <c r="F124" s="104">
        <v>3627</v>
      </c>
      <c r="G124" s="104">
        <v>247</v>
      </c>
      <c r="H124" s="104">
        <v>0</v>
      </c>
      <c r="I124" s="104">
        <v>0</v>
      </c>
      <c r="J124" s="104">
        <v>0</v>
      </c>
      <c r="K124" s="104">
        <v>61365</v>
      </c>
      <c r="L124" s="104">
        <v>1077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199471</v>
      </c>
      <c r="Y124" s="104">
        <v>3514</v>
      </c>
      <c r="Z124" s="104">
        <v>3446</v>
      </c>
      <c r="AA124" s="104">
        <v>0</v>
      </c>
      <c r="AB124" s="104">
        <v>0</v>
      </c>
      <c r="AC124" s="104">
        <v>0</v>
      </c>
      <c r="AD124" s="104">
        <v>0</v>
      </c>
      <c r="AE124" s="104">
        <v>0</v>
      </c>
      <c r="AF124" s="104">
        <v>0</v>
      </c>
      <c r="AG124" s="104">
        <v>0</v>
      </c>
      <c r="AH124" s="104">
        <v>0</v>
      </c>
      <c r="AI124" s="104">
        <v>0</v>
      </c>
      <c r="AJ124" s="104">
        <v>0</v>
      </c>
      <c r="AK124" s="104">
        <v>0</v>
      </c>
      <c r="AL124" s="104">
        <v>0</v>
      </c>
      <c r="AM124" s="104">
        <v>0</v>
      </c>
      <c r="AN124" s="104">
        <v>0</v>
      </c>
      <c r="AO124" s="104">
        <v>0</v>
      </c>
      <c r="AP124" s="104">
        <v>0</v>
      </c>
      <c r="AQ124" s="104">
        <v>0</v>
      </c>
      <c r="AR124" s="104">
        <v>0</v>
      </c>
      <c r="AS124" s="104">
        <v>0</v>
      </c>
      <c r="AT124" s="104">
        <v>0</v>
      </c>
      <c r="AU124" s="104">
        <v>0</v>
      </c>
      <c r="AV124" s="104">
        <v>0</v>
      </c>
      <c r="AW124" s="104">
        <v>0</v>
      </c>
      <c r="AX124" s="104">
        <v>0</v>
      </c>
      <c r="AZ124" s="104">
        <f t="shared" si="4"/>
        <v>474699</v>
      </c>
      <c r="BA124" s="104">
        <f t="shared" si="5"/>
        <v>8218</v>
      </c>
      <c r="BB124" s="96">
        <f t="shared" si="6"/>
        <v>0</v>
      </c>
      <c r="BC124" s="104">
        <f t="shared" si="7"/>
        <v>8854</v>
      </c>
    </row>
    <row r="125" spans="1:55">
      <c r="A125" s="102" t="s">
        <v>181</v>
      </c>
      <c r="B125" s="24" t="s">
        <v>542</v>
      </c>
      <c r="C125" s="103" t="s">
        <v>182</v>
      </c>
      <c r="D125" s="104">
        <v>0</v>
      </c>
      <c r="E125" s="104">
        <v>12013</v>
      </c>
      <c r="F125" s="104">
        <v>163</v>
      </c>
      <c r="G125" s="104">
        <v>0</v>
      </c>
      <c r="H125" s="104">
        <v>0</v>
      </c>
      <c r="I125" s="104">
        <v>0</v>
      </c>
      <c r="J125" s="104">
        <v>0</v>
      </c>
      <c r="K125" s="104">
        <v>4359</v>
      </c>
      <c r="L125" s="104">
        <v>57</v>
      </c>
      <c r="M125" s="104">
        <v>0</v>
      </c>
      <c r="N125" s="104">
        <v>0</v>
      </c>
      <c r="O125" s="104">
        <v>0</v>
      </c>
      <c r="P125" s="104">
        <v>0</v>
      </c>
      <c r="Q125" s="104">
        <v>0</v>
      </c>
      <c r="R125" s="104">
        <v>0</v>
      </c>
      <c r="S125" s="104">
        <v>0</v>
      </c>
      <c r="T125" s="104">
        <v>0</v>
      </c>
      <c r="U125" s="104">
        <v>0</v>
      </c>
      <c r="V125" s="104">
        <v>0</v>
      </c>
      <c r="W125" s="104">
        <v>0</v>
      </c>
      <c r="X125" s="104">
        <v>0</v>
      </c>
      <c r="Y125" s="104">
        <v>0</v>
      </c>
      <c r="Z125" s="104">
        <v>0</v>
      </c>
      <c r="AA125" s="104">
        <v>0</v>
      </c>
      <c r="AB125" s="104">
        <v>0</v>
      </c>
      <c r="AC125" s="104">
        <v>0</v>
      </c>
      <c r="AD125" s="104">
        <v>0</v>
      </c>
      <c r="AE125" s="104">
        <v>0</v>
      </c>
      <c r="AF125" s="104">
        <v>0</v>
      </c>
      <c r="AG125" s="104">
        <v>0</v>
      </c>
      <c r="AH125" s="104">
        <v>0</v>
      </c>
      <c r="AI125" s="104">
        <v>0</v>
      </c>
      <c r="AJ125" s="104">
        <v>0</v>
      </c>
      <c r="AK125" s="104">
        <v>0</v>
      </c>
      <c r="AL125" s="104">
        <v>0</v>
      </c>
      <c r="AM125" s="104">
        <v>0</v>
      </c>
      <c r="AN125" s="104">
        <v>0</v>
      </c>
      <c r="AO125" s="104">
        <v>0</v>
      </c>
      <c r="AP125" s="104">
        <v>0</v>
      </c>
      <c r="AQ125" s="104">
        <v>0</v>
      </c>
      <c r="AR125" s="104">
        <v>0</v>
      </c>
      <c r="AS125" s="104">
        <v>1091</v>
      </c>
      <c r="AT125" s="104">
        <v>14</v>
      </c>
      <c r="AU125" s="104">
        <v>0</v>
      </c>
      <c r="AV125" s="104">
        <v>0</v>
      </c>
      <c r="AW125" s="104">
        <v>0</v>
      </c>
      <c r="AX125" s="104">
        <v>0</v>
      </c>
      <c r="AZ125" s="104">
        <f t="shared" si="4"/>
        <v>16372</v>
      </c>
      <c r="BA125" s="104">
        <f t="shared" si="5"/>
        <v>220</v>
      </c>
      <c r="BB125" s="96">
        <f t="shared" si="6"/>
        <v>0</v>
      </c>
      <c r="BC125" s="104">
        <f t="shared" si="7"/>
        <v>0</v>
      </c>
    </row>
    <row r="126" spans="1:55">
      <c r="A126" s="102" t="s">
        <v>183</v>
      </c>
      <c r="B126" s="24" t="s">
        <v>543</v>
      </c>
      <c r="C126" s="103" t="s">
        <v>182</v>
      </c>
      <c r="D126" s="104">
        <v>0</v>
      </c>
      <c r="E126" s="104">
        <v>98851</v>
      </c>
      <c r="F126" s="104">
        <v>5127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60300</v>
      </c>
      <c r="Y126" s="104">
        <v>935</v>
      </c>
      <c r="Z126" s="104">
        <v>0</v>
      </c>
      <c r="AA126" s="104">
        <v>0</v>
      </c>
      <c r="AB126" s="104">
        <v>0</v>
      </c>
      <c r="AC126" s="104">
        <v>0</v>
      </c>
      <c r="AD126" s="104">
        <v>0</v>
      </c>
      <c r="AE126" s="104">
        <v>0</v>
      </c>
      <c r="AF126" s="104">
        <v>0</v>
      </c>
      <c r="AG126" s="104">
        <v>0</v>
      </c>
      <c r="AH126" s="104">
        <v>0</v>
      </c>
      <c r="AI126" s="104">
        <v>0</v>
      </c>
      <c r="AJ126" s="104">
        <v>0</v>
      </c>
      <c r="AK126" s="104">
        <v>0</v>
      </c>
      <c r="AL126" s="104">
        <v>0</v>
      </c>
      <c r="AM126" s="104">
        <v>0</v>
      </c>
      <c r="AN126" s="104">
        <v>0</v>
      </c>
      <c r="AO126" s="104">
        <v>0</v>
      </c>
      <c r="AP126" s="104">
        <v>0</v>
      </c>
      <c r="AQ126" s="104">
        <v>0</v>
      </c>
      <c r="AR126" s="104">
        <v>0</v>
      </c>
      <c r="AS126" s="104">
        <v>0</v>
      </c>
      <c r="AT126" s="104">
        <v>0</v>
      </c>
      <c r="AU126" s="104">
        <v>0</v>
      </c>
      <c r="AV126" s="104">
        <v>0</v>
      </c>
      <c r="AW126" s="104">
        <v>0</v>
      </c>
      <c r="AX126" s="104">
        <v>0</v>
      </c>
      <c r="AZ126" s="104">
        <f t="shared" si="4"/>
        <v>159151</v>
      </c>
      <c r="BA126" s="104">
        <f t="shared" si="5"/>
        <v>6062</v>
      </c>
      <c r="BB126" s="96">
        <f t="shared" si="6"/>
        <v>0</v>
      </c>
      <c r="BC126" s="104">
        <f t="shared" si="7"/>
        <v>0</v>
      </c>
    </row>
    <row r="127" spans="1:55">
      <c r="A127" s="102" t="s">
        <v>184</v>
      </c>
      <c r="B127" s="24" t="s">
        <v>544</v>
      </c>
      <c r="C127" s="103" t="s">
        <v>182</v>
      </c>
      <c r="D127" s="104">
        <v>0</v>
      </c>
      <c r="E127" s="104">
        <v>7111</v>
      </c>
      <c r="F127" s="104">
        <v>97</v>
      </c>
      <c r="G127" s="104">
        <v>0</v>
      </c>
      <c r="H127" s="104">
        <v>0</v>
      </c>
      <c r="I127" s="104">
        <v>0</v>
      </c>
      <c r="J127" s="104">
        <v>0</v>
      </c>
      <c r="K127" s="104">
        <v>4050</v>
      </c>
      <c r="L127" s="104">
        <v>53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6290</v>
      </c>
      <c r="Y127" s="104">
        <v>84</v>
      </c>
      <c r="Z127" s="104">
        <v>0</v>
      </c>
      <c r="AA127" s="104">
        <v>0</v>
      </c>
      <c r="AB127" s="104">
        <v>0</v>
      </c>
      <c r="AC127" s="104">
        <v>0</v>
      </c>
      <c r="AD127" s="104">
        <v>0</v>
      </c>
      <c r="AE127" s="104">
        <v>0</v>
      </c>
      <c r="AF127" s="104">
        <v>0</v>
      </c>
      <c r="AG127" s="104">
        <v>0</v>
      </c>
      <c r="AH127" s="104">
        <v>0</v>
      </c>
      <c r="AI127" s="104">
        <v>0</v>
      </c>
      <c r="AJ127" s="104">
        <v>0</v>
      </c>
      <c r="AK127" s="104">
        <v>0</v>
      </c>
      <c r="AL127" s="104">
        <v>0</v>
      </c>
      <c r="AM127" s="104">
        <v>0</v>
      </c>
      <c r="AN127" s="104">
        <v>0</v>
      </c>
      <c r="AO127" s="104">
        <v>0</v>
      </c>
      <c r="AP127" s="104">
        <v>0</v>
      </c>
      <c r="AQ127" s="104">
        <v>0</v>
      </c>
      <c r="AR127" s="104">
        <v>0</v>
      </c>
      <c r="AS127" s="104">
        <v>0</v>
      </c>
      <c r="AT127" s="104">
        <v>0</v>
      </c>
      <c r="AU127" s="104">
        <v>0</v>
      </c>
      <c r="AV127" s="104">
        <v>0</v>
      </c>
      <c r="AW127" s="104">
        <v>0</v>
      </c>
      <c r="AX127" s="104">
        <v>0</v>
      </c>
      <c r="AZ127" s="104">
        <f t="shared" si="4"/>
        <v>17451</v>
      </c>
      <c r="BA127" s="104">
        <f t="shared" si="5"/>
        <v>234</v>
      </c>
      <c r="BB127" s="96">
        <f t="shared" si="6"/>
        <v>0</v>
      </c>
      <c r="BC127" s="104">
        <f t="shared" si="7"/>
        <v>0</v>
      </c>
    </row>
    <row r="128" spans="1:55">
      <c r="A128" s="102" t="s">
        <v>185</v>
      </c>
      <c r="B128" s="24" t="s">
        <v>545</v>
      </c>
      <c r="C128" s="103" t="s">
        <v>186</v>
      </c>
      <c r="D128" s="104">
        <v>3650</v>
      </c>
      <c r="E128" s="104">
        <v>71259</v>
      </c>
      <c r="F128" s="104">
        <v>1909</v>
      </c>
      <c r="G128" s="104">
        <v>122</v>
      </c>
      <c r="H128" s="104">
        <v>0</v>
      </c>
      <c r="I128" s="104">
        <v>0</v>
      </c>
      <c r="J128" s="104">
        <v>0</v>
      </c>
      <c r="K128" s="104">
        <v>24792</v>
      </c>
      <c r="L128" s="104">
        <v>679</v>
      </c>
      <c r="M128" s="104">
        <v>475</v>
      </c>
      <c r="N128" s="104">
        <v>40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0</v>
      </c>
      <c r="Y128" s="104">
        <v>0</v>
      </c>
      <c r="Z128" s="104">
        <v>0</v>
      </c>
      <c r="AA128" s="104">
        <v>138121</v>
      </c>
      <c r="AB128" s="104">
        <v>3796</v>
      </c>
      <c r="AC128" s="104">
        <v>203</v>
      </c>
      <c r="AD128" s="104">
        <v>0</v>
      </c>
      <c r="AE128" s="104">
        <v>0</v>
      </c>
      <c r="AF128" s="104">
        <v>0</v>
      </c>
      <c r="AG128" s="104">
        <v>0</v>
      </c>
      <c r="AH128" s="104">
        <v>0</v>
      </c>
      <c r="AI128" s="104">
        <v>0</v>
      </c>
      <c r="AJ128" s="104">
        <v>0</v>
      </c>
      <c r="AK128" s="104">
        <v>0</v>
      </c>
      <c r="AL128" s="104">
        <v>0</v>
      </c>
      <c r="AM128" s="104">
        <v>0</v>
      </c>
      <c r="AN128" s="104">
        <v>0</v>
      </c>
      <c r="AO128" s="104">
        <v>0</v>
      </c>
      <c r="AP128" s="104">
        <v>0</v>
      </c>
      <c r="AQ128" s="104">
        <v>0</v>
      </c>
      <c r="AR128" s="104">
        <v>0</v>
      </c>
      <c r="AS128" s="104">
        <v>0</v>
      </c>
      <c r="AT128" s="104">
        <v>0</v>
      </c>
      <c r="AU128" s="104">
        <v>0</v>
      </c>
      <c r="AV128" s="104">
        <v>0</v>
      </c>
      <c r="AW128" s="104">
        <v>0</v>
      </c>
      <c r="AX128" s="104">
        <v>0</v>
      </c>
      <c r="AZ128" s="104">
        <f t="shared" si="4"/>
        <v>234172</v>
      </c>
      <c r="BA128" s="104">
        <f t="shared" si="5"/>
        <v>6384</v>
      </c>
      <c r="BB128" s="96">
        <f t="shared" si="6"/>
        <v>475</v>
      </c>
      <c r="BC128" s="104">
        <f t="shared" si="7"/>
        <v>4015</v>
      </c>
    </row>
    <row r="129" spans="1:55">
      <c r="A129" s="102" t="s">
        <v>187</v>
      </c>
      <c r="B129" s="24" t="s">
        <v>546</v>
      </c>
      <c r="C129" s="103" t="s">
        <v>186</v>
      </c>
      <c r="D129" s="104">
        <v>0</v>
      </c>
      <c r="E129" s="104">
        <v>46253</v>
      </c>
      <c r="F129" s="104">
        <v>673</v>
      </c>
      <c r="G129" s="104">
        <v>0</v>
      </c>
      <c r="H129" s="104">
        <v>0</v>
      </c>
      <c r="I129" s="104">
        <v>0</v>
      </c>
      <c r="J129" s="104">
        <v>0</v>
      </c>
      <c r="K129" s="104">
        <v>31464</v>
      </c>
      <c r="L129" s="104">
        <v>453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Z129" s="104">
        <v>0</v>
      </c>
      <c r="AA129" s="104">
        <v>0</v>
      </c>
      <c r="AB129" s="104">
        <v>0</v>
      </c>
      <c r="AC129" s="104">
        <v>0</v>
      </c>
      <c r="AD129" s="104">
        <v>0</v>
      </c>
      <c r="AE129" s="104">
        <v>0</v>
      </c>
      <c r="AF129" s="104">
        <v>0</v>
      </c>
      <c r="AG129" s="104">
        <v>0</v>
      </c>
      <c r="AH129" s="104">
        <v>0</v>
      </c>
      <c r="AI129" s="104">
        <v>0</v>
      </c>
      <c r="AJ129" s="104">
        <v>0</v>
      </c>
      <c r="AK129" s="104">
        <v>0</v>
      </c>
      <c r="AL129" s="104">
        <v>0</v>
      </c>
      <c r="AM129" s="104">
        <v>0</v>
      </c>
      <c r="AN129" s="104">
        <v>0</v>
      </c>
      <c r="AO129" s="104">
        <v>0</v>
      </c>
      <c r="AP129" s="104">
        <v>0</v>
      </c>
      <c r="AQ129" s="104">
        <v>0</v>
      </c>
      <c r="AR129" s="104">
        <v>0</v>
      </c>
      <c r="AS129" s="104">
        <v>0</v>
      </c>
      <c r="AT129" s="104">
        <v>0</v>
      </c>
      <c r="AU129" s="104">
        <v>0</v>
      </c>
      <c r="AV129" s="104">
        <v>0</v>
      </c>
      <c r="AW129" s="104">
        <v>0</v>
      </c>
      <c r="AX129" s="104">
        <v>0</v>
      </c>
      <c r="AZ129" s="104">
        <f t="shared" si="4"/>
        <v>77717</v>
      </c>
      <c r="BA129" s="104">
        <f t="shared" si="5"/>
        <v>1126</v>
      </c>
      <c r="BB129" s="96">
        <f t="shared" si="6"/>
        <v>0</v>
      </c>
      <c r="BC129" s="104">
        <f t="shared" si="7"/>
        <v>0</v>
      </c>
    </row>
    <row r="130" spans="1:55">
      <c r="A130" s="102" t="s">
        <v>188</v>
      </c>
      <c r="B130" s="24" t="s">
        <v>547</v>
      </c>
      <c r="C130" s="103" t="s">
        <v>186</v>
      </c>
      <c r="D130" s="104">
        <v>0</v>
      </c>
      <c r="E130" s="104">
        <v>18428</v>
      </c>
      <c r="F130" s="104">
        <v>589</v>
      </c>
      <c r="G130" s="104">
        <v>0</v>
      </c>
      <c r="H130" s="104">
        <v>0</v>
      </c>
      <c r="I130" s="104">
        <v>0</v>
      </c>
      <c r="J130" s="104">
        <v>0</v>
      </c>
      <c r="K130" s="104">
        <v>7751</v>
      </c>
      <c r="L130" s="104">
        <v>245</v>
      </c>
      <c r="M130" s="104">
        <v>27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21426</v>
      </c>
      <c r="Y130" s="104">
        <v>677</v>
      </c>
      <c r="Z130" s="104">
        <v>0</v>
      </c>
      <c r="AA130" s="104">
        <v>0</v>
      </c>
      <c r="AB130" s="104">
        <v>0</v>
      </c>
      <c r="AC130" s="104">
        <v>0</v>
      </c>
      <c r="AD130" s="104">
        <v>0</v>
      </c>
      <c r="AE130" s="104">
        <v>0</v>
      </c>
      <c r="AF130" s="104">
        <v>0</v>
      </c>
      <c r="AG130" s="104">
        <v>0</v>
      </c>
      <c r="AH130" s="104">
        <v>0</v>
      </c>
      <c r="AI130" s="104">
        <v>0</v>
      </c>
      <c r="AJ130" s="104">
        <v>0</v>
      </c>
      <c r="AK130" s="104">
        <v>0</v>
      </c>
      <c r="AL130" s="104">
        <v>0</v>
      </c>
      <c r="AM130" s="104">
        <v>0</v>
      </c>
      <c r="AN130" s="104">
        <v>0</v>
      </c>
      <c r="AO130" s="104">
        <v>0</v>
      </c>
      <c r="AP130" s="104">
        <v>0</v>
      </c>
      <c r="AQ130" s="104">
        <v>0</v>
      </c>
      <c r="AR130" s="104">
        <v>0</v>
      </c>
      <c r="AS130" s="104">
        <v>0</v>
      </c>
      <c r="AT130" s="104">
        <v>0</v>
      </c>
      <c r="AU130" s="104">
        <v>0</v>
      </c>
      <c r="AV130" s="104">
        <v>0</v>
      </c>
      <c r="AW130" s="104">
        <v>0</v>
      </c>
      <c r="AX130" s="104">
        <v>0</v>
      </c>
      <c r="AZ130" s="104">
        <f t="shared" si="4"/>
        <v>47605</v>
      </c>
      <c r="BA130" s="104">
        <f t="shared" si="5"/>
        <v>1511</v>
      </c>
      <c r="BB130" s="96">
        <f t="shared" si="6"/>
        <v>27</v>
      </c>
      <c r="BC130" s="104">
        <f t="shared" si="7"/>
        <v>0</v>
      </c>
    </row>
    <row r="131" spans="1:55">
      <c r="A131" s="102" t="s">
        <v>189</v>
      </c>
      <c r="B131" s="24" t="s">
        <v>548</v>
      </c>
      <c r="C131" s="103" t="s">
        <v>186</v>
      </c>
      <c r="D131" s="104">
        <v>0</v>
      </c>
      <c r="E131" s="104">
        <v>39564</v>
      </c>
      <c r="F131" s="104">
        <v>1290</v>
      </c>
      <c r="G131" s="104">
        <v>0</v>
      </c>
      <c r="H131" s="104">
        <v>0</v>
      </c>
      <c r="I131" s="104">
        <v>0</v>
      </c>
      <c r="J131" s="104">
        <v>0</v>
      </c>
      <c r="K131" s="104">
        <v>16701</v>
      </c>
      <c r="L131" s="104">
        <v>1006</v>
      </c>
      <c r="M131" s="104">
        <v>4</v>
      </c>
      <c r="N131" s="104">
        <v>0</v>
      </c>
      <c r="O131" s="104">
        <v>0</v>
      </c>
      <c r="P131" s="104">
        <v>0</v>
      </c>
      <c r="Q131" s="104">
        <v>0</v>
      </c>
      <c r="R131" s="104">
        <v>0</v>
      </c>
      <c r="S131" s="104">
        <v>0</v>
      </c>
      <c r="T131" s="104">
        <v>0</v>
      </c>
      <c r="U131" s="104">
        <v>0</v>
      </c>
      <c r="V131" s="104">
        <v>0</v>
      </c>
      <c r="W131" s="104">
        <v>0</v>
      </c>
      <c r="X131" s="104">
        <v>54398</v>
      </c>
      <c r="Y131" s="104">
        <v>3340</v>
      </c>
      <c r="Z131" s="104">
        <v>0</v>
      </c>
      <c r="AA131" s="104">
        <v>0</v>
      </c>
      <c r="AB131" s="104">
        <v>0</v>
      </c>
      <c r="AC131" s="104">
        <v>0</v>
      </c>
      <c r="AD131" s="104">
        <v>0</v>
      </c>
      <c r="AE131" s="104">
        <v>0</v>
      </c>
      <c r="AF131" s="104">
        <v>0</v>
      </c>
      <c r="AG131" s="104">
        <v>0</v>
      </c>
      <c r="AH131" s="104">
        <v>0</v>
      </c>
      <c r="AI131" s="104">
        <v>0</v>
      </c>
      <c r="AJ131" s="104">
        <v>0</v>
      </c>
      <c r="AK131" s="104">
        <v>0</v>
      </c>
      <c r="AL131" s="104">
        <v>0</v>
      </c>
      <c r="AM131" s="104">
        <v>0</v>
      </c>
      <c r="AN131" s="104">
        <v>0</v>
      </c>
      <c r="AO131" s="104">
        <v>0</v>
      </c>
      <c r="AP131" s="104">
        <v>0</v>
      </c>
      <c r="AQ131" s="104">
        <v>0</v>
      </c>
      <c r="AR131" s="104">
        <v>0</v>
      </c>
      <c r="AS131" s="104">
        <v>0</v>
      </c>
      <c r="AT131" s="104">
        <v>0</v>
      </c>
      <c r="AU131" s="104">
        <v>0</v>
      </c>
      <c r="AV131" s="104">
        <v>0</v>
      </c>
      <c r="AW131" s="104">
        <v>0</v>
      </c>
      <c r="AX131" s="104">
        <v>0</v>
      </c>
      <c r="AZ131" s="104">
        <f t="shared" si="4"/>
        <v>110663</v>
      </c>
      <c r="BA131" s="104">
        <f t="shared" si="5"/>
        <v>5636</v>
      </c>
      <c r="BB131" s="96">
        <f t="shared" si="6"/>
        <v>4</v>
      </c>
      <c r="BC131" s="104">
        <f t="shared" si="7"/>
        <v>0</v>
      </c>
    </row>
    <row r="132" spans="1:55">
      <c r="A132" s="102" t="s">
        <v>190</v>
      </c>
      <c r="B132" s="24" t="s">
        <v>549</v>
      </c>
      <c r="C132" s="103" t="s">
        <v>32</v>
      </c>
      <c r="D132" s="104">
        <v>0</v>
      </c>
      <c r="E132" s="104">
        <v>12219</v>
      </c>
      <c r="F132" s="104">
        <v>263</v>
      </c>
      <c r="G132" s="104">
        <v>0</v>
      </c>
      <c r="H132" s="104">
        <v>0</v>
      </c>
      <c r="I132" s="104">
        <v>0</v>
      </c>
      <c r="J132" s="104">
        <v>0</v>
      </c>
      <c r="K132" s="104">
        <v>4119</v>
      </c>
      <c r="L132" s="104">
        <v>86</v>
      </c>
      <c r="M132" s="104">
        <v>0</v>
      </c>
      <c r="N132" s="104">
        <v>0</v>
      </c>
      <c r="O132" s="104">
        <v>0</v>
      </c>
      <c r="P132" s="104">
        <v>0</v>
      </c>
      <c r="Q132" s="104">
        <v>0</v>
      </c>
      <c r="R132" s="104">
        <v>0</v>
      </c>
      <c r="S132" s="104">
        <v>0</v>
      </c>
      <c r="T132" s="104">
        <v>0</v>
      </c>
      <c r="U132" s="104">
        <v>0</v>
      </c>
      <c r="V132" s="104">
        <v>0</v>
      </c>
      <c r="W132" s="104">
        <v>0</v>
      </c>
      <c r="X132" s="104">
        <v>0</v>
      </c>
      <c r="Y132" s="104">
        <v>0</v>
      </c>
      <c r="Z132" s="104">
        <v>0</v>
      </c>
      <c r="AA132" s="104">
        <v>0</v>
      </c>
      <c r="AB132" s="104">
        <v>0</v>
      </c>
      <c r="AC132" s="104">
        <v>0</v>
      </c>
      <c r="AD132" s="104">
        <v>0</v>
      </c>
      <c r="AE132" s="104">
        <v>0</v>
      </c>
      <c r="AF132" s="104">
        <v>0</v>
      </c>
      <c r="AG132" s="104">
        <v>0</v>
      </c>
      <c r="AH132" s="104">
        <v>0</v>
      </c>
      <c r="AI132" s="104">
        <v>0</v>
      </c>
      <c r="AJ132" s="104">
        <v>0</v>
      </c>
      <c r="AK132" s="104">
        <v>0</v>
      </c>
      <c r="AL132" s="104">
        <v>0</v>
      </c>
      <c r="AM132" s="104">
        <v>0</v>
      </c>
      <c r="AN132" s="104">
        <v>0</v>
      </c>
      <c r="AO132" s="104">
        <v>0</v>
      </c>
      <c r="AP132" s="104">
        <v>0</v>
      </c>
      <c r="AQ132" s="104">
        <v>0</v>
      </c>
      <c r="AR132" s="104">
        <v>0</v>
      </c>
      <c r="AS132" s="104">
        <v>0</v>
      </c>
      <c r="AT132" s="104">
        <v>0</v>
      </c>
      <c r="AU132" s="104">
        <v>0</v>
      </c>
      <c r="AV132" s="104">
        <v>0</v>
      </c>
      <c r="AW132" s="104">
        <v>0</v>
      </c>
      <c r="AX132" s="104">
        <v>0</v>
      </c>
      <c r="AZ132" s="104">
        <f t="shared" si="4"/>
        <v>16338</v>
      </c>
      <c r="BA132" s="104">
        <f t="shared" si="5"/>
        <v>349</v>
      </c>
      <c r="BB132" s="96">
        <f t="shared" si="6"/>
        <v>0</v>
      </c>
      <c r="BC132" s="104">
        <f t="shared" si="7"/>
        <v>0</v>
      </c>
    </row>
    <row r="133" spans="1:55">
      <c r="A133" s="102" t="s">
        <v>191</v>
      </c>
      <c r="B133" s="24" t="s">
        <v>550</v>
      </c>
      <c r="C133" s="103" t="s">
        <v>32</v>
      </c>
      <c r="D133" s="104">
        <v>0</v>
      </c>
      <c r="E133" s="104">
        <v>82581</v>
      </c>
      <c r="F133" s="104">
        <v>1667</v>
      </c>
      <c r="G133" s="104">
        <v>0</v>
      </c>
      <c r="H133" s="104">
        <v>0</v>
      </c>
      <c r="I133" s="104">
        <v>0</v>
      </c>
      <c r="J133" s="104">
        <v>0</v>
      </c>
      <c r="K133" s="104">
        <v>12773</v>
      </c>
      <c r="L133" s="104">
        <v>288</v>
      </c>
      <c r="M133" s="104">
        <v>0</v>
      </c>
      <c r="N133" s="104">
        <v>0</v>
      </c>
      <c r="O133" s="104">
        <v>0</v>
      </c>
      <c r="P133" s="104">
        <v>0</v>
      </c>
      <c r="Q133" s="104">
        <v>0</v>
      </c>
      <c r="R133" s="104">
        <v>0</v>
      </c>
      <c r="S133" s="104">
        <v>0</v>
      </c>
      <c r="T133" s="104">
        <v>0</v>
      </c>
      <c r="U133" s="104">
        <v>0</v>
      </c>
      <c r="V133" s="104">
        <v>0</v>
      </c>
      <c r="W133" s="104">
        <v>0</v>
      </c>
      <c r="X133" s="104">
        <v>21863</v>
      </c>
      <c r="Y133" s="104">
        <v>489</v>
      </c>
      <c r="Z133" s="104">
        <v>0</v>
      </c>
      <c r="AA133" s="104">
        <v>0</v>
      </c>
      <c r="AB133" s="104">
        <v>0</v>
      </c>
      <c r="AC133" s="104">
        <v>0</v>
      </c>
      <c r="AD133" s="104">
        <v>0</v>
      </c>
      <c r="AE133" s="104">
        <v>0</v>
      </c>
      <c r="AF133" s="104">
        <v>0</v>
      </c>
      <c r="AG133" s="104">
        <v>0</v>
      </c>
      <c r="AH133" s="104">
        <v>0</v>
      </c>
      <c r="AI133" s="104">
        <v>0</v>
      </c>
      <c r="AJ133" s="104">
        <v>0</v>
      </c>
      <c r="AK133" s="104">
        <v>0</v>
      </c>
      <c r="AL133" s="104">
        <v>0</v>
      </c>
      <c r="AM133" s="104">
        <v>0</v>
      </c>
      <c r="AN133" s="104">
        <v>0</v>
      </c>
      <c r="AO133" s="104">
        <v>0</v>
      </c>
      <c r="AP133" s="104">
        <v>0</v>
      </c>
      <c r="AQ133" s="104">
        <v>0</v>
      </c>
      <c r="AR133" s="104">
        <v>0</v>
      </c>
      <c r="AS133" s="104">
        <v>0</v>
      </c>
      <c r="AT133" s="104">
        <v>0</v>
      </c>
      <c r="AU133" s="104">
        <v>0</v>
      </c>
      <c r="AV133" s="104">
        <v>0</v>
      </c>
      <c r="AW133" s="104">
        <v>0</v>
      </c>
      <c r="AX133" s="104">
        <v>0</v>
      </c>
      <c r="AZ133" s="104">
        <f t="shared" si="4"/>
        <v>117217</v>
      </c>
      <c r="BA133" s="104">
        <f t="shared" si="5"/>
        <v>2444</v>
      </c>
      <c r="BB133" s="96">
        <f t="shared" si="6"/>
        <v>0</v>
      </c>
      <c r="BC133" s="104">
        <f t="shared" si="7"/>
        <v>0</v>
      </c>
    </row>
    <row r="134" spans="1:55">
      <c r="A134" s="102" t="s">
        <v>192</v>
      </c>
      <c r="B134" s="24" t="s">
        <v>134</v>
      </c>
      <c r="C134" s="103" t="s">
        <v>32</v>
      </c>
      <c r="D134" s="104">
        <v>0</v>
      </c>
      <c r="E134" s="104">
        <v>10710</v>
      </c>
      <c r="F134" s="104">
        <v>115</v>
      </c>
      <c r="G134" s="104">
        <v>0</v>
      </c>
      <c r="H134" s="104">
        <v>0</v>
      </c>
      <c r="I134" s="104">
        <v>0</v>
      </c>
      <c r="J134" s="104">
        <v>0</v>
      </c>
      <c r="K134" s="104">
        <v>5074</v>
      </c>
      <c r="L134" s="104">
        <v>63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Z134" s="104">
        <v>0</v>
      </c>
      <c r="AA134" s="104">
        <v>0</v>
      </c>
      <c r="AB134" s="104">
        <v>0</v>
      </c>
      <c r="AC134" s="104">
        <v>0</v>
      </c>
      <c r="AD134" s="104">
        <v>0</v>
      </c>
      <c r="AE134" s="104">
        <v>0</v>
      </c>
      <c r="AF134" s="104">
        <v>0</v>
      </c>
      <c r="AG134" s="104">
        <v>0</v>
      </c>
      <c r="AH134" s="104">
        <v>0</v>
      </c>
      <c r="AI134" s="104">
        <v>0</v>
      </c>
      <c r="AJ134" s="104">
        <v>0</v>
      </c>
      <c r="AK134" s="104">
        <v>0</v>
      </c>
      <c r="AL134" s="104">
        <v>0</v>
      </c>
      <c r="AM134" s="104">
        <v>0</v>
      </c>
      <c r="AN134" s="104">
        <v>0</v>
      </c>
      <c r="AO134" s="104">
        <v>0</v>
      </c>
      <c r="AP134" s="104">
        <v>0</v>
      </c>
      <c r="AQ134" s="104">
        <v>0</v>
      </c>
      <c r="AR134" s="104">
        <v>0</v>
      </c>
      <c r="AS134" s="104">
        <v>0</v>
      </c>
      <c r="AT134" s="104">
        <v>0</v>
      </c>
      <c r="AU134" s="104">
        <v>0</v>
      </c>
      <c r="AV134" s="104">
        <v>0</v>
      </c>
      <c r="AW134" s="104">
        <v>0</v>
      </c>
      <c r="AX134" s="104">
        <v>0</v>
      </c>
      <c r="AZ134" s="104">
        <f t="shared" si="4"/>
        <v>15784</v>
      </c>
      <c r="BA134" s="104">
        <f t="shared" si="5"/>
        <v>178</v>
      </c>
      <c r="BB134" s="96">
        <f t="shared" si="6"/>
        <v>0</v>
      </c>
      <c r="BC134" s="104">
        <f t="shared" si="7"/>
        <v>0</v>
      </c>
    </row>
    <row r="135" spans="1:55">
      <c r="A135" s="102" t="s">
        <v>193</v>
      </c>
      <c r="B135" s="24" t="s">
        <v>194</v>
      </c>
      <c r="C135" s="103" t="s">
        <v>194</v>
      </c>
      <c r="D135" s="104">
        <v>0</v>
      </c>
      <c r="E135" s="104">
        <v>81827</v>
      </c>
      <c r="F135" s="104">
        <v>1150</v>
      </c>
      <c r="G135" s="104">
        <v>0</v>
      </c>
      <c r="H135" s="104">
        <v>0</v>
      </c>
      <c r="I135" s="104">
        <v>0</v>
      </c>
      <c r="J135" s="104">
        <v>0</v>
      </c>
      <c r="K135" s="104">
        <v>16385</v>
      </c>
      <c r="L135" s="104">
        <v>231</v>
      </c>
      <c r="M135" s="104">
        <v>58184</v>
      </c>
      <c r="N135" s="104">
        <v>0</v>
      </c>
      <c r="O135" s="104">
        <v>0</v>
      </c>
      <c r="P135" s="104">
        <v>0</v>
      </c>
      <c r="Q135" s="104">
        <v>0</v>
      </c>
      <c r="R135" s="104">
        <v>0</v>
      </c>
      <c r="S135" s="104">
        <v>0</v>
      </c>
      <c r="T135" s="104">
        <v>0</v>
      </c>
      <c r="U135" s="104">
        <v>0</v>
      </c>
      <c r="V135" s="104">
        <v>0</v>
      </c>
      <c r="W135" s="104">
        <v>0</v>
      </c>
      <c r="X135" s="104">
        <v>0</v>
      </c>
      <c r="Y135" s="104">
        <v>0</v>
      </c>
      <c r="Z135" s="104">
        <v>0</v>
      </c>
      <c r="AA135" s="104">
        <v>0</v>
      </c>
      <c r="AB135" s="104">
        <v>0</v>
      </c>
      <c r="AC135" s="104">
        <v>0</v>
      </c>
      <c r="AD135" s="104">
        <v>0</v>
      </c>
      <c r="AE135" s="104">
        <v>0</v>
      </c>
      <c r="AF135" s="104">
        <v>0</v>
      </c>
      <c r="AG135" s="104">
        <v>0</v>
      </c>
      <c r="AH135" s="104">
        <v>0</v>
      </c>
      <c r="AI135" s="104">
        <v>0</v>
      </c>
      <c r="AJ135" s="104">
        <v>0</v>
      </c>
      <c r="AK135" s="104">
        <v>0</v>
      </c>
      <c r="AL135" s="104">
        <v>0</v>
      </c>
      <c r="AM135" s="104">
        <v>0</v>
      </c>
      <c r="AN135" s="104">
        <v>0</v>
      </c>
      <c r="AO135" s="104">
        <v>0</v>
      </c>
      <c r="AP135" s="104">
        <v>0</v>
      </c>
      <c r="AQ135" s="104">
        <v>0</v>
      </c>
      <c r="AR135" s="104">
        <v>0</v>
      </c>
      <c r="AS135" s="104">
        <v>0</v>
      </c>
      <c r="AT135" s="104">
        <v>0</v>
      </c>
      <c r="AU135" s="104">
        <v>0</v>
      </c>
      <c r="AV135" s="104">
        <v>0</v>
      </c>
      <c r="AW135" s="104">
        <v>0</v>
      </c>
      <c r="AX135" s="104">
        <v>0</v>
      </c>
      <c r="AZ135" s="104">
        <f t="shared" ref="AZ135:AZ198" si="8">E135+H135+K135+O135+R135+U135+X135+AA135</f>
        <v>98212</v>
      </c>
      <c r="BA135" s="104">
        <f t="shared" ref="BA135:BA198" si="9">F135+I135+L135+P135+S135+V135+Y135+AB135</f>
        <v>1381</v>
      </c>
      <c r="BB135" s="96">
        <f t="shared" ref="BB135:BB198" si="10">M135</f>
        <v>58184</v>
      </c>
      <c r="BC135" s="104">
        <f t="shared" ref="BC135:BC198" si="11">D135+G135+J135+N135+Q135+T135+W135+Z135+AC135</f>
        <v>0</v>
      </c>
    </row>
    <row r="136" spans="1:55">
      <c r="A136" s="102" t="s">
        <v>195</v>
      </c>
      <c r="B136" s="24" t="s">
        <v>551</v>
      </c>
      <c r="C136" s="103" t="s">
        <v>194</v>
      </c>
      <c r="D136" s="104">
        <v>0</v>
      </c>
      <c r="E136" s="104">
        <v>47807</v>
      </c>
      <c r="F136" s="104">
        <v>738</v>
      </c>
      <c r="G136" s="104">
        <v>0</v>
      </c>
      <c r="H136" s="104">
        <v>0</v>
      </c>
      <c r="I136" s="104">
        <v>0</v>
      </c>
      <c r="J136" s="104">
        <v>0</v>
      </c>
      <c r="K136" s="104">
        <v>10574</v>
      </c>
      <c r="L136" s="104">
        <v>162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48044</v>
      </c>
      <c r="Y136" s="104">
        <v>734</v>
      </c>
      <c r="Z136" s="104">
        <v>0</v>
      </c>
      <c r="AA136" s="104">
        <v>0</v>
      </c>
      <c r="AB136" s="104">
        <v>0</v>
      </c>
      <c r="AC136" s="104">
        <v>0</v>
      </c>
      <c r="AD136" s="104">
        <v>0</v>
      </c>
      <c r="AE136" s="104">
        <v>0</v>
      </c>
      <c r="AF136" s="104">
        <v>0</v>
      </c>
      <c r="AG136" s="104">
        <v>0</v>
      </c>
      <c r="AH136" s="104">
        <v>0</v>
      </c>
      <c r="AI136" s="104">
        <v>0</v>
      </c>
      <c r="AJ136" s="104">
        <v>0</v>
      </c>
      <c r="AK136" s="104">
        <v>0</v>
      </c>
      <c r="AL136" s="104">
        <v>0</v>
      </c>
      <c r="AM136" s="104">
        <v>0</v>
      </c>
      <c r="AN136" s="104">
        <v>0</v>
      </c>
      <c r="AO136" s="104">
        <v>0</v>
      </c>
      <c r="AP136" s="104">
        <v>0</v>
      </c>
      <c r="AQ136" s="104">
        <v>0</v>
      </c>
      <c r="AR136" s="104">
        <v>0</v>
      </c>
      <c r="AS136" s="104">
        <v>0</v>
      </c>
      <c r="AT136" s="104">
        <v>0</v>
      </c>
      <c r="AU136" s="104">
        <v>0</v>
      </c>
      <c r="AV136" s="104">
        <v>0</v>
      </c>
      <c r="AW136" s="104">
        <v>0</v>
      </c>
      <c r="AX136" s="104">
        <v>0</v>
      </c>
      <c r="AZ136" s="104">
        <f t="shared" si="8"/>
        <v>106425</v>
      </c>
      <c r="BA136" s="104">
        <f t="shared" si="9"/>
        <v>1634</v>
      </c>
      <c r="BB136" s="96">
        <f t="shared" si="10"/>
        <v>0</v>
      </c>
      <c r="BC136" s="104">
        <f t="shared" si="11"/>
        <v>0</v>
      </c>
    </row>
    <row r="137" spans="1:55">
      <c r="A137" s="102" t="s">
        <v>196</v>
      </c>
      <c r="B137" s="24" t="s">
        <v>552</v>
      </c>
      <c r="C137" s="103" t="s">
        <v>197</v>
      </c>
      <c r="D137" s="104">
        <v>0</v>
      </c>
      <c r="E137" s="104">
        <v>51912</v>
      </c>
      <c r="F137" s="104">
        <v>859</v>
      </c>
      <c r="G137" s="104">
        <v>0</v>
      </c>
      <c r="H137" s="104">
        <v>0</v>
      </c>
      <c r="I137" s="104">
        <v>0</v>
      </c>
      <c r="J137" s="104">
        <v>0</v>
      </c>
      <c r="K137" s="104">
        <v>13998</v>
      </c>
      <c r="L137" s="104">
        <v>232</v>
      </c>
      <c r="M137" s="104">
        <v>0</v>
      </c>
      <c r="N137" s="104">
        <v>0</v>
      </c>
      <c r="O137" s="104">
        <v>0</v>
      </c>
      <c r="P137" s="104">
        <v>0</v>
      </c>
      <c r="Q137" s="104">
        <v>0</v>
      </c>
      <c r="R137" s="104">
        <v>0</v>
      </c>
      <c r="S137" s="104">
        <v>0</v>
      </c>
      <c r="T137" s="104">
        <v>0</v>
      </c>
      <c r="U137" s="104">
        <v>0</v>
      </c>
      <c r="V137" s="104">
        <v>0</v>
      </c>
      <c r="W137" s="104">
        <v>0</v>
      </c>
      <c r="X137" s="104">
        <v>61215</v>
      </c>
      <c r="Y137" s="104">
        <v>1028</v>
      </c>
      <c r="Z137" s="104">
        <v>0</v>
      </c>
      <c r="AA137" s="104">
        <v>0</v>
      </c>
      <c r="AB137" s="104">
        <v>0</v>
      </c>
      <c r="AC137" s="104">
        <v>0</v>
      </c>
      <c r="AD137" s="104">
        <v>0</v>
      </c>
      <c r="AE137" s="104">
        <v>0</v>
      </c>
      <c r="AF137" s="104">
        <v>0</v>
      </c>
      <c r="AG137" s="104">
        <v>0</v>
      </c>
      <c r="AH137" s="104">
        <v>0</v>
      </c>
      <c r="AI137" s="104">
        <v>0</v>
      </c>
      <c r="AJ137" s="104">
        <v>0</v>
      </c>
      <c r="AK137" s="104">
        <v>0</v>
      </c>
      <c r="AL137" s="104">
        <v>0</v>
      </c>
      <c r="AM137" s="104">
        <v>0</v>
      </c>
      <c r="AN137" s="104">
        <v>0</v>
      </c>
      <c r="AO137" s="104">
        <v>0</v>
      </c>
      <c r="AP137" s="104">
        <v>0</v>
      </c>
      <c r="AQ137" s="104">
        <v>0</v>
      </c>
      <c r="AR137" s="104">
        <v>0</v>
      </c>
      <c r="AS137" s="104">
        <v>0</v>
      </c>
      <c r="AT137" s="104">
        <v>0</v>
      </c>
      <c r="AU137" s="104">
        <v>0</v>
      </c>
      <c r="AV137" s="104">
        <v>0</v>
      </c>
      <c r="AW137" s="104">
        <v>0</v>
      </c>
      <c r="AX137" s="104">
        <v>0</v>
      </c>
      <c r="AZ137" s="104">
        <f t="shared" si="8"/>
        <v>127125</v>
      </c>
      <c r="BA137" s="104">
        <f t="shared" si="9"/>
        <v>2119</v>
      </c>
      <c r="BB137" s="96">
        <f t="shared" si="10"/>
        <v>0</v>
      </c>
      <c r="BC137" s="104">
        <f t="shared" si="11"/>
        <v>0</v>
      </c>
    </row>
    <row r="138" spans="1:55">
      <c r="A138" s="102" t="s">
        <v>198</v>
      </c>
      <c r="B138" s="24" t="s">
        <v>553</v>
      </c>
      <c r="C138" s="103" t="s">
        <v>197</v>
      </c>
      <c r="D138" s="104">
        <v>0</v>
      </c>
      <c r="E138" s="104">
        <v>51242</v>
      </c>
      <c r="F138" s="104">
        <v>905</v>
      </c>
      <c r="G138" s="104">
        <v>0</v>
      </c>
      <c r="H138" s="104">
        <v>0</v>
      </c>
      <c r="I138" s="104">
        <v>0</v>
      </c>
      <c r="J138" s="104">
        <v>0</v>
      </c>
      <c r="K138" s="104">
        <v>12604</v>
      </c>
      <c r="L138" s="104">
        <v>225</v>
      </c>
      <c r="M138" s="104">
        <v>0</v>
      </c>
      <c r="N138" s="104">
        <v>0</v>
      </c>
      <c r="O138" s="104">
        <v>0</v>
      </c>
      <c r="P138" s="104">
        <v>0</v>
      </c>
      <c r="Q138" s="104">
        <v>0</v>
      </c>
      <c r="R138" s="104">
        <v>0</v>
      </c>
      <c r="S138" s="104">
        <v>0</v>
      </c>
      <c r="T138" s="104">
        <v>0</v>
      </c>
      <c r="U138" s="104">
        <v>0</v>
      </c>
      <c r="V138" s="104">
        <v>0</v>
      </c>
      <c r="W138" s="104">
        <v>0</v>
      </c>
      <c r="X138" s="104">
        <v>0</v>
      </c>
      <c r="Y138" s="104">
        <v>0</v>
      </c>
      <c r="Z138" s="104">
        <v>0</v>
      </c>
      <c r="AA138" s="104">
        <v>0</v>
      </c>
      <c r="AB138" s="104">
        <v>0</v>
      </c>
      <c r="AC138" s="104">
        <v>0</v>
      </c>
      <c r="AD138" s="104">
        <v>0</v>
      </c>
      <c r="AE138" s="104">
        <v>0</v>
      </c>
      <c r="AF138" s="104">
        <v>0</v>
      </c>
      <c r="AG138" s="104">
        <v>0</v>
      </c>
      <c r="AH138" s="104">
        <v>0</v>
      </c>
      <c r="AI138" s="104">
        <v>0</v>
      </c>
      <c r="AJ138" s="104">
        <v>0</v>
      </c>
      <c r="AK138" s="104">
        <v>0</v>
      </c>
      <c r="AL138" s="104">
        <v>0</v>
      </c>
      <c r="AM138" s="104">
        <v>0</v>
      </c>
      <c r="AN138" s="104">
        <v>0</v>
      </c>
      <c r="AO138" s="104">
        <v>0</v>
      </c>
      <c r="AP138" s="104">
        <v>0</v>
      </c>
      <c r="AQ138" s="104">
        <v>0</v>
      </c>
      <c r="AR138" s="104">
        <v>0</v>
      </c>
      <c r="AS138" s="104">
        <v>0</v>
      </c>
      <c r="AT138" s="104">
        <v>0</v>
      </c>
      <c r="AU138" s="104">
        <v>0</v>
      </c>
      <c r="AV138" s="104">
        <v>0</v>
      </c>
      <c r="AW138" s="104">
        <v>0</v>
      </c>
      <c r="AX138" s="104">
        <v>0</v>
      </c>
      <c r="AZ138" s="104">
        <f t="shared" si="8"/>
        <v>63846</v>
      </c>
      <c r="BA138" s="104">
        <f t="shared" si="9"/>
        <v>1130</v>
      </c>
      <c r="BB138" s="96">
        <f t="shared" si="10"/>
        <v>0</v>
      </c>
      <c r="BC138" s="104">
        <f t="shared" si="11"/>
        <v>0</v>
      </c>
    </row>
    <row r="139" spans="1:55">
      <c r="A139" s="102" t="s">
        <v>199</v>
      </c>
      <c r="B139" s="24" t="s">
        <v>200</v>
      </c>
      <c r="C139" s="103" t="s">
        <v>200</v>
      </c>
      <c r="D139" s="104">
        <v>0</v>
      </c>
      <c r="E139" s="104">
        <v>108201</v>
      </c>
      <c r="F139" s="104">
        <v>1598</v>
      </c>
      <c r="G139" s="104">
        <v>0</v>
      </c>
      <c r="H139" s="104">
        <v>0</v>
      </c>
      <c r="I139" s="104">
        <v>0</v>
      </c>
      <c r="J139" s="104">
        <v>0</v>
      </c>
      <c r="K139" s="104">
        <v>7628</v>
      </c>
      <c r="L139" s="104">
        <v>112</v>
      </c>
      <c r="M139" s="104">
        <v>0</v>
      </c>
      <c r="N139" s="104">
        <v>0</v>
      </c>
      <c r="O139" s="104">
        <v>0</v>
      </c>
      <c r="P139" s="104">
        <v>0</v>
      </c>
      <c r="Q139" s="104">
        <v>0</v>
      </c>
      <c r="R139" s="104">
        <v>0</v>
      </c>
      <c r="S139" s="104">
        <v>0</v>
      </c>
      <c r="T139" s="104">
        <v>0</v>
      </c>
      <c r="U139" s="104">
        <v>0</v>
      </c>
      <c r="V139" s="104">
        <v>0</v>
      </c>
      <c r="W139" s="104">
        <v>0</v>
      </c>
      <c r="X139" s="104">
        <v>99443</v>
      </c>
      <c r="Y139" s="104">
        <v>1459</v>
      </c>
      <c r="Z139" s="104">
        <v>0</v>
      </c>
      <c r="AA139" s="104">
        <v>0</v>
      </c>
      <c r="AB139" s="104">
        <v>0</v>
      </c>
      <c r="AC139" s="104">
        <v>0</v>
      </c>
      <c r="AD139" s="104">
        <v>0</v>
      </c>
      <c r="AE139" s="104">
        <v>0</v>
      </c>
      <c r="AF139" s="104">
        <v>0</v>
      </c>
      <c r="AG139" s="104">
        <v>0</v>
      </c>
      <c r="AH139" s="104">
        <v>0</v>
      </c>
      <c r="AI139" s="104">
        <v>0</v>
      </c>
      <c r="AJ139" s="104">
        <v>0</v>
      </c>
      <c r="AK139" s="104">
        <v>0</v>
      </c>
      <c r="AL139" s="104">
        <v>0</v>
      </c>
      <c r="AM139" s="104">
        <v>0</v>
      </c>
      <c r="AN139" s="104">
        <v>0</v>
      </c>
      <c r="AO139" s="104">
        <v>0</v>
      </c>
      <c r="AP139" s="104">
        <v>0</v>
      </c>
      <c r="AQ139" s="104">
        <v>0</v>
      </c>
      <c r="AR139" s="104">
        <v>0</v>
      </c>
      <c r="AS139" s="104">
        <v>22799</v>
      </c>
      <c r="AT139" s="104">
        <v>337</v>
      </c>
      <c r="AU139" s="104">
        <v>0</v>
      </c>
      <c r="AV139" s="104">
        <v>5491</v>
      </c>
      <c r="AW139" s="104">
        <v>81</v>
      </c>
      <c r="AX139" s="104">
        <v>0</v>
      </c>
      <c r="AZ139" s="104">
        <f t="shared" si="8"/>
        <v>215272</v>
      </c>
      <c r="BA139" s="104">
        <f t="shared" si="9"/>
        <v>3169</v>
      </c>
      <c r="BB139" s="96">
        <f t="shared" si="10"/>
        <v>0</v>
      </c>
      <c r="BC139" s="104">
        <f t="shared" si="11"/>
        <v>0</v>
      </c>
    </row>
    <row r="140" spans="1:55">
      <c r="A140" s="102" t="s">
        <v>201</v>
      </c>
      <c r="B140" s="24" t="s">
        <v>554</v>
      </c>
      <c r="C140" s="103" t="s">
        <v>200</v>
      </c>
      <c r="D140" s="104">
        <v>0</v>
      </c>
      <c r="E140" s="104">
        <v>22754</v>
      </c>
      <c r="F140" s="104">
        <v>3477</v>
      </c>
      <c r="G140" s="104">
        <v>0</v>
      </c>
      <c r="H140" s="104">
        <v>0</v>
      </c>
      <c r="I140" s="104">
        <v>0</v>
      </c>
      <c r="J140" s="104">
        <v>0</v>
      </c>
      <c r="K140" s="104">
        <v>8470</v>
      </c>
      <c r="L140" s="104">
        <v>1441</v>
      </c>
      <c r="M140" s="104">
        <v>0</v>
      </c>
      <c r="N140" s="104">
        <v>0</v>
      </c>
      <c r="O140" s="104">
        <v>0</v>
      </c>
      <c r="P140" s="104">
        <v>0</v>
      </c>
      <c r="Q140" s="104">
        <v>0</v>
      </c>
      <c r="R140" s="104">
        <v>0</v>
      </c>
      <c r="S140" s="104">
        <v>0</v>
      </c>
      <c r="T140" s="104">
        <v>0</v>
      </c>
      <c r="U140" s="104">
        <v>0</v>
      </c>
      <c r="V140" s="104">
        <v>0</v>
      </c>
      <c r="W140" s="104">
        <v>0</v>
      </c>
      <c r="X140" s="104">
        <v>0</v>
      </c>
      <c r="Y140" s="104">
        <v>0</v>
      </c>
      <c r="Z140" s="104">
        <v>0</v>
      </c>
      <c r="AA140" s="104">
        <v>0</v>
      </c>
      <c r="AB140" s="104">
        <v>0</v>
      </c>
      <c r="AC140" s="104">
        <v>0</v>
      </c>
      <c r="AD140" s="104">
        <v>0</v>
      </c>
      <c r="AE140" s="104">
        <v>0</v>
      </c>
      <c r="AF140" s="104">
        <v>0</v>
      </c>
      <c r="AG140" s="104">
        <v>0</v>
      </c>
      <c r="AH140" s="104">
        <v>0</v>
      </c>
      <c r="AI140" s="104">
        <v>0</v>
      </c>
      <c r="AJ140" s="104">
        <v>0</v>
      </c>
      <c r="AK140" s="104">
        <v>0</v>
      </c>
      <c r="AL140" s="104">
        <v>0</v>
      </c>
      <c r="AM140" s="104">
        <v>0</v>
      </c>
      <c r="AN140" s="104">
        <v>0</v>
      </c>
      <c r="AO140" s="104">
        <v>0</v>
      </c>
      <c r="AP140" s="104">
        <v>0</v>
      </c>
      <c r="AQ140" s="104">
        <v>0</v>
      </c>
      <c r="AR140" s="104">
        <v>0</v>
      </c>
      <c r="AS140" s="104">
        <v>0</v>
      </c>
      <c r="AT140" s="104">
        <v>0</v>
      </c>
      <c r="AU140" s="104">
        <v>0</v>
      </c>
      <c r="AV140" s="104">
        <v>0</v>
      </c>
      <c r="AW140" s="104">
        <v>0</v>
      </c>
      <c r="AX140" s="104">
        <v>0</v>
      </c>
      <c r="AZ140" s="104">
        <f t="shared" si="8"/>
        <v>31224</v>
      </c>
      <c r="BA140" s="104">
        <f t="shared" si="9"/>
        <v>4918</v>
      </c>
      <c r="BB140" s="96">
        <f t="shared" si="10"/>
        <v>0</v>
      </c>
      <c r="BC140" s="104">
        <f t="shared" si="11"/>
        <v>0</v>
      </c>
    </row>
    <row r="141" spans="1:55">
      <c r="A141" s="102" t="s">
        <v>202</v>
      </c>
      <c r="B141" s="24" t="s">
        <v>555</v>
      </c>
      <c r="C141" s="103" t="s">
        <v>203</v>
      </c>
      <c r="D141" s="104">
        <v>4150</v>
      </c>
      <c r="E141" s="104">
        <v>104889</v>
      </c>
      <c r="F141" s="104">
        <v>1284</v>
      </c>
      <c r="G141" s="104">
        <v>2663</v>
      </c>
      <c r="H141" s="104">
        <v>0</v>
      </c>
      <c r="I141" s="104">
        <v>0</v>
      </c>
      <c r="J141" s="104">
        <v>0</v>
      </c>
      <c r="K141" s="104">
        <v>0</v>
      </c>
      <c r="L141" s="104">
        <v>17</v>
      </c>
      <c r="M141" s="104">
        <v>0</v>
      </c>
      <c r="N141" s="104">
        <v>549</v>
      </c>
      <c r="O141" s="104">
        <v>0</v>
      </c>
      <c r="P141" s="104">
        <v>0</v>
      </c>
      <c r="Q141" s="104">
        <v>0</v>
      </c>
      <c r="R141" s="104">
        <v>0</v>
      </c>
      <c r="S141" s="104">
        <v>0</v>
      </c>
      <c r="T141" s="104">
        <v>0</v>
      </c>
      <c r="U141" s="104">
        <v>0</v>
      </c>
      <c r="V141" s="104">
        <v>0</v>
      </c>
      <c r="W141" s="104">
        <v>0</v>
      </c>
      <c r="X141" s="104">
        <v>47653</v>
      </c>
      <c r="Y141" s="104">
        <v>581</v>
      </c>
      <c r="Z141" s="104">
        <v>1631</v>
      </c>
      <c r="AA141" s="104">
        <v>0</v>
      </c>
      <c r="AB141" s="104">
        <v>0</v>
      </c>
      <c r="AC141" s="104">
        <v>0</v>
      </c>
      <c r="AD141" s="104">
        <v>0</v>
      </c>
      <c r="AE141" s="104">
        <v>0</v>
      </c>
      <c r="AF141" s="104">
        <v>0</v>
      </c>
      <c r="AG141" s="104">
        <v>2235</v>
      </c>
      <c r="AH141" s="104">
        <v>27</v>
      </c>
      <c r="AI141" s="104">
        <v>65</v>
      </c>
      <c r="AJ141" s="104">
        <v>0</v>
      </c>
      <c r="AK141" s="104">
        <v>0</v>
      </c>
      <c r="AL141" s="104">
        <v>0</v>
      </c>
      <c r="AM141" s="104">
        <v>0</v>
      </c>
      <c r="AN141" s="104">
        <v>0</v>
      </c>
      <c r="AO141" s="104">
        <v>0</v>
      </c>
      <c r="AP141" s="104">
        <v>0</v>
      </c>
      <c r="AQ141" s="104">
        <v>0</v>
      </c>
      <c r="AR141" s="104">
        <v>0</v>
      </c>
      <c r="AS141" s="104">
        <v>0</v>
      </c>
      <c r="AT141" s="104">
        <v>0</v>
      </c>
      <c r="AU141" s="104">
        <v>0</v>
      </c>
      <c r="AV141" s="104">
        <v>0</v>
      </c>
      <c r="AW141" s="104">
        <v>0</v>
      </c>
      <c r="AX141" s="104">
        <v>0</v>
      </c>
      <c r="AZ141" s="104">
        <f t="shared" si="8"/>
        <v>152542</v>
      </c>
      <c r="BA141" s="104">
        <f t="shared" si="9"/>
        <v>1882</v>
      </c>
      <c r="BB141" s="96">
        <f t="shared" si="10"/>
        <v>0</v>
      </c>
      <c r="BC141" s="104">
        <f t="shared" si="11"/>
        <v>8993</v>
      </c>
    </row>
    <row r="142" spans="1:55">
      <c r="A142" s="102" t="s">
        <v>204</v>
      </c>
      <c r="B142" s="24" t="s">
        <v>556</v>
      </c>
      <c r="C142" s="103" t="s">
        <v>203</v>
      </c>
      <c r="D142" s="104">
        <v>0</v>
      </c>
      <c r="E142" s="104">
        <v>32191</v>
      </c>
      <c r="F142" s="104">
        <v>485</v>
      </c>
      <c r="G142" s="104">
        <v>3</v>
      </c>
      <c r="H142" s="104">
        <v>0</v>
      </c>
      <c r="I142" s="104">
        <v>0</v>
      </c>
      <c r="J142" s="104">
        <v>0</v>
      </c>
      <c r="K142" s="104">
        <v>6577</v>
      </c>
      <c r="L142" s="104">
        <v>94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Z142" s="104">
        <v>0</v>
      </c>
      <c r="AA142" s="104">
        <v>0</v>
      </c>
      <c r="AB142" s="104">
        <v>0</v>
      </c>
      <c r="AC142" s="104">
        <v>0</v>
      </c>
      <c r="AD142" s="104">
        <v>0</v>
      </c>
      <c r="AE142" s="104">
        <v>0</v>
      </c>
      <c r="AF142" s="104">
        <v>0</v>
      </c>
      <c r="AG142" s="104">
        <v>0</v>
      </c>
      <c r="AH142" s="104">
        <v>0</v>
      </c>
      <c r="AI142" s="104">
        <v>0</v>
      </c>
      <c r="AJ142" s="104">
        <v>0</v>
      </c>
      <c r="AK142" s="104">
        <v>0</v>
      </c>
      <c r="AL142" s="104">
        <v>0</v>
      </c>
      <c r="AM142" s="104">
        <v>0</v>
      </c>
      <c r="AN142" s="104">
        <v>0</v>
      </c>
      <c r="AO142" s="104">
        <v>0</v>
      </c>
      <c r="AP142" s="104">
        <v>0</v>
      </c>
      <c r="AQ142" s="104">
        <v>0</v>
      </c>
      <c r="AR142" s="104">
        <v>0</v>
      </c>
      <c r="AS142" s="104">
        <v>0</v>
      </c>
      <c r="AT142" s="104">
        <v>0</v>
      </c>
      <c r="AU142" s="104">
        <v>0</v>
      </c>
      <c r="AV142" s="104">
        <v>0</v>
      </c>
      <c r="AW142" s="104">
        <v>0</v>
      </c>
      <c r="AX142" s="104">
        <v>0</v>
      </c>
      <c r="AZ142" s="104">
        <f t="shared" si="8"/>
        <v>38768</v>
      </c>
      <c r="BA142" s="104">
        <f t="shared" si="9"/>
        <v>579</v>
      </c>
      <c r="BB142" s="96">
        <f t="shared" si="10"/>
        <v>0</v>
      </c>
      <c r="BC142" s="104">
        <f t="shared" si="11"/>
        <v>3</v>
      </c>
    </row>
    <row r="143" spans="1:55">
      <c r="A143" s="102" t="s">
        <v>205</v>
      </c>
      <c r="B143" s="24" t="s">
        <v>557</v>
      </c>
      <c r="C143" s="103" t="s">
        <v>206</v>
      </c>
      <c r="D143" s="104">
        <v>0</v>
      </c>
      <c r="E143" s="104">
        <v>27652</v>
      </c>
      <c r="F143" s="104">
        <v>441</v>
      </c>
      <c r="G143" s="104">
        <v>0</v>
      </c>
      <c r="H143" s="104">
        <v>0</v>
      </c>
      <c r="I143" s="104">
        <v>0</v>
      </c>
      <c r="J143" s="104">
        <v>0</v>
      </c>
      <c r="K143" s="104">
        <v>10533</v>
      </c>
      <c r="L143" s="104">
        <v>0</v>
      </c>
      <c r="M143" s="104">
        <v>0</v>
      </c>
      <c r="N143" s="104">
        <v>0</v>
      </c>
      <c r="O143" s="104">
        <v>0</v>
      </c>
      <c r="P143" s="104">
        <v>0</v>
      </c>
      <c r="Q143" s="104">
        <v>0</v>
      </c>
      <c r="R143" s="104">
        <v>0</v>
      </c>
      <c r="S143" s="104">
        <v>0</v>
      </c>
      <c r="T143" s="104">
        <v>0</v>
      </c>
      <c r="U143" s="104">
        <v>0</v>
      </c>
      <c r="V143" s="104">
        <v>0</v>
      </c>
      <c r="W143" s="104">
        <v>0</v>
      </c>
      <c r="X143" s="104">
        <v>0</v>
      </c>
      <c r="Y143" s="104">
        <v>0</v>
      </c>
      <c r="Z143" s="104">
        <v>0</v>
      </c>
      <c r="AA143" s="104">
        <v>0</v>
      </c>
      <c r="AB143" s="104">
        <v>0</v>
      </c>
      <c r="AC143" s="104">
        <v>0</v>
      </c>
      <c r="AD143" s="104">
        <v>0</v>
      </c>
      <c r="AE143" s="104">
        <v>0</v>
      </c>
      <c r="AF143" s="104">
        <v>0</v>
      </c>
      <c r="AG143" s="104">
        <v>0</v>
      </c>
      <c r="AH143" s="104">
        <v>0</v>
      </c>
      <c r="AI143" s="104">
        <v>0</v>
      </c>
      <c r="AJ143" s="104">
        <v>0</v>
      </c>
      <c r="AK143" s="104">
        <v>0</v>
      </c>
      <c r="AL143" s="104">
        <v>0</v>
      </c>
      <c r="AM143" s="104">
        <v>0</v>
      </c>
      <c r="AN143" s="104">
        <v>0</v>
      </c>
      <c r="AO143" s="104">
        <v>0</v>
      </c>
      <c r="AP143" s="104">
        <v>0</v>
      </c>
      <c r="AQ143" s="104">
        <v>0</v>
      </c>
      <c r="AR143" s="104">
        <v>0</v>
      </c>
      <c r="AS143" s="104">
        <v>0</v>
      </c>
      <c r="AT143" s="104">
        <v>0</v>
      </c>
      <c r="AU143" s="104">
        <v>0</v>
      </c>
      <c r="AV143" s="104">
        <v>0</v>
      </c>
      <c r="AW143" s="104">
        <v>0</v>
      </c>
      <c r="AX143" s="104">
        <v>0</v>
      </c>
      <c r="AZ143" s="104">
        <f t="shared" si="8"/>
        <v>38185</v>
      </c>
      <c r="BA143" s="104">
        <f t="shared" si="9"/>
        <v>441</v>
      </c>
      <c r="BB143" s="96">
        <f t="shared" si="10"/>
        <v>0</v>
      </c>
      <c r="BC143" s="104">
        <f t="shared" si="11"/>
        <v>0</v>
      </c>
    </row>
    <row r="144" spans="1:55">
      <c r="A144" s="102" t="s">
        <v>207</v>
      </c>
      <c r="B144" s="24" t="s">
        <v>558</v>
      </c>
      <c r="C144" s="103" t="s">
        <v>206</v>
      </c>
      <c r="D144" s="104">
        <v>0</v>
      </c>
      <c r="E144" s="104">
        <v>80147</v>
      </c>
      <c r="F144" s="104">
        <v>1223</v>
      </c>
      <c r="G144" s="104">
        <v>0</v>
      </c>
      <c r="H144" s="104">
        <v>0</v>
      </c>
      <c r="I144" s="104">
        <v>0</v>
      </c>
      <c r="J144" s="104">
        <v>0</v>
      </c>
      <c r="K144" s="104">
        <v>22802</v>
      </c>
      <c r="L144" s="104">
        <v>345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43311</v>
      </c>
      <c r="Y144" s="104">
        <v>651</v>
      </c>
      <c r="Z144" s="104">
        <v>0</v>
      </c>
      <c r="AA144" s="104">
        <v>0</v>
      </c>
      <c r="AB144" s="104">
        <v>0</v>
      </c>
      <c r="AC144" s="104">
        <v>0</v>
      </c>
      <c r="AD144" s="104">
        <v>0</v>
      </c>
      <c r="AE144" s="104">
        <v>0</v>
      </c>
      <c r="AF144" s="104">
        <v>0</v>
      </c>
      <c r="AG144" s="104">
        <v>0</v>
      </c>
      <c r="AH144" s="104">
        <v>0</v>
      </c>
      <c r="AI144" s="104">
        <v>0</v>
      </c>
      <c r="AJ144" s="104">
        <v>0</v>
      </c>
      <c r="AK144" s="104">
        <v>0</v>
      </c>
      <c r="AL144" s="104">
        <v>0</v>
      </c>
      <c r="AM144" s="104">
        <v>0</v>
      </c>
      <c r="AN144" s="104">
        <v>0</v>
      </c>
      <c r="AO144" s="104">
        <v>0</v>
      </c>
      <c r="AP144" s="104">
        <v>0</v>
      </c>
      <c r="AQ144" s="104">
        <v>0</v>
      </c>
      <c r="AR144" s="104">
        <v>0</v>
      </c>
      <c r="AS144" s="104">
        <v>0</v>
      </c>
      <c r="AT144" s="104">
        <v>0</v>
      </c>
      <c r="AU144" s="104">
        <v>0</v>
      </c>
      <c r="AV144" s="104">
        <v>0</v>
      </c>
      <c r="AW144" s="104">
        <v>0</v>
      </c>
      <c r="AX144" s="104">
        <v>0</v>
      </c>
      <c r="AZ144" s="104">
        <f t="shared" si="8"/>
        <v>146260</v>
      </c>
      <c r="BA144" s="104">
        <f t="shared" si="9"/>
        <v>2219</v>
      </c>
      <c r="BB144" s="96">
        <f t="shared" si="10"/>
        <v>0</v>
      </c>
      <c r="BC144" s="104">
        <f t="shared" si="11"/>
        <v>0</v>
      </c>
    </row>
    <row r="145" spans="1:55">
      <c r="A145" s="102" t="s">
        <v>208</v>
      </c>
      <c r="B145" s="24" t="s">
        <v>559</v>
      </c>
      <c r="C145" s="103" t="s">
        <v>206</v>
      </c>
      <c r="D145" s="104">
        <v>0</v>
      </c>
      <c r="E145" s="104">
        <v>75105</v>
      </c>
      <c r="F145" s="104">
        <v>1590</v>
      </c>
      <c r="G145" s="104">
        <v>0</v>
      </c>
      <c r="H145" s="104">
        <v>0</v>
      </c>
      <c r="I145" s="104">
        <v>0</v>
      </c>
      <c r="J145" s="104">
        <v>0</v>
      </c>
      <c r="K145" s="104">
        <v>19254</v>
      </c>
      <c r="L145" s="104">
        <v>416</v>
      </c>
      <c r="M145" s="104">
        <v>0</v>
      </c>
      <c r="N145" s="104">
        <v>0</v>
      </c>
      <c r="O145" s="104">
        <v>0</v>
      </c>
      <c r="P145" s="104">
        <v>0</v>
      </c>
      <c r="Q145" s="104">
        <v>0</v>
      </c>
      <c r="R145" s="104">
        <v>0</v>
      </c>
      <c r="S145" s="104">
        <v>0</v>
      </c>
      <c r="T145" s="104">
        <v>0</v>
      </c>
      <c r="U145" s="104">
        <v>0</v>
      </c>
      <c r="V145" s="104">
        <v>0</v>
      </c>
      <c r="W145" s="104">
        <v>0</v>
      </c>
      <c r="X145" s="104">
        <v>0</v>
      </c>
      <c r="Y145" s="104">
        <v>0</v>
      </c>
      <c r="Z145" s="104">
        <v>0</v>
      </c>
      <c r="AA145" s="104">
        <v>0</v>
      </c>
      <c r="AB145" s="104">
        <v>0</v>
      </c>
      <c r="AC145" s="104">
        <v>0</v>
      </c>
      <c r="AD145" s="104">
        <v>0</v>
      </c>
      <c r="AE145" s="104">
        <v>0</v>
      </c>
      <c r="AF145" s="104">
        <v>0</v>
      </c>
      <c r="AG145" s="104">
        <v>0</v>
      </c>
      <c r="AH145" s="104">
        <v>0</v>
      </c>
      <c r="AI145" s="104">
        <v>0</v>
      </c>
      <c r="AJ145" s="104">
        <v>0</v>
      </c>
      <c r="AK145" s="104">
        <v>0</v>
      </c>
      <c r="AL145" s="104">
        <v>0</v>
      </c>
      <c r="AM145" s="104">
        <v>0</v>
      </c>
      <c r="AN145" s="104">
        <v>0</v>
      </c>
      <c r="AO145" s="104">
        <v>0</v>
      </c>
      <c r="AP145" s="104">
        <v>0</v>
      </c>
      <c r="AQ145" s="104">
        <v>0</v>
      </c>
      <c r="AR145" s="104">
        <v>0</v>
      </c>
      <c r="AS145" s="104">
        <v>0</v>
      </c>
      <c r="AT145" s="104">
        <v>0</v>
      </c>
      <c r="AU145" s="104">
        <v>0</v>
      </c>
      <c r="AV145" s="104">
        <v>0</v>
      </c>
      <c r="AW145" s="104">
        <v>0</v>
      </c>
      <c r="AX145" s="104">
        <v>0</v>
      </c>
      <c r="AZ145" s="104">
        <f t="shared" si="8"/>
        <v>94359</v>
      </c>
      <c r="BA145" s="104">
        <f t="shared" si="9"/>
        <v>2006</v>
      </c>
      <c r="BB145" s="96">
        <f t="shared" si="10"/>
        <v>0</v>
      </c>
      <c r="BC145" s="104">
        <f t="shared" si="11"/>
        <v>0</v>
      </c>
    </row>
    <row r="146" spans="1:55">
      <c r="A146" s="102" t="s">
        <v>209</v>
      </c>
      <c r="B146" s="24" t="s">
        <v>560</v>
      </c>
      <c r="C146" s="103" t="s">
        <v>210</v>
      </c>
      <c r="D146" s="104">
        <v>0</v>
      </c>
      <c r="E146" s="104">
        <v>11379</v>
      </c>
      <c r="F146" s="104">
        <v>153</v>
      </c>
      <c r="G146" s="104">
        <v>0</v>
      </c>
      <c r="H146" s="104">
        <v>0</v>
      </c>
      <c r="I146" s="104">
        <v>0</v>
      </c>
      <c r="J146" s="104">
        <v>0</v>
      </c>
      <c r="K146" s="104">
        <v>11151</v>
      </c>
      <c r="L146" s="104">
        <v>144</v>
      </c>
      <c r="M146" s="104">
        <v>0</v>
      </c>
      <c r="N146" s="104">
        <v>0</v>
      </c>
      <c r="O146" s="104">
        <v>0</v>
      </c>
      <c r="P146" s="104">
        <v>0</v>
      </c>
      <c r="Q146" s="104">
        <v>0</v>
      </c>
      <c r="R146" s="104">
        <v>0</v>
      </c>
      <c r="S146" s="104">
        <v>0</v>
      </c>
      <c r="T146" s="104">
        <v>0</v>
      </c>
      <c r="U146" s="104">
        <v>0</v>
      </c>
      <c r="V146" s="104">
        <v>0</v>
      </c>
      <c r="W146" s="104">
        <v>0</v>
      </c>
      <c r="X146" s="104">
        <v>0</v>
      </c>
      <c r="Y146" s="104">
        <v>0</v>
      </c>
      <c r="Z146" s="104">
        <v>0</v>
      </c>
      <c r="AA146" s="104">
        <v>0</v>
      </c>
      <c r="AB146" s="104">
        <v>0</v>
      </c>
      <c r="AC146" s="104">
        <v>0</v>
      </c>
      <c r="AD146" s="104">
        <v>0</v>
      </c>
      <c r="AE146" s="104">
        <v>0</v>
      </c>
      <c r="AF146" s="104">
        <v>0</v>
      </c>
      <c r="AG146" s="104">
        <v>0</v>
      </c>
      <c r="AH146" s="104">
        <v>0</v>
      </c>
      <c r="AI146" s="104">
        <v>0</v>
      </c>
      <c r="AJ146" s="104">
        <v>0</v>
      </c>
      <c r="AK146" s="104">
        <v>0</v>
      </c>
      <c r="AL146" s="104">
        <v>0</v>
      </c>
      <c r="AM146" s="104">
        <v>0</v>
      </c>
      <c r="AN146" s="104">
        <v>0</v>
      </c>
      <c r="AO146" s="104">
        <v>0</v>
      </c>
      <c r="AP146" s="104">
        <v>0</v>
      </c>
      <c r="AQ146" s="104">
        <v>0</v>
      </c>
      <c r="AR146" s="104">
        <v>0</v>
      </c>
      <c r="AS146" s="104">
        <v>0</v>
      </c>
      <c r="AT146" s="104">
        <v>0</v>
      </c>
      <c r="AU146" s="104">
        <v>0</v>
      </c>
      <c r="AV146" s="104">
        <v>0</v>
      </c>
      <c r="AW146" s="104">
        <v>0</v>
      </c>
      <c r="AX146" s="104">
        <v>0</v>
      </c>
      <c r="AZ146" s="104">
        <f t="shared" si="8"/>
        <v>22530</v>
      </c>
      <c r="BA146" s="104">
        <f t="shared" si="9"/>
        <v>297</v>
      </c>
      <c r="BB146" s="96">
        <f t="shared" si="10"/>
        <v>0</v>
      </c>
      <c r="BC146" s="104">
        <f t="shared" si="11"/>
        <v>0</v>
      </c>
    </row>
    <row r="147" spans="1:55">
      <c r="A147" s="102" t="s">
        <v>211</v>
      </c>
      <c r="B147" s="24" t="s">
        <v>561</v>
      </c>
      <c r="C147" s="103" t="s">
        <v>210</v>
      </c>
      <c r="D147" s="104">
        <v>0</v>
      </c>
      <c r="E147" s="104">
        <v>29064</v>
      </c>
      <c r="F147" s="104">
        <v>2149</v>
      </c>
      <c r="G147" s="104">
        <v>0</v>
      </c>
      <c r="H147" s="104">
        <v>0</v>
      </c>
      <c r="I147" s="104">
        <v>0</v>
      </c>
      <c r="J147" s="104">
        <v>0</v>
      </c>
      <c r="K147" s="104">
        <v>8860</v>
      </c>
      <c r="L147" s="104">
        <v>728</v>
      </c>
      <c r="M147" s="104">
        <v>0</v>
      </c>
      <c r="N147" s="104">
        <v>0</v>
      </c>
      <c r="O147" s="104">
        <v>0</v>
      </c>
      <c r="P147" s="104">
        <v>0</v>
      </c>
      <c r="Q147" s="104">
        <v>0</v>
      </c>
      <c r="R147" s="104">
        <v>0</v>
      </c>
      <c r="S147" s="104">
        <v>0</v>
      </c>
      <c r="T147" s="104">
        <v>0</v>
      </c>
      <c r="U147" s="104">
        <v>0</v>
      </c>
      <c r="V147" s="104">
        <v>0</v>
      </c>
      <c r="W147" s="104">
        <v>0</v>
      </c>
      <c r="X147" s="104">
        <v>46902</v>
      </c>
      <c r="Y147" s="104">
        <v>4383</v>
      </c>
      <c r="Z147" s="104">
        <v>0</v>
      </c>
      <c r="AA147" s="104">
        <v>0</v>
      </c>
      <c r="AB147" s="104">
        <v>0</v>
      </c>
      <c r="AC147" s="104">
        <v>0</v>
      </c>
      <c r="AD147" s="104">
        <v>0</v>
      </c>
      <c r="AE147" s="104">
        <v>0</v>
      </c>
      <c r="AF147" s="104">
        <v>0</v>
      </c>
      <c r="AG147" s="104">
        <v>0</v>
      </c>
      <c r="AH147" s="104">
        <v>0</v>
      </c>
      <c r="AI147" s="104">
        <v>0</v>
      </c>
      <c r="AJ147" s="104">
        <v>0</v>
      </c>
      <c r="AK147" s="104">
        <v>0</v>
      </c>
      <c r="AL147" s="104">
        <v>0</v>
      </c>
      <c r="AM147" s="104">
        <v>0</v>
      </c>
      <c r="AN147" s="104">
        <v>0</v>
      </c>
      <c r="AO147" s="104">
        <v>0</v>
      </c>
      <c r="AP147" s="104">
        <v>0</v>
      </c>
      <c r="AQ147" s="104">
        <v>0</v>
      </c>
      <c r="AR147" s="104">
        <v>0</v>
      </c>
      <c r="AS147" s="104">
        <v>0</v>
      </c>
      <c r="AT147" s="104">
        <v>0</v>
      </c>
      <c r="AU147" s="104">
        <v>0</v>
      </c>
      <c r="AV147" s="104">
        <v>0</v>
      </c>
      <c r="AW147" s="104">
        <v>0</v>
      </c>
      <c r="AX147" s="104">
        <v>0</v>
      </c>
      <c r="AZ147" s="104">
        <f t="shared" si="8"/>
        <v>84826</v>
      </c>
      <c r="BA147" s="104">
        <f t="shared" si="9"/>
        <v>7260</v>
      </c>
      <c r="BB147" s="96">
        <f t="shared" si="10"/>
        <v>0</v>
      </c>
      <c r="BC147" s="104">
        <f t="shared" si="11"/>
        <v>0</v>
      </c>
    </row>
    <row r="148" spans="1:55">
      <c r="A148" s="102" t="s">
        <v>212</v>
      </c>
      <c r="B148" s="24" t="s">
        <v>562</v>
      </c>
      <c r="C148" s="103" t="s">
        <v>210</v>
      </c>
      <c r="D148" s="104">
        <v>0</v>
      </c>
      <c r="E148" s="104">
        <v>101233</v>
      </c>
      <c r="F148" s="104">
        <v>4211</v>
      </c>
      <c r="G148" s="104">
        <v>0</v>
      </c>
      <c r="H148" s="104">
        <v>0</v>
      </c>
      <c r="I148" s="104">
        <v>0</v>
      </c>
      <c r="J148" s="104">
        <v>0</v>
      </c>
      <c r="K148" s="104">
        <v>23752</v>
      </c>
      <c r="L148" s="104">
        <v>318</v>
      </c>
      <c r="M148" s="104">
        <v>0</v>
      </c>
      <c r="N148" s="104">
        <v>0</v>
      </c>
      <c r="O148" s="104">
        <v>0</v>
      </c>
      <c r="P148" s="104">
        <v>0</v>
      </c>
      <c r="Q148" s="104">
        <v>0</v>
      </c>
      <c r="R148" s="104">
        <v>0</v>
      </c>
      <c r="S148" s="104">
        <v>0</v>
      </c>
      <c r="T148" s="104">
        <v>0</v>
      </c>
      <c r="U148" s="104">
        <v>0</v>
      </c>
      <c r="V148" s="104">
        <v>0</v>
      </c>
      <c r="W148" s="104">
        <v>0</v>
      </c>
      <c r="X148" s="104">
        <v>62615</v>
      </c>
      <c r="Y148" s="104">
        <v>845</v>
      </c>
      <c r="Z148" s="104">
        <v>0</v>
      </c>
      <c r="AA148" s="104">
        <v>0</v>
      </c>
      <c r="AB148" s="104">
        <v>0</v>
      </c>
      <c r="AC148" s="104">
        <v>0</v>
      </c>
      <c r="AD148" s="104">
        <v>0</v>
      </c>
      <c r="AE148" s="104">
        <v>0</v>
      </c>
      <c r="AF148" s="104">
        <v>0</v>
      </c>
      <c r="AG148" s="104">
        <v>0</v>
      </c>
      <c r="AH148" s="104">
        <v>0</v>
      </c>
      <c r="AI148" s="104">
        <v>0</v>
      </c>
      <c r="AJ148" s="104">
        <v>0</v>
      </c>
      <c r="AK148" s="104">
        <v>0</v>
      </c>
      <c r="AL148" s="104">
        <v>0</v>
      </c>
      <c r="AM148" s="104">
        <v>0</v>
      </c>
      <c r="AN148" s="104">
        <v>0</v>
      </c>
      <c r="AO148" s="104">
        <v>0</v>
      </c>
      <c r="AP148" s="104">
        <v>0</v>
      </c>
      <c r="AQ148" s="104">
        <v>0</v>
      </c>
      <c r="AR148" s="104">
        <v>0</v>
      </c>
      <c r="AS148" s="104">
        <v>0</v>
      </c>
      <c r="AT148" s="104">
        <v>0</v>
      </c>
      <c r="AU148" s="104">
        <v>0</v>
      </c>
      <c r="AV148" s="104">
        <v>0</v>
      </c>
      <c r="AW148" s="104">
        <v>0</v>
      </c>
      <c r="AX148" s="104">
        <v>0</v>
      </c>
      <c r="AZ148" s="104">
        <f t="shared" si="8"/>
        <v>187600</v>
      </c>
      <c r="BA148" s="104">
        <f t="shared" si="9"/>
        <v>5374</v>
      </c>
      <c r="BB148" s="96">
        <f t="shared" si="10"/>
        <v>0</v>
      </c>
      <c r="BC148" s="104">
        <f t="shared" si="11"/>
        <v>0</v>
      </c>
    </row>
    <row r="149" spans="1:55">
      <c r="A149" s="102" t="s">
        <v>213</v>
      </c>
      <c r="B149" s="24" t="s">
        <v>563</v>
      </c>
      <c r="C149" s="103" t="s">
        <v>210</v>
      </c>
      <c r="D149" s="104">
        <v>0</v>
      </c>
      <c r="E149" s="104">
        <v>72887</v>
      </c>
      <c r="F149" s="104">
        <v>2904</v>
      </c>
      <c r="G149" s="104">
        <v>0</v>
      </c>
      <c r="H149" s="104">
        <v>0</v>
      </c>
      <c r="I149" s="104">
        <v>0</v>
      </c>
      <c r="J149" s="104">
        <v>0</v>
      </c>
      <c r="K149" s="104">
        <v>11569</v>
      </c>
      <c r="L149" s="104">
        <v>205</v>
      </c>
      <c r="M149" s="104">
        <v>3979</v>
      </c>
      <c r="N149" s="104">
        <v>0</v>
      </c>
      <c r="O149" s="104">
        <v>0</v>
      </c>
      <c r="P149" s="104">
        <v>0</v>
      </c>
      <c r="Q149" s="104">
        <v>0</v>
      </c>
      <c r="R149" s="104">
        <v>0</v>
      </c>
      <c r="S149" s="104">
        <v>0</v>
      </c>
      <c r="T149" s="104">
        <v>0</v>
      </c>
      <c r="U149" s="104">
        <v>0</v>
      </c>
      <c r="V149" s="104">
        <v>0</v>
      </c>
      <c r="W149" s="104">
        <v>0</v>
      </c>
      <c r="X149" s="104">
        <v>0</v>
      </c>
      <c r="Y149" s="104">
        <v>0</v>
      </c>
      <c r="Z149" s="104">
        <v>0</v>
      </c>
      <c r="AA149" s="104">
        <v>0</v>
      </c>
      <c r="AB149" s="104">
        <v>0</v>
      </c>
      <c r="AC149" s="104">
        <v>0</v>
      </c>
      <c r="AD149" s="104">
        <v>0</v>
      </c>
      <c r="AE149" s="104">
        <v>0</v>
      </c>
      <c r="AF149" s="104">
        <v>0</v>
      </c>
      <c r="AG149" s="104">
        <v>0</v>
      </c>
      <c r="AH149" s="104">
        <v>0</v>
      </c>
      <c r="AI149" s="104">
        <v>0</v>
      </c>
      <c r="AJ149" s="104">
        <v>0</v>
      </c>
      <c r="AK149" s="104">
        <v>0</v>
      </c>
      <c r="AL149" s="104">
        <v>0</v>
      </c>
      <c r="AM149" s="104">
        <v>0</v>
      </c>
      <c r="AN149" s="104">
        <v>0</v>
      </c>
      <c r="AO149" s="104">
        <v>0</v>
      </c>
      <c r="AP149" s="104">
        <v>0</v>
      </c>
      <c r="AQ149" s="104">
        <v>0</v>
      </c>
      <c r="AR149" s="104">
        <v>0</v>
      </c>
      <c r="AS149" s="104">
        <v>4418</v>
      </c>
      <c r="AT149" s="104">
        <v>76</v>
      </c>
      <c r="AU149" s="104">
        <v>0</v>
      </c>
      <c r="AV149" s="104">
        <v>0</v>
      </c>
      <c r="AW149" s="104">
        <v>0</v>
      </c>
      <c r="AX149" s="104">
        <v>0</v>
      </c>
      <c r="AZ149" s="104">
        <f t="shared" si="8"/>
        <v>84456</v>
      </c>
      <c r="BA149" s="104">
        <f t="shared" si="9"/>
        <v>3109</v>
      </c>
      <c r="BB149" s="96">
        <f t="shared" si="10"/>
        <v>3979</v>
      </c>
      <c r="BC149" s="104">
        <f t="shared" si="11"/>
        <v>0</v>
      </c>
    </row>
    <row r="150" spans="1:55">
      <c r="A150" s="102" t="s">
        <v>214</v>
      </c>
      <c r="B150" s="24" t="s">
        <v>564</v>
      </c>
      <c r="C150" s="103" t="s">
        <v>210</v>
      </c>
      <c r="D150" s="104">
        <v>0</v>
      </c>
      <c r="E150" s="104">
        <v>59932</v>
      </c>
      <c r="F150" s="104">
        <v>1089</v>
      </c>
      <c r="G150" s="104">
        <v>0</v>
      </c>
      <c r="H150" s="104">
        <v>0</v>
      </c>
      <c r="I150" s="104">
        <v>0</v>
      </c>
      <c r="J150" s="104">
        <v>0</v>
      </c>
      <c r="K150" s="104">
        <v>19134</v>
      </c>
      <c r="L150" s="104">
        <v>348</v>
      </c>
      <c r="M150" s="104">
        <v>0</v>
      </c>
      <c r="N150" s="104">
        <v>0</v>
      </c>
      <c r="O150" s="104">
        <v>0</v>
      </c>
      <c r="P150" s="104">
        <v>0</v>
      </c>
      <c r="Q150" s="104">
        <v>0</v>
      </c>
      <c r="R150" s="104">
        <v>0</v>
      </c>
      <c r="S150" s="104">
        <v>0</v>
      </c>
      <c r="T150" s="104">
        <v>0</v>
      </c>
      <c r="U150" s="104">
        <v>0</v>
      </c>
      <c r="V150" s="104">
        <v>0</v>
      </c>
      <c r="W150" s="104">
        <v>0</v>
      </c>
      <c r="X150" s="104">
        <v>0</v>
      </c>
      <c r="Y150" s="104">
        <v>0</v>
      </c>
      <c r="Z150" s="104">
        <v>0</v>
      </c>
      <c r="AA150" s="104">
        <v>0</v>
      </c>
      <c r="AB150" s="104">
        <v>0</v>
      </c>
      <c r="AC150" s="104">
        <v>0</v>
      </c>
      <c r="AD150" s="104">
        <v>0</v>
      </c>
      <c r="AE150" s="104">
        <v>0</v>
      </c>
      <c r="AF150" s="104">
        <v>0</v>
      </c>
      <c r="AG150" s="104">
        <v>0</v>
      </c>
      <c r="AH150" s="104">
        <v>0</v>
      </c>
      <c r="AI150" s="104">
        <v>0</v>
      </c>
      <c r="AJ150" s="104">
        <v>0</v>
      </c>
      <c r="AK150" s="104">
        <v>0</v>
      </c>
      <c r="AL150" s="104">
        <v>0</v>
      </c>
      <c r="AM150" s="104">
        <v>0</v>
      </c>
      <c r="AN150" s="104">
        <v>0</v>
      </c>
      <c r="AO150" s="104">
        <v>0</v>
      </c>
      <c r="AP150" s="104">
        <v>0</v>
      </c>
      <c r="AQ150" s="104">
        <v>0</v>
      </c>
      <c r="AR150" s="104">
        <v>0</v>
      </c>
      <c r="AS150" s="104">
        <v>4784</v>
      </c>
      <c r="AT150" s="104">
        <v>87</v>
      </c>
      <c r="AU150" s="104">
        <v>0</v>
      </c>
      <c r="AV150" s="104">
        <v>0</v>
      </c>
      <c r="AW150" s="104">
        <v>0</v>
      </c>
      <c r="AX150" s="104">
        <v>0</v>
      </c>
      <c r="AZ150" s="104">
        <f t="shared" si="8"/>
        <v>79066</v>
      </c>
      <c r="BA150" s="104">
        <f t="shared" si="9"/>
        <v>1437</v>
      </c>
      <c r="BB150" s="96">
        <f t="shared" si="10"/>
        <v>0</v>
      </c>
      <c r="BC150" s="104">
        <f t="shared" si="11"/>
        <v>0</v>
      </c>
    </row>
    <row r="151" spans="1:55">
      <c r="A151" s="102" t="s">
        <v>215</v>
      </c>
      <c r="B151" s="24" t="s">
        <v>565</v>
      </c>
      <c r="C151" s="103" t="s">
        <v>210</v>
      </c>
      <c r="D151" s="104">
        <v>0</v>
      </c>
      <c r="E151" s="104">
        <v>143429</v>
      </c>
      <c r="F151" s="104">
        <v>1907</v>
      </c>
      <c r="G151" s="104">
        <v>0</v>
      </c>
      <c r="H151" s="104">
        <v>0</v>
      </c>
      <c r="I151" s="104">
        <v>0</v>
      </c>
      <c r="J151" s="104">
        <v>0</v>
      </c>
      <c r="K151" s="104">
        <v>29207</v>
      </c>
      <c r="L151" s="104">
        <v>675</v>
      </c>
      <c r="M151" s="104">
        <v>20618</v>
      </c>
      <c r="N151" s="104">
        <v>0</v>
      </c>
      <c r="O151" s="104">
        <v>0</v>
      </c>
      <c r="P151" s="104">
        <v>0</v>
      </c>
      <c r="Q151" s="104">
        <v>0</v>
      </c>
      <c r="R151" s="104">
        <v>0</v>
      </c>
      <c r="S151" s="104">
        <v>0</v>
      </c>
      <c r="T151" s="104">
        <v>0</v>
      </c>
      <c r="U151" s="104">
        <v>0</v>
      </c>
      <c r="V151" s="104">
        <v>0</v>
      </c>
      <c r="W151" s="104">
        <v>0</v>
      </c>
      <c r="X151" s="104">
        <v>41336</v>
      </c>
      <c r="Y151" s="104">
        <v>953</v>
      </c>
      <c r="Z151" s="104">
        <v>0</v>
      </c>
      <c r="AA151" s="104">
        <v>0</v>
      </c>
      <c r="AB151" s="104">
        <v>0</v>
      </c>
      <c r="AC151" s="104">
        <v>0</v>
      </c>
      <c r="AD151" s="104">
        <v>0</v>
      </c>
      <c r="AE151" s="104">
        <v>0</v>
      </c>
      <c r="AF151" s="104">
        <v>0</v>
      </c>
      <c r="AG151" s="104">
        <v>0</v>
      </c>
      <c r="AH151" s="104">
        <v>0</v>
      </c>
      <c r="AI151" s="104">
        <v>0</v>
      </c>
      <c r="AJ151" s="104">
        <v>0</v>
      </c>
      <c r="AK151" s="104">
        <v>0</v>
      </c>
      <c r="AL151" s="104">
        <v>0</v>
      </c>
      <c r="AM151" s="104">
        <v>0</v>
      </c>
      <c r="AN151" s="104">
        <v>0</v>
      </c>
      <c r="AO151" s="104">
        <v>0</v>
      </c>
      <c r="AP151" s="104">
        <v>0</v>
      </c>
      <c r="AQ151" s="104">
        <v>0</v>
      </c>
      <c r="AR151" s="104">
        <v>0</v>
      </c>
      <c r="AS151" s="104">
        <v>0</v>
      </c>
      <c r="AT151" s="104">
        <v>0</v>
      </c>
      <c r="AU151" s="104">
        <v>0</v>
      </c>
      <c r="AV151" s="104">
        <v>0</v>
      </c>
      <c r="AW151" s="104">
        <v>0</v>
      </c>
      <c r="AX151" s="104">
        <v>0</v>
      </c>
      <c r="AZ151" s="104">
        <f t="shared" si="8"/>
        <v>213972</v>
      </c>
      <c r="BA151" s="104">
        <f t="shared" si="9"/>
        <v>3535</v>
      </c>
      <c r="BB151" s="96">
        <f t="shared" si="10"/>
        <v>20618</v>
      </c>
      <c r="BC151" s="104">
        <f t="shared" si="11"/>
        <v>0</v>
      </c>
    </row>
    <row r="152" spans="1:55">
      <c r="A152" s="102" t="s">
        <v>216</v>
      </c>
      <c r="B152" s="24" t="s">
        <v>566</v>
      </c>
      <c r="C152" s="103" t="s">
        <v>217</v>
      </c>
      <c r="D152" s="104">
        <v>6411</v>
      </c>
      <c r="E152" s="104">
        <v>26230</v>
      </c>
      <c r="F152" s="104">
        <v>936</v>
      </c>
      <c r="G152" s="104">
        <v>3511</v>
      </c>
      <c r="H152" s="104">
        <v>0</v>
      </c>
      <c r="I152" s="104">
        <v>0</v>
      </c>
      <c r="J152" s="104">
        <v>0</v>
      </c>
      <c r="K152" s="104">
        <v>10154</v>
      </c>
      <c r="L152" s="104">
        <v>361</v>
      </c>
      <c r="M152" s="104">
        <v>0</v>
      </c>
      <c r="N152" s="104">
        <v>1282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Z152" s="104">
        <v>0</v>
      </c>
      <c r="AA152" s="104">
        <v>0</v>
      </c>
      <c r="AB152" s="104">
        <v>0</v>
      </c>
      <c r="AC152" s="104">
        <v>0</v>
      </c>
      <c r="AD152" s="104">
        <v>0</v>
      </c>
      <c r="AE152" s="104">
        <v>0</v>
      </c>
      <c r="AF152" s="104">
        <v>0</v>
      </c>
      <c r="AG152" s="104">
        <v>0</v>
      </c>
      <c r="AH152" s="104">
        <v>0</v>
      </c>
      <c r="AI152" s="104">
        <v>0</v>
      </c>
      <c r="AJ152" s="104">
        <v>0</v>
      </c>
      <c r="AK152" s="104">
        <v>0</v>
      </c>
      <c r="AL152" s="104">
        <v>0</v>
      </c>
      <c r="AM152" s="104">
        <v>0</v>
      </c>
      <c r="AN152" s="104">
        <v>0</v>
      </c>
      <c r="AO152" s="104">
        <v>0</v>
      </c>
      <c r="AP152" s="104">
        <v>0</v>
      </c>
      <c r="AQ152" s="104">
        <v>0</v>
      </c>
      <c r="AR152" s="104">
        <v>0</v>
      </c>
      <c r="AS152" s="104">
        <v>0</v>
      </c>
      <c r="AT152" s="104">
        <v>0</v>
      </c>
      <c r="AU152" s="104">
        <v>0</v>
      </c>
      <c r="AV152" s="104">
        <v>0</v>
      </c>
      <c r="AW152" s="104">
        <v>0</v>
      </c>
      <c r="AX152" s="104">
        <v>0</v>
      </c>
      <c r="AZ152" s="104">
        <f t="shared" si="8"/>
        <v>36384</v>
      </c>
      <c r="BA152" s="104">
        <f t="shared" si="9"/>
        <v>1297</v>
      </c>
      <c r="BB152" s="96">
        <f t="shared" si="10"/>
        <v>0</v>
      </c>
      <c r="BC152" s="104">
        <f t="shared" si="11"/>
        <v>11204</v>
      </c>
    </row>
    <row r="153" spans="1:55">
      <c r="A153" s="102" t="s">
        <v>218</v>
      </c>
      <c r="B153" s="24" t="s">
        <v>567</v>
      </c>
      <c r="C153" s="103" t="s">
        <v>219</v>
      </c>
      <c r="D153" s="104">
        <v>2935</v>
      </c>
      <c r="E153" s="104">
        <v>450587</v>
      </c>
      <c r="F153" s="104">
        <v>8125</v>
      </c>
      <c r="G153" s="104">
        <v>1223</v>
      </c>
      <c r="H153" s="104">
        <v>0</v>
      </c>
      <c r="I153" s="104">
        <v>0</v>
      </c>
      <c r="J153" s="104">
        <v>0</v>
      </c>
      <c r="K153" s="104">
        <v>137590</v>
      </c>
      <c r="L153" s="104">
        <v>2450</v>
      </c>
      <c r="M153" s="104">
        <v>0</v>
      </c>
      <c r="N153" s="104">
        <v>734</v>
      </c>
      <c r="O153" s="104">
        <v>0</v>
      </c>
      <c r="P153" s="104">
        <v>0</v>
      </c>
      <c r="Q153" s="104">
        <v>0</v>
      </c>
      <c r="R153" s="104">
        <v>0</v>
      </c>
      <c r="S153" s="104">
        <v>0</v>
      </c>
      <c r="T153" s="104">
        <v>0</v>
      </c>
      <c r="U153" s="104">
        <v>0</v>
      </c>
      <c r="V153" s="104">
        <v>0</v>
      </c>
      <c r="W153" s="104">
        <v>0</v>
      </c>
      <c r="X153" s="104">
        <v>194145</v>
      </c>
      <c r="Y153" s="104">
        <v>3470</v>
      </c>
      <c r="Z153" s="104">
        <v>1040</v>
      </c>
      <c r="AA153" s="104">
        <v>0</v>
      </c>
      <c r="AB153" s="104">
        <v>0</v>
      </c>
      <c r="AC153" s="104">
        <v>0</v>
      </c>
      <c r="AD153" s="104">
        <v>0</v>
      </c>
      <c r="AE153" s="104">
        <v>0</v>
      </c>
      <c r="AF153" s="104">
        <v>0</v>
      </c>
      <c r="AG153" s="104">
        <v>0</v>
      </c>
      <c r="AH153" s="104">
        <v>0</v>
      </c>
      <c r="AI153" s="104">
        <v>0</v>
      </c>
      <c r="AJ153" s="104">
        <v>0</v>
      </c>
      <c r="AK153" s="104">
        <v>0</v>
      </c>
      <c r="AL153" s="104">
        <v>0</v>
      </c>
      <c r="AM153" s="104">
        <v>0</v>
      </c>
      <c r="AN153" s="104">
        <v>0</v>
      </c>
      <c r="AO153" s="104">
        <v>0</v>
      </c>
      <c r="AP153" s="104">
        <v>0</v>
      </c>
      <c r="AQ153" s="104">
        <v>0</v>
      </c>
      <c r="AR153" s="104">
        <v>0</v>
      </c>
      <c r="AS153" s="104">
        <v>0</v>
      </c>
      <c r="AT153" s="104">
        <v>0</v>
      </c>
      <c r="AU153" s="104">
        <v>0</v>
      </c>
      <c r="AV153" s="104">
        <v>0</v>
      </c>
      <c r="AW153" s="104">
        <v>0</v>
      </c>
      <c r="AX153" s="104">
        <v>0</v>
      </c>
      <c r="AZ153" s="104">
        <f t="shared" si="8"/>
        <v>782322</v>
      </c>
      <c r="BA153" s="104">
        <f t="shared" si="9"/>
        <v>14045</v>
      </c>
      <c r="BB153" s="96">
        <f t="shared" si="10"/>
        <v>0</v>
      </c>
      <c r="BC153" s="104">
        <f t="shared" si="11"/>
        <v>5932</v>
      </c>
    </row>
    <row r="154" spans="1:55">
      <c r="A154" s="102" t="s">
        <v>220</v>
      </c>
      <c r="B154" s="24" t="s">
        <v>568</v>
      </c>
      <c r="C154" s="103" t="s">
        <v>217</v>
      </c>
      <c r="D154" s="104">
        <v>0</v>
      </c>
      <c r="E154" s="104">
        <v>61194</v>
      </c>
      <c r="F154" s="104">
        <v>2298</v>
      </c>
      <c r="G154" s="104">
        <v>0</v>
      </c>
      <c r="H154" s="104">
        <v>0</v>
      </c>
      <c r="I154" s="104">
        <v>0</v>
      </c>
      <c r="J154" s="104">
        <v>0</v>
      </c>
      <c r="K154" s="104">
        <v>15505</v>
      </c>
      <c r="L154" s="104">
        <v>587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17416</v>
      </c>
      <c r="Y154" s="104">
        <v>661</v>
      </c>
      <c r="Z154" s="104">
        <v>0</v>
      </c>
      <c r="AA154" s="104">
        <v>0</v>
      </c>
      <c r="AB154" s="104">
        <v>0</v>
      </c>
      <c r="AC154" s="104">
        <v>0</v>
      </c>
      <c r="AD154" s="104">
        <v>0</v>
      </c>
      <c r="AE154" s="104">
        <v>0</v>
      </c>
      <c r="AF154" s="104">
        <v>0</v>
      </c>
      <c r="AG154" s="104">
        <v>0</v>
      </c>
      <c r="AH154" s="104">
        <v>0</v>
      </c>
      <c r="AI154" s="104">
        <v>0</v>
      </c>
      <c r="AJ154" s="104">
        <v>0</v>
      </c>
      <c r="AK154" s="104">
        <v>0</v>
      </c>
      <c r="AL154" s="104">
        <v>0</v>
      </c>
      <c r="AM154" s="104">
        <v>0</v>
      </c>
      <c r="AN154" s="104">
        <v>0</v>
      </c>
      <c r="AO154" s="104">
        <v>0</v>
      </c>
      <c r="AP154" s="104">
        <v>0</v>
      </c>
      <c r="AQ154" s="104">
        <v>0</v>
      </c>
      <c r="AR154" s="104">
        <v>0</v>
      </c>
      <c r="AS154" s="104">
        <v>0</v>
      </c>
      <c r="AT154" s="104">
        <v>0</v>
      </c>
      <c r="AU154" s="104">
        <v>0</v>
      </c>
      <c r="AV154" s="104">
        <v>0</v>
      </c>
      <c r="AW154" s="104">
        <v>0</v>
      </c>
      <c r="AX154" s="104">
        <v>0</v>
      </c>
      <c r="AZ154" s="104">
        <f t="shared" si="8"/>
        <v>94115</v>
      </c>
      <c r="BA154" s="104">
        <f t="shared" si="9"/>
        <v>3546</v>
      </c>
      <c r="BB154" s="96">
        <f t="shared" si="10"/>
        <v>0</v>
      </c>
      <c r="BC154" s="104">
        <f t="shared" si="11"/>
        <v>0</v>
      </c>
    </row>
    <row r="155" spans="1:55">
      <c r="A155" s="102" t="s">
        <v>221</v>
      </c>
      <c r="B155" s="24" t="s">
        <v>569</v>
      </c>
      <c r="C155" s="103" t="s">
        <v>222</v>
      </c>
      <c r="D155" s="104">
        <v>5248</v>
      </c>
      <c r="E155" s="104">
        <v>35056</v>
      </c>
      <c r="F155" s="104">
        <v>0</v>
      </c>
      <c r="G155" s="104">
        <v>3039</v>
      </c>
      <c r="H155" s="104">
        <v>0</v>
      </c>
      <c r="I155" s="104">
        <v>0</v>
      </c>
      <c r="J155" s="104">
        <v>0</v>
      </c>
      <c r="K155" s="104">
        <v>9652</v>
      </c>
      <c r="L155" s="104">
        <v>0</v>
      </c>
      <c r="M155" s="104">
        <v>885</v>
      </c>
      <c r="N155" s="104">
        <v>0</v>
      </c>
      <c r="O155" s="104">
        <v>0</v>
      </c>
      <c r="P155" s="104">
        <v>0</v>
      </c>
      <c r="Q155" s="104">
        <v>0</v>
      </c>
      <c r="R155" s="104">
        <v>0</v>
      </c>
      <c r="S155" s="104">
        <v>0</v>
      </c>
      <c r="T155" s="104">
        <v>0</v>
      </c>
      <c r="U155" s="104">
        <v>0</v>
      </c>
      <c r="V155" s="104">
        <v>0</v>
      </c>
      <c r="W155" s="104">
        <v>0</v>
      </c>
      <c r="X155" s="104">
        <v>0</v>
      </c>
      <c r="Y155" s="104">
        <v>0</v>
      </c>
      <c r="Z155" s="104">
        <v>0</v>
      </c>
      <c r="AA155" s="104">
        <v>0</v>
      </c>
      <c r="AB155" s="104">
        <v>0</v>
      </c>
      <c r="AC155" s="104">
        <v>0</v>
      </c>
      <c r="AD155" s="104">
        <v>0</v>
      </c>
      <c r="AE155" s="104">
        <v>0</v>
      </c>
      <c r="AF155" s="104">
        <v>0</v>
      </c>
      <c r="AG155" s="104">
        <v>0</v>
      </c>
      <c r="AH155" s="104">
        <v>0</v>
      </c>
      <c r="AI155" s="104">
        <v>0</v>
      </c>
      <c r="AJ155" s="104">
        <v>0</v>
      </c>
      <c r="AK155" s="104">
        <v>0</v>
      </c>
      <c r="AL155" s="104">
        <v>0</v>
      </c>
      <c r="AM155" s="104">
        <v>0</v>
      </c>
      <c r="AN155" s="104">
        <v>0</v>
      </c>
      <c r="AO155" s="104">
        <v>0</v>
      </c>
      <c r="AP155" s="104">
        <v>0</v>
      </c>
      <c r="AQ155" s="104">
        <v>0</v>
      </c>
      <c r="AR155" s="104">
        <v>0</v>
      </c>
      <c r="AS155" s="104">
        <v>0</v>
      </c>
      <c r="AT155" s="104">
        <v>0</v>
      </c>
      <c r="AU155" s="104">
        <v>0</v>
      </c>
      <c r="AV155" s="104">
        <v>0</v>
      </c>
      <c r="AW155" s="104">
        <v>0</v>
      </c>
      <c r="AX155" s="104">
        <v>0</v>
      </c>
      <c r="AZ155" s="104">
        <f t="shared" si="8"/>
        <v>44708</v>
      </c>
      <c r="BA155" s="104">
        <f t="shared" si="9"/>
        <v>0</v>
      </c>
      <c r="BB155" s="96">
        <f t="shared" si="10"/>
        <v>885</v>
      </c>
      <c r="BC155" s="104">
        <f t="shared" si="11"/>
        <v>8287</v>
      </c>
    </row>
    <row r="156" spans="1:55">
      <c r="A156" s="102" t="s">
        <v>223</v>
      </c>
      <c r="B156" s="24" t="s">
        <v>570</v>
      </c>
      <c r="C156" s="103" t="s">
        <v>224</v>
      </c>
      <c r="D156" s="104">
        <v>0</v>
      </c>
      <c r="E156" s="104">
        <v>124863</v>
      </c>
      <c r="F156" s="104">
        <v>6432</v>
      </c>
      <c r="G156" s="104">
        <v>0</v>
      </c>
      <c r="H156" s="104">
        <v>0</v>
      </c>
      <c r="I156" s="104">
        <v>0</v>
      </c>
      <c r="J156" s="104">
        <v>0</v>
      </c>
      <c r="K156" s="104">
        <v>28164</v>
      </c>
      <c r="L156" s="104">
        <v>1288</v>
      </c>
      <c r="M156" s="104">
        <v>0</v>
      </c>
      <c r="N156" s="104">
        <v>0</v>
      </c>
      <c r="O156" s="104">
        <v>0</v>
      </c>
      <c r="P156" s="104">
        <v>0</v>
      </c>
      <c r="Q156" s="104">
        <v>0</v>
      </c>
      <c r="R156" s="104">
        <v>0</v>
      </c>
      <c r="S156" s="104">
        <v>0</v>
      </c>
      <c r="T156" s="104">
        <v>0</v>
      </c>
      <c r="U156" s="104">
        <v>0</v>
      </c>
      <c r="V156" s="104">
        <v>0</v>
      </c>
      <c r="W156" s="104">
        <v>0</v>
      </c>
      <c r="X156" s="104">
        <v>94477</v>
      </c>
      <c r="Y156" s="104">
        <v>5175</v>
      </c>
      <c r="Z156" s="104">
        <v>0</v>
      </c>
      <c r="AA156" s="104">
        <v>0</v>
      </c>
      <c r="AB156" s="104">
        <v>0</v>
      </c>
      <c r="AC156" s="104">
        <v>0</v>
      </c>
      <c r="AD156" s="104">
        <v>0</v>
      </c>
      <c r="AE156" s="104">
        <v>0</v>
      </c>
      <c r="AF156" s="104">
        <v>0</v>
      </c>
      <c r="AG156" s="104">
        <v>0</v>
      </c>
      <c r="AH156" s="104">
        <v>0</v>
      </c>
      <c r="AI156" s="104">
        <v>0</v>
      </c>
      <c r="AJ156" s="104">
        <v>0</v>
      </c>
      <c r="AK156" s="104">
        <v>0</v>
      </c>
      <c r="AL156" s="104">
        <v>0</v>
      </c>
      <c r="AM156" s="104">
        <v>0</v>
      </c>
      <c r="AN156" s="104">
        <v>0</v>
      </c>
      <c r="AO156" s="104">
        <v>0</v>
      </c>
      <c r="AP156" s="104">
        <v>0</v>
      </c>
      <c r="AQ156" s="104">
        <v>0</v>
      </c>
      <c r="AR156" s="104">
        <v>0</v>
      </c>
      <c r="AS156" s="104">
        <v>21599</v>
      </c>
      <c r="AT156" s="104">
        <v>1251</v>
      </c>
      <c r="AU156" s="104">
        <v>0</v>
      </c>
      <c r="AV156" s="104">
        <v>10396</v>
      </c>
      <c r="AW156" s="104">
        <v>391</v>
      </c>
      <c r="AX156" s="104">
        <v>0</v>
      </c>
      <c r="AZ156" s="104">
        <f t="shared" si="8"/>
        <v>247504</v>
      </c>
      <c r="BA156" s="104">
        <f t="shared" si="9"/>
        <v>12895</v>
      </c>
      <c r="BB156" s="96">
        <f t="shared" si="10"/>
        <v>0</v>
      </c>
      <c r="BC156" s="104">
        <f t="shared" si="11"/>
        <v>0</v>
      </c>
    </row>
    <row r="157" spans="1:55">
      <c r="A157" s="102" t="s">
        <v>225</v>
      </c>
      <c r="B157" s="24" t="s">
        <v>226</v>
      </c>
      <c r="C157" s="103" t="s">
        <v>226</v>
      </c>
      <c r="D157" s="104">
        <v>0</v>
      </c>
      <c r="E157" s="104">
        <v>24043</v>
      </c>
      <c r="F157" s="104">
        <v>418</v>
      </c>
      <c r="G157" s="104">
        <v>0</v>
      </c>
      <c r="H157" s="104">
        <v>0</v>
      </c>
      <c r="I157" s="104">
        <v>0</v>
      </c>
      <c r="J157" s="104">
        <v>0</v>
      </c>
      <c r="K157" s="104">
        <v>4392</v>
      </c>
      <c r="L157" s="104">
        <v>79</v>
      </c>
      <c r="M157" s="104">
        <v>0</v>
      </c>
      <c r="N157" s="104">
        <v>0</v>
      </c>
      <c r="O157" s="104">
        <v>0</v>
      </c>
      <c r="P157" s="104">
        <v>0</v>
      </c>
      <c r="Q157" s="104">
        <v>0</v>
      </c>
      <c r="R157" s="104">
        <v>0</v>
      </c>
      <c r="S157" s="104">
        <v>0</v>
      </c>
      <c r="T157" s="104">
        <v>0</v>
      </c>
      <c r="U157" s="104">
        <v>0</v>
      </c>
      <c r="V157" s="104">
        <v>0</v>
      </c>
      <c r="W157" s="104">
        <v>0</v>
      </c>
      <c r="X157" s="104">
        <v>18599</v>
      </c>
      <c r="Y157" s="104">
        <v>333</v>
      </c>
      <c r="Z157" s="104">
        <v>0</v>
      </c>
      <c r="AA157" s="104">
        <v>0</v>
      </c>
      <c r="AB157" s="104">
        <v>0</v>
      </c>
      <c r="AC157" s="104">
        <v>0</v>
      </c>
      <c r="AD157" s="104">
        <v>0</v>
      </c>
      <c r="AE157" s="104">
        <v>0</v>
      </c>
      <c r="AF157" s="104">
        <v>0</v>
      </c>
      <c r="AG157" s="104">
        <v>0</v>
      </c>
      <c r="AH157" s="104">
        <v>0</v>
      </c>
      <c r="AI157" s="104">
        <v>0</v>
      </c>
      <c r="AJ157" s="104">
        <v>0</v>
      </c>
      <c r="AK157" s="104">
        <v>0</v>
      </c>
      <c r="AL157" s="104">
        <v>0</v>
      </c>
      <c r="AM157" s="104">
        <v>0</v>
      </c>
      <c r="AN157" s="104">
        <v>0</v>
      </c>
      <c r="AO157" s="104">
        <v>0</v>
      </c>
      <c r="AP157" s="104">
        <v>0</v>
      </c>
      <c r="AQ157" s="104">
        <v>0</v>
      </c>
      <c r="AR157" s="104">
        <v>0</v>
      </c>
      <c r="AS157" s="104">
        <v>3295</v>
      </c>
      <c r="AT157" s="104">
        <v>59</v>
      </c>
      <c r="AU157" s="104">
        <v>0</v>
      </c>
      <c r="AV157" s="104">
        <v>1098</v>
      </c>
      <c r="AW157" s="104">
        <v>20</v>
      </c>
      <c r="AX157" s="104">
        <v>0</v>
      </c>
      <c r="AZ157" s="104">
        <f t="shared" si="8"/>
        <v>47034</v>
      </c>
      <c r="BA157" s="104">
        <f t="shared" si="9"/>
        <v>830</v>
      </c>
      <c r="BB157" s="96">
        <f t="shared" si="10"/>
        <v>0</v>
      </c>
      <c r="BC157" s="104">
        <f t="shared" si="11"/>
        <v>0</v>
      </c>
    </row>
    <row r="158" spans="1:55">
      <c r="A158" s="102" t="s">
        <v>227</v>
      </c>
      <c r="B158" s="24" t="s">
        <v>571</v>
      </c>
      <c r="C158" s="103" t="s">
        <v>226</v>
      </c>
      <c r="D158" s="104">
        <v>0</v>
      </c>
      <c r="E158" s="104">
        <v>25187</v>
      </c>
      <c r="F158" s="104">
        <v>511</v>
      </c>
      <c r="G158" s="104">
        <v>0</v>
      </c>
      <c r="H158" s="104">
        <v>0</v>
      </c>
      <c r="I158" s="104">
        <v>0</v>
      </c>
      <c r="J158" s="104">
        <v>0</v>
      </c>
      <c r="K158" s="104">
        <v>8558</v>
      </c>
      <c r="L158" s="104">
        <v>152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X158" s="104">
        <v>10303</v>
      </c>
      <c r="Y158" s="104">
        <v>227</v>
      </c>
      <c r="Z158" s="104">
        <v>0</v>
      </c>
      <c r="AA158" s="104">
        <v>0</v>
      </c>
      <c r="AB158" s="104">
        <v>0</v>
      </c>
      <c r="AC158" s="104">
        <v>0</v>
      </c>
      <c r="AD158" s="104">
        <v>0</v>
      </c>
      <c r="AE158" s="104">
        <v>0</v>
      </c>
      <c r="AF158" s="104">
        <v>0</v>
      </c>
      <c r="AG158" s="104">
        <v>0</v>
      </c>
      <c r="AH158" s="104">
        <v>0</v>
      </c>
      <c r="AI158" s="104">
        <v>0</v>
      </c>
      <c r="AJ158" s="104">
        <v>0</v>
      </c>
      <c r="AK158" s="104">
        <v>0</v>
      </c>
      <c r="AL158" s="104">
        <v>0</v>
      </c>
      <c r="AM158" s="104">
        <v>0</v>
      </c>
      <c r="AN158" s="104">
        <v>0</v>
      </c>
      <c r="AO158" s="104">
        <v>0</v>
      </c>
      <c r="AP158" s="104">
        <v>0</v>
      </c>
      <c r="AQ158" s="104">
        <v>0</v>
      </c>
      <c r="AR158" s="104">
        <v>0</v>
      </c>
      <c r="AS158" s="104">
        <v>5619</v>
      </c>
      <c r="AT158" s="104">
        <v>113</v>
      </c>
      <c r="AU158" s="104">
        <v>0</v>
      </c>
      <c r="AV158" s="104">
        <v>1070</v>
      </c>
      <c r="AW158" s="104">
        <v>22</v>
      </c>
      <c r="AX158" s="104">
        <v>0</v>
      </c>
      <c r="AZ158" s="104">
        <f t="shared" si="8"/>
        <v>44048</v>
      </c>
      <c r="BA158" s="104">
        <f t="shared" si="9"/>
        <v>890</v>
      </c>
      <c r="BB158" s="96">
        <f t="shared" si="10"/>
        <v>0</v>
      </c>
      <c r="BC158" s="104">
        <f t="shared" si="11"/>
        <v>0</v>
      </c>
    </row>
    <row r="159" spans="1:55">
      <c r="A159" s="102" t="s">
        <v>228</v>
      </c>
      <c r="B159" s="24" t="s">
        <v>572</v>
      </c>
      <c r="C159" s="103" t="s">
        <v>226</v>
      </c>
      <c r="D159" s="104">
        <v>0</v>
      </c>
      <c r="E159" s="104">
        <v>9804</v>
      </c>
      <c r="F159" s="104">
        <v>104</v>
      </c>
      <c r="G159" s="104">
        <v>0</v>
      </c>
      <c r="H159" s="104">
        <v>0</v>
      </c>
      <c r="I159" s="104">
        <v>0</v>
      </c>
      <c r="J159" s="104">
        <v>0</v>
      </c>
      <c r="K159" s="104">
        <v>7382</v>
      </c>
      <c r="L159" s="104">
        <v>73</v>
      </c>
      <c r="M159" s="104">
        <v>0</v>
      </c>
      <c r="N159" s="104">
        <v>0</v>
      </c>
      <c r="O159" s="104">
        <v>0</v>
      </c>
      <c r="P159" s="104">
        <v>0</v>
      </c>
      <c r="Q159" s="104">
        <v>0</v>
      </c>
      <c r="R159" s="104">
        <v>0</v>
      </c>
      <c r="S159" s="104">
        <v>0</v>
      </c>
      <c r="T159" s="104">
        <v>0</v>
      </c>
      <c r="U159" s="104">
        <v>0</v>
      </c>
      <c r="V159" s="104">
        <v>0</v>
      </c>
      <c r="W159" s="104">
        <v>0</v>
      </c>
      <c r="X159" s="104">
        <v>0</v>
      </c>
      <c r="Y159" s="104">
        <v>0</v>
      </c>
      <c r="Z159" s="104">
        <v>0</v>
      </c>
      <c r="AA159" s="104">
        <v>0</v>
      </c>
      <c r="AB159" s="104">
        <v>0</v>
      </c>
      <c r="AC159" s="104">
        <v>0</v>
      </c>
      <c r="AD159" s="104">
        <v>0</v>
      </c>
      <c r="AE159" s="104">
        <v>0</v>
      </c>
      <c r="AF159" s="104">
        <v>0</v>
      </c>
      <c r="AG159" s="104">
        <v>0</v>
      </c>
      <c r="AH159" s="104">
        <v>0</v>
      </c>
      <c r="AI159" s="104">
        <v>0</v>
      </c>
      <c r="AJ159" s="104">
        <v>0</v>
      </c>
      <c r="AK159" s="104">
        <v>0</v>
      </c>
      <c r="AL159" s="104">
        <v>0</v>
      </c>
      <c r="AM159" s="104">
        <v>0</v>
      </c>
      <c r="AN159" s="104">
        <v>0</v>
      </c>
      <c r="AO159" s="104">
        <v>0</v>
      </c>
      <c r="AP159" s="104">
        <v>0</v>
      </c>
      <c r="AQ159" s="104">
        <v>0</v>
      </c>
      <c r="AR159" s="104">
        <v>0</v>
      </c>
      <c r="AS159" s="104">
        <v>1892</v>
      </c>
      <c r="AT159" s="104">
        <v>29</v>
      </c>
      <c r="AU159" s="104">
        <v>0</v>
      </c>
      <c r="AV159" s="104">
        <v>0</v>
      </c>
      <c r="AW159" s="104">
        <v>0</v>
      </c>
      <c r="AX159" s="104">
        <v>0</v>
      </c>
      <c r="AZ159" s="104">
        <f t="shared" si="8"/>
        <v>17186</v>
      </c>
      <c r="BA159" s="104">
        <f t="shared" si="9"/>
        <v>177</v>
      </c>
      <c r="BB159" s="96">
        <f t="shared" si="10"/>
        <v>0</v>
      </c>
      <c r="BC159" s="104">
        <f t="shared" si="11"/>
        <v>0</v>
      </c>
    </row>
    <row r="160" spans="1:55">
      <c r="A160" s="102" t="s">
        <v>229</v>
      </c>
      <c r="B160" s="24" t="s">
        <v>573</v>
      </c>
      <c r="C160" s="103" t="s">
        <v>230</v>
      </c>
      <c r="D160" s="104">
        <v>1457</v>
      </c>
      <c r="E160" s="104">
        <v>103787</v>
      </c>
      <c r="F160" s="104">
        <v>1516</v>
      </c>
      <c r="G160" s="104">
        <v>969</v>
      </c>
      <c r="H160" s="104">
        <v>0</v>
      </c>
      <c r="I160" s="104">
        <v>0</v>
      </c>
      <c r="J160" s="104">
        <v>0</v>
      </c>
      <c r="K160" s="104">
        <v>28258</v>
      </c>
      <c r="L160" s="104">
        <v>413</v>
      </c>
      <c r="M160" s="104">
        <v>0</v>
      </c>
      <c r="N160" s="104">
        <v>326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Z160" s="104">
        <v>0</v>
      </c>
      <c r="AA160" s="104">
        <v>0</v>
      </c>
      <c r="AB160" s="104">
        <v>0</v>
      </c>
      <c r="AC160" s="104">
        <v>0</v>
      </c>
      <c r="AD160" s="104">
        <v>0</v>
      </c>
      <c r="AE160" s="104">
        <v>0</v>
      </c>
      <c r="AF160" s="104">
        <v>0</v>
      </c>
      <c r="AG160" s="104">
        <v>0</v>
      </c>
      <c r="AH160" s="104">
        <v>0</v>
      </c>
      <c r="AI160" s="104">
        <v>0</v>
      </c>
      <c r="AJ160" s="104">
        <v>0</v>
      </c>
      <c r="AK160" s="104">
        <v>0</v>
      </c>
      <c r="AL160" s="104">
        <v>0</v>
      </c>
      <c r="AM160" s="104">
        <v>0</v>
      </c>
      <c r="AN160" s="104">
        <v>0</v>
      </c>
      <c r="AO160" s="104">
        <v>0</v>
      </c>
      <c r="AP160" s="104">
        <v>0</v>
      </c>
      <c r="AQ160" s="104">
        <v>0</v>
      </c>
      <c r="AR160" s="104">
        <v>0</v>
      </c>
      <c r="AS160" s="104">
        <v>0</v>
      </c>
      <c r="AT160" s="104">
        <v>0</v>
      </c>
      <c r="AU160" s="104">
        <v>0</v>
      </c>
      <c r="AV160" s="104">
        <v>0</v>
      </c>
      <c r="AW160" s="104">
        <v>0</v>
      </c>
      <c r="AX160" s="104">
        <v>0</v>
      </c>
      <c r="AZ160" s="104">
        <f t="shared" si="8"/>
        <v>132045</v>
      </c>
      <c r="BA160" s="104">
        <f t="shared" si="9"/>
        <v>1929</v>
      </c>
      <c r="BB160" s="96">
        <f t="shared" si="10"/>
        <v>0</v>
      </c>
      <c r="BC160" s="104">
        <f t="shared" si="11"/>
        <v>2752</v>
      </c>
    </row>
    <row r="161" spans="1:55">
      <c r="A161" s="102" t="s">
        <v>231</v>
      </c>
      <c r="B161" s="24" t="s">
        <v>574</v>
      </c>
      <c r="C161" s="103" t="s">
        <v>232</v>
      </c>
      <c r="D161" s="104">
        <v>0</v>
      </c>
      <c r="E161" s="104">
        <v>158950</v>
      </c>
      <c r="F161" s="104">
        <v>2499</v>
      </c>
      <c r="G161" s="104">
        <v>0</v>
      </c>
      <c r="H161" s="104">
        <v>0</v>
      </c>
      <c r="I161" s="104">
        <v>0</v>
      </c>
      <c r="J161" s="104">
        <v>0</v>
      </c>
      <c r="K161" s="104">
        <v>35967</v>
      </c>
      <c r="L161" s="104">
        <v>574</v>
      </c>
      <c r="M161" s="104">
        <v>0</v>
      </c>
      <c r="N161" s="104">
        <v>0</v>
      </c>
      <c r="O161" s="104">
        <v>0</v>
      </c>
      <c r="P161" s="104">
        <v>0</v>
      </c>
      <c r="Q161" s="104">
        <v>0</v>
      </c>
      <c r="R161" s="104">
        <v>0</v>
      </c>
      <c r="S161" s="104">
        <v>0</v>
      </c>
      <c r="T161" s="104">
        <v>0</v>
      </c>
      <c r="U161" s="104">
        <v>0</v>
      </c>
      <c r="V161" s="104">
        <v>0</v>
      </c>
      <c r="W161" s="104">
        <v>0</v>
      </c>
      <c r="X161" s="104">
        <v>110434</v>
      </c>
      <c r="Y161" s="104">
        <v>1829</v>
      </c>
      <c r="Z161" s="104">
        <v>0</v>
      </c>
      <c r="AA161" s="104">
        <v>0</v>
      </c>
      <c r="AB161" s="104">
        <v>0</v>
      </c>
      <c r="AC161" s="104">
        <v>0</v>
      </c>
      <c r="AD161" s="104">
        <v>0</v>
      </c>
      <c r="AE161" s="104">
        <v>0</v>
      </c>
      <c r="AF161" s="104">
        <v>0</v>
      </c>
      <c r="AG161" s="104">
        <v>0</v>
      </c>
      <c r="AH161" s="104">
        <v>0</v>
      </c>
      <c r="AI161" s="104">
        <v>0</v>
      </c>
      <c r="AJ161" s="104">
        <v>0</v>
      </c>
      <c r="AK161" s="104">
        <v>0</v>
      </c>
      <c r="AL161" s="104">
        <v>0</v>
      </c>
      <c r="AM161" s="104">
        <v>0</v>
      </c>
      <c r="AN161" s="104">
        <v>0</v>
      </c>
      <c r="AO161" s="104">
        <v>0</v>
      </c>
      <c r="AP161" s="104">
        <v>0</v>
      </c>
      <c r="AQ161" s="104">
        <v>0</v>
      </c>
      <c r="AR161" s="104">
        <v>0</v>
      </c>
      <c r="AS161" s="104">
        <v>47013</v>
      </c>
      <c r="AT161" s="104">
        <v>794</v>
      </c>
      <c r="AU161" s="104">
        <v>0</v>
      </c>
      <c r="AV161" s="104">
        <v>9379</v>
      </c>
      <c r="AW161" s="104">
        <v>158</v>
      </c>
      <c r="AX161" s="104">
        <v>0</v>
      </c>
      <c r="AZ161" s="104">
        <f t="shared" si="8"/>
        <v>305351</v>
      </c>
      <c r="BA161" s="104">
        <f t="shared" si="9"/>
        <v>4902</v>
      </c>
      <c r="BB161" s="96">
        <f t="shared" si="10"/>
        <v>0</v>
      </c>
      <c r="BC161" s="104">
        <f t="shared" si="11"/>
        <v>0</v>
      </c>
    </row>
    <row r="162" spans="1:55">
      <c r="A162" s="102" t="s">
        <v>233</v>
      </c>
      <c r="B162" s="24" t="s">
        <v>575</v>
      </c>
      <c r="C162" s="103" t="s">
        <v>234</v>
      </c>
      <c r="D162" s="104">
        <v>0</v>
      </c>
      <c r="E162" s="104">
        <v>20200</v>
      </c>
      <c r="F162" s="104">
        <v>2012</v>
      </c>
      <c r="G162" s="104">
        <v>0</v>
      </c>
      <c r="H162" s="104">
        <v>0</v>
      </c>
      <c r="I162" s="104">
        <v>0</v>
      </c>
      <c r="J162" s="104">
        <v>0</v>
      </c>
      <c r="K162" s="104">
        <v>6517</v>
      </c>
      <c r="L162" s="104">
        <v>668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8114</v>
      </c>
      <c r="Y162" s="104">
        <v>776</v>
      </c>
      <c r="Z162" s="104">
        <v>0</v>
      </c>
      <c r="AA162" s="104">
        <v>0</v>
      </c>
      <c r="AB162" s="104">
        <v>0</v>
      </c>
      <c r="AC162" s="104">
        <v>0</v>
      </c>
      <c r="AD162" s="104">
        <v>0</v>
      </c>
      <c r="AE162" s="104">
        <v>0</v>
      </c>
      <c r="AF162" s="104">
        <v>0</v>
      </c>
      <c r="AG162" s="104">
        <v>0</v>
      </c>
      <c r="AH162" s="104">
        <v>0</v>
      </c>
      <c r="AI162" s="104">
        <v>0</v>
      </c>
      <c r="AJ162" s="104">
        <v>0</v>
      </c>
      <c r="AK162" s="104">
        <v>0</v>
      </c>
      <c r="AL162" s="104">
        <v>0</v>
      </c>
      <c r="AM162" s="104">
        <v>0</v>
      </c>
      <c r="AN162" s="104">
        <v>0</v>
      </c>
      <c r="AO162" s="104">
        <v>0</v>
      </c>
      <c r="AP162" s="104">
        <v>0</v>
      </c>
      <c r="AQ162" s="104">
        <v>0</v>
      </c>
      <c r="AR162" s="104">
        <v>0</v>
      </c>
      <c r="AS162" s="104">
        <v>1781</v>
      </c>
      <c r="AT162" s="104">
        <v>14</v>
      </c>
      <c r="AU162" s="104">
        <v>0</v>
      </c>
      <c r="AV162" s="104">
        <v>0</v>
      </c>
      <c r="AW162" s="104">
        <v>0</v>
      </c>
      <c r="AX162" s="104">
        <v>0</v>
      </c>
      <c r="AZ162" s="104">
        <f t="shared" si="8"/>
        <v>34831</v>
      </c>
      <c r="BA162" s="104">
        <f t="shared" si="9"/>
        <v>3456</v>
      </c>
      <c r="BB162" s="96">
        <f t="shared" si="10"/>
        <v>0</v>
      </c>
      <c r="BC162" s="104">
        <f t="shared" si="11"/>
        <v>0</v>
      </c>
    </row>
    <row r="163" spans="1:55">
      <c r="A163" s="102" t="s">
        <v>235</v>
      </c>
      <c r="B163" s="24" t="s">
        <v>576</v>
      </c>
      <c r="C163" s="103" t="s">
        <v>234</v>
      </c>
      <c r="D163" s="104">
        <v>0</v>
      </c>
      <c r="E163" s="104">
        <v>16367</v>
      </c>
      <c r="F163" s="104">
        <v>360</v>
      </c>
      <c r="G163" s="104">
        <v>0</v>
      </c>
      <c r="H163" s="104">
        <v>0</v>
      </c>
      <c r="I163" s="104">
        <v>0</v>
      </c>
      <c r="J163" s="104">
        <v>0</v>
      </c>
      <c r="K163" s="104">
        <v>9026</v>
      </c>
      <c r="L163" s="104">
        <v>211</v>
      </c>
      <c r="M163" s="104">
        <v>267</v>
      </c>
      <c r="N163" s="104">
        <v>0</v>
      </c>
      <c r="O163" s="104">
        <v>0</v>
      </c>
      <c r="P163" s="104">
        <v>0</v>
      </c>
      <c r="Q163" s="104">
        <v>0</v>
      </c>
      <c r="R163" s="104">
        <v>0</v>
      </c>
      <c r="S163" s="104">
        <v>0</v>
      </c>
      <c r="T163" s="104">
        <v>0</v>
      </c>
      <c r="U163" s="104">
        <v>0</v>
      </c>
      <c r="V163" s="104">
        <v>0</v>
      </c>
      <c r="W163" s="104">
        <v>0</v>
      </c>
      <c r="X163" s="104">
        <v>49732</v>
      </c>
      <c r="Y163" s="104">
        <v>1027</v>
      </c>
      <c r="Z163" s="104">
        <v>0</v>
      </c>
      <c r="AA163" s="104">
        <v>0</v>
      </c>
      <c r="AB163" s="104">
        <v>0</v>
      </c>
      <c r="AC163" s="104">
        <v>0</v>
      </c>
      <c r="AD163" s="104">
        <v>0</v>
      </c>
      <c r="AE163" s="104">
        <v>0</v>
      </c>
      <c r="AF163" s="104">
        <v>0</v>
      </c>
      <c r="AG163" s="104">
        <v>0</v>
      </c>
      <c r="AH163" s="104">
        <v>0</v>
      </c>
      <c r="AI163" s="104">
        <v>0</v>
      </c>
      <c r="AJ163" s="104">
        <v>0</v>
      </c>
      <c r="AK163" s="104">
        <v>0</v>
      </c>
      <c r="AL163" s="104">
        <v>0</v>
      </c>
      <c r="AM163" s="104">
        <v>0</v>
      </c>
      <c r="AN163" s="104">
        <v>0</v>
      </c>
      <c r="AO163" s="104">
        <v>0</v>
      </c>
      <c r="AP163" s="104">
        <v>0</v>
      </c>
      <c r="AQ163" s="104">
        <v>0</v>
      </c>
      <c r="AR163" s="104">
        <v>0</v>
      </c>
      <c r="AS163" s="104">
        <v>0</v>
      </c>
      <c r="AT163" s="104">
        <v>0</v>
      </c>
      <c r="AU163" s="104">
        <v>0</v>
      </c>
      <c r="AV163" s="104">
        <v>0</v>
      </c>
      <c r="AW163" s="104">
        <v>0</v>
      </c>
      <c r="AX163" s="104">
        <v>0</v>
      </c>
      <c r="AZ163" s="104">
        <f t="shared" si="8"/>
        <v>75125</v>
      </c>
      <c r="BA163" s="104">
        <f t="shared" si="9"/>
        <v>1598</v>
      </c>
      <c r="BB163" s="96">
        <f t="shared" si="10"/>
        <v>267</v>
      </c>
      <c r="BC163" s="104">
        <f t="shared" si="11"/>
        <v>0</v>
      </c>
    </row>
    <row r="164" spans="1:55">
      <c r="A164" s="102" t="s">
        <v>236</v>
      </c>
      <c r="B164" s="24" t="s">
        <v>577</v>
      </c>
      <c r="C164" s="103" t="s">
        <v>232</v>
      </c>
      <c r="D164" s="104">
        <v>0</v>
      </c>
      <c r="E164" s="104">
        <v>35503</v>
      </c>
      <c r="F164" s="104">
        <v>737</v>
      </c>
      <c r="G164" s="104">
        <v>0</v>
      </c>
      <c r="H164" s="104">
        <v>0</v>
      </c>
      <c r="I164" s="104">
        <v>0</v>
      </c>
      <c r="J164" s="104">
        <v>0</v>
      </c>
      <c r="K164" s="104">
        <v>7170</v>
      </c>
      <c r="L164" s="104">
        <v>169</v>
      </c>
      <c r="M164" s="104">
        <v>0</v>
      </c>
      <c r="N164" s="104">
        <v>0</v>
      </c>
      <c r="O164" s="104">
        <v>0</v>
      </c>
      <c r="P164" s="104">
        <v>0</v>
      </c>
      <c r="Q164" s="104">
        <v>0</v>
      </c>
      <c r="R164" s="104">
        <v>0</v>
      </c>
      <c r="S164" s="104">
        <v>0</v>
      </c>
      <c r="T164" s="104">
        <v>0</v>
      </c>
      <c r="U164" s="104">
        <v>0</v>
      </c>
      <c r="V164" s="104">
        <v>0</v>
      </c>
      <c r="W164" s="104">
        <v>0</v>
      </c>
      <c r="X164" s="104">
        <v>54221</v>
      </c>
      <c r="Y164" s="104">
        <v>1107</v>
      </c>
      <c r="Z164" s="104">
        <v>0</v>
      </c>
      <c r="AA164" s="104">
        <v>0</v>
      </c>
      <c r="AB164" s="104">
        <v>0</v>
      </c>
      <c r="AC164" s="104">
        <v>0</v>
      </c>
      <c r="AD164" s="104">
        <v>0</v>
      </c>
      <c r="AE164" s="104">
        <v>0</v>
      </c>
      <c r="AF164" s="104">
        <v>0</v>
      </c>
      <c r="AG164" s="104">
        <v>0</v>
      </c>
      <c r="AH164" s="104">
        <v>0</v>
      </c>
      <c r="AI164" s="104">
        <v>0</v>
      </c>
      <c r="AJ164" s="104">
        <v>0</v>
      </c>
      <c r="AK164" s="104">
        <v>0</v>
      </c>
      <c r="AL164" s="104">
        <v>0</v>
      </c>
      <c r="AM164" s="104">
        <v>0</v>
      </c>
      <c r="AN164" s="104">
        <v>0</v>
      </c>
      <c r="AO164" s="104">
        <v>0</v>
      </c>
      <c r="AP164" s="104">
        <v>0</v>
      </c>
      <c r="AQ164" s="104">
        <v>0</v>
      </c>
      <c r="AR164" s="104">
        <v>0</v>
      </c>
      <c r="AS164" s="104">
        <v>10196</v>
      </c>
      <c r="AT164" s="104">
        <v>216</v>
      </c>
      <c r="AU164" s="104">
        <v>0</v>
      </c>
      <c r="AV164" s="104">
        <v>0</v>
      </c>
      <c r="AW164" s="104">
        <v>0</v>
      </c>
      <c r="AX164" s="104">
        <v>0</v>
      </c>
      <c r="AZ164" s="104">
        <f t="shared" si="8"/>
        <v>96894</v>
      </c>
      <c r="BA164" s="104">
        <f t="shared" si="9"/>
        <v>2013</v>
      </c>
      <c r="BB164" s="96">
        <f t="shared" si="10"/>
        <v>0</v>
      </c>
      <c r="BC164" s="104">
        <f t="shared" si="11"/>
        <v>0</v>
      </c>
    </row>
    <row r="165" spans="1:55">
      <c r="A165" s="102" t="s">
        <v>237</v>
      </c>
      <c r="B165" s="24" t="s">
        <v>578</v>
      </c>
      <c r="C165" s="103" t="s">
        <v>232</v>
      </c>
      <c r="D165" s="104">
        <v>0</v>
      </c>
      <c r="E165" s="104">
        <v>61005</v>
      </c>
      <c r="F165" s="104">
        <v>1245</v>
      </c>
      <c r="G165" s="104">
        <v>0</v>
      </c>
      <c r="H165" s="104">
        <v>0</v>
      </c>
      <c r="I165" s="104">
        <v>0</v>
      </c>
      <c r="J165" s="104">
        <v>0</v>
      </c>
      <c r="K165" s="104">
        <v>10034</v>
      </c>
      <c r="L165" s="104">
        <v>222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70604</v>
      </c>
      <c r="Y165" s="104">
        <v>1470</v>
      </c>
      <c r="Z165" s="104">
        <v>0</v>
      </c>
      <c r="AA165" s="104">
        <v>0</v>
      </c>
      <c r="AB165" s="104">
        <v>0</v>
      </c>
      <c r="AC165" s="104">
        <v>0</v>
      </c>
      <c r="AD165" s="104">
        <v>0</v>
      </c>
      <c r="AE165" s="104">
        <v>0</v>
      </c>
      <c r="AF165" s="104">
        <v>0</v>
      </c>
      <c r="AG165" s="104">
        <v>0</v>
      </c>
      <c r="AH165" s="104">
        <v>0</v>
      </c>
      <c r="AI165" s="104">
        <v>0</v>
      </c>
      <c r="AJ165" s="104">
        <v>0</v>
      </c>
      <c r="AK165" s="104">
        <v>0</v>
      </c>
      <c r="AL165" s="104">
        <v>0</v>
      </c>
      <c r="AM165" s="104">
        <v>0</v>
      </c>
      <c r="AN165" s="104">
        <v>0</v>
      </c>
      <c r="AO165" s="104">
        <v>0</v>
      </c>
      <c r="AP165" s="104">
        <v>0</v>
      </c>
      <c r="AQ165" s="104">
        <v>0</v>
      </c>
      <c r="AR165" s="104">
        <v>0</v>
      </c>
      <c r="AS165" s="104">
        <v>0</v>
      </c>
      <c r="AT165" s="104">
        <v>0</v>
      </c>
      <c r="AU165" s="104">
        <v>0</v>
      </c>
      <c r="AV165" s="104">
        <v>0</v>
      </c>
      <c r="AW165" s="104">
        <v>0</v>
      </c>
      <c r="AX165" s="104">
        <v>0</v>
      </c>
      <c r="AZ165" s="104">
        <f t="shared" si="8"/>
        <v>141643</v>
      </c>
      <c r="BA165" s="104">
        <f t="shared" si="9"/>
        <v>2937</v>
      </c>
      <c r="BB165" s="96">
        <f t="shared" si="10"/>
        <v>0</v>
      </c>
      <c r="BC165" s="104">
        <f t="shared" si="11"/>
        <v>0</v>
      </c>
    </row>
    <row r="166" spans="1:55">
      <c r="A166" s="102" t="s">
        <v>238</v>
      </c>
      <c r="B166" s="24" t="s">
        <v>579</v>
      </c>
      <c r="C166" s="103" t="s">
        <v>232</v>
      </c>
      <c r="D166" s="104">
        <v>0</v>
      </c>
      <c r="E166" s="104">
        <v>30363</v>
      </c>
      <c r="F166" s="104">
        <v>1861</v>
      </c>
      <c r="G166" s="104">
        <v>13139</v>
      </c>
      <c r="H166" s="104">
        <v>0</v>
      </c>
      <c r="I166" s="104">
        <v>0</v>
      </c>
      <c r="J166" s="104">
        <v>0</v>
      </c>
      <c r="K166" s="104">
        <v>0</v>
      </c>
      <c r="L166" s="104">
        <v>0</v>
      </c>
      <c r="M166" s="104">
        <v>0</v>
      </c>
      <c r="N166" s="104">
        <v>0</v>
      </c>
      <c r="O166" s="104">
        <v>0</v>
      </c>
      <c r="P166" s="104">
        <v>0</v>
      </c>
      <c r="Q166" s="104">
        <v>0</v>
      </c>
      <c r="R166" s="104">
        <v>0</v>
      </c>
      <c r="S166" s="104">
        <v>0</v>
      </c>
      <c r="T166" s="104">
        <v>0</v>
      </c>
      <c r="U166" s="104">
        <v>0</v>
      </c>
      <c r="V166" s="104">
        <v>0</v>
      </c>
      <c r="W166" s="104">
        <v>0</v>
      </c>
      <c r="X166" s="104">
        <v>40779</v>
      </c>
      <c r="Y166" s="104">
        <v>3096</v>
      </c>
      <c r="Z166" s="104">
        <v>0</v>
      </c>
      <c r="AA166" s="104">
        <v>0</v>
      </c>
      <c r="AB166" s="104">
        <v>0</v>
      </c>
      <c r="AC166" s="104">
        <v>0</v>
      </c>
      <c r="AD166" s="104">
        <v>0</v>
      </c>
      <c r="AE166" s="104">
        <v>0</v>
      </c>
      <c r="AF166" s="104">
        <v>0</v>
      </c>
      <c r="AG166" s="104">
        <v>0</v>
      </c>
      <c r="AH166" s="104">
        <v>0</v>
      </c>
      <c r="AI166" s="104">
        <v>0</v>
      </c>
      <c r="AJ166" s="104">
        <v>0</v>
      </c>
      <c r="AK166" s="104">
        <v>0</v>
      </c>
      <c r="AL166" s="104">
        <v>0</v>
      </c>
      <c r="AM166" s="104">
        <v>0</v>
      </c>
      <c r="AN166" s="104">
        <v>0</v>
      </c>
      <c r="AO166" s="104">
        <v>0</v>
      </c>
      <c r="AP166" s="104">
        <v>0</v>
      </c>
      <c r="AQ166" s="104">
        <v>0</v>
      </c>
      <c r="AR166" s="104">
        <v>0</v>
      </c>
      <c r="AS166" s="104">
        <v>0</v>
      </c>
      <c r="AT166" s="104">
        <v>0</v>
      </c>
      <c r="AU166" s="104">
        <v>0</v>
      </c>
      <c r="AV166" s="104">
        <v>0</v>
      </c>
      <c r="AW166" s="104">
        <v>0</v>
      </c>
      <c r="AX166" s="104">
        <v>0</v>
      </c>
      <c r="AZ166" s="104">
        <f t="shared" si="8"/>
        <v>71142</v>
      </c>
      <c r="BA166" s="104">
        <f t="shared" si="9"/>
        <v>4957</v>
      </c>
      <c r="BB166" s="96">
        <f t="shared" si="10"/>
        <v>0</v>
      </c>
      <c r="BC166" s="104">
        <f t="shared" si="11"/>
        <v>13139</v>
      </c>
    </row>
    <row r="167" spans="1:55">
      <c r="A167" s="102" t="s">
        <v>239</v>
      </c>
      <c r="B167" s="24" t="s">
        <v>580</v>
      </c>
      <c r="C167" s="103" t="s">
        <v>232</v>
      </c>
      <c r="D167" s="104">
        <v>0</v>
      </c>
      <c r="E167" s="104">
        <v>4421</v>
      </c>
      <c r="F167" s="104">
        <v>127</v>
      </c>
      <c r="G167" s="104">
        <v>0</v>
      </c>
      <c r="H167" s="104">
        <v>0</v>
      </c>
      <c r="I167" s="104">
        <v>0</v>
      </c>
      <c r="J167" s="104">
        <v>0</v>
      </c>
      <c r="K167" s="104">
        <v>5810</v>
      </c>
      <c r="L167" s="104">
        <v>152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7348</v>
      </c>
      <c r="Y167" s="104">
        <v>192</v>
      </c>
      <c r="Z167" s="104">
        <v>0</v>
      </c>
      <c r="AA167" s="104">
        <v>0</v>
      </c>
      <c r="AB167" s="104">
        <v>0</v>
      </c>
      <c r="AC167" s="104">
        <v>0</v>
      </c>
      <c r="AD167" s="104">
        <v>0</v>
      </c>
      <c r="AE167" s="104">
        <v>0</v>
      </c>
      <c r="AF167" s="104">
        <v>0</v>
      </c>
      <c r="AG167" s="104">
        <v>0</v>
      </c>
      <c r="AH167" s="104">
        <v>0</v>
      </c>
      <c r="AI167" s="104">
        <v>0</v>
      </c>
      <c r="AJ167" s="104">
        <v>0</v>
      </c>
      <c r="AK167" s="104">
        <v>0</v>
      </c>
      <c r="AL167" s="104">
        <v>0</v>
      </c>
      <c r="AM167" s="104">
        <v>0</v>
      </c>
      <c r="AN167" s="104">
        <v>0</v>
      </c>
      <c r="AO167" s="104">
        <v>0</v>
      </c>
      <c r="AP167" s="104">
        <v>0</v>
      </c>
      <c r="AQ167" s="104">
        <v>0</v>
      </c>
      <c r="AR167" s="104">
        <v>0</v>
      </c>
      <c r="AS167" s="104">
        <v>3447</v>
      </c>
      <c r="AT167" s="104">
        <v>79</v>
      </c>
      <c r="AU167" s="104">
        <v>0</v>
      </c>
      <c r="AV167" s="104">
        <v>0</v>
      </c>
      <c r="AW167" s="104">
        <v>0</v>
      </c>
      <c r="AX167" s="104">
        <v>0</v>
      </c>
      <c r="AZ167" s="104">
        <f t="shared" si="8"/>
        <v>17579</v>
      </c>
      <c r="BA167" s="104">
        <f t="shared" si="9"/>
        <v>471</v>
      </c>
      <c r="BB167" s="96">
        <f t="shared" si="10"/>
        <v>0</v>
      </c>
      <c r="BC167" s="104">
        <f t="shared" si="11"/>
        <v>0</v>
      </c>
    </row>
    <row r="168" spans="1:55">
      <c r="A168" s="102" t="s">
        <v>240</v>
      </c>
      <c r="B168" s="24" t="s">
        <v>581</v>
      </c>
      <c r="C168" s="103" t="s">
        <v>232</v>
      </c>
      <c r="D168" s="104">
        <v>0</v>
      </c>
      <c r="E168" s="104">
        <v>21478</v>
      </c>
      <c r="F168" s="104">
        <v>220</v>
      </c>
      <c r="G168" s="104">
        <v>0</v>
      </c>
      <c r="H168" s="104">
        <v>0</v>
      </c>
      <c r="I168" s="104">
        <v>0</v>
      </c>
      <c r="J168" s="104">
        <v>0</v>
      </c>
      <c r="K168" s="104">
        <v>6827</v>
      </c>
      <c r="L168" s="104">
        <v>71</v>
      </c>
      <c r="M168" s="104">
        <v>0</v>
      </c>
      <c r="N168" s="104">
        <v>0</v>
      </c>
      <c r="O168" s="104">
        <v>0</v>
      </c>
      <c r="P168" s="104">
        <v>0</v>
      </c>
      <c r="Q168" s="104">
        <v>0</v>
      </c>
      <c r="R168" s="104">
        <v>0</v>
      </c>
      <c r="S168" s="104">
        <v>0</v>
      </c>
      <c r="T168" s="104">
        <v>0</v>
      </c>
      <c r="U168" s="104">
        <v>0</v>
      </c>
      <c r="V168" s="104">
        <v>0</v>
      </c>
      <c r="W168" s="104">
        <v>0</v>
      </c>
      <c r="X168" s="104">
        <v>29571</v>
      </c>
      <c r="Y168" s="104">
        <v>316</v>
      </c>
      <c r="Z168" s="104">
        <v>0</v>
      </c>
      <c r="AA168" s="104">
        <v>0</v>
      </c>
      <c r="AB168" s="104">
        <v>0</v>
      </c>
      <c r="AC168" s="104">
        <v>0</v>
      </c>
      <c r="AD168" s="104">
        <v>0</v>
      </c>
      <c r="AE168" s="104">
        <v>0</v>
      </c>
      <c r="AF168" s="104">
        <v>0</v>
      </c>
      <c r="AG168" s="104">
        <v>0</v>
      </c>
      <c r="AH168" s="104">
        <v>0</v>
      </c>
      <c r="AI168" s="104">
        <v>0</v>
      </c>
      <c r="AJ168" s="104">
        <v>0</v>
      </c>
      <c r="AK168" s="104">
        <v>0</v>
      </c>
      <c r="AL168" s="104">
        <v>0</v>
      </c>
      <c r="AM168" s="104">
        <v>0</v>
      </c>
      <c r="AN168" s="104">
        <v>0</v>
      </c>
      <c r="AO168" s="104">
        <v>0</v>
      </c>
      <c r="AP168" s="104">
        <v>0</v>
      </c>
      <c r="AQ168" s="104">
        <v>0</v>
      </c>
      <c r="AR168" s="104">
        <v>0</v>
      </c>
      <c r="AS168" s="104">
        <v>1516</v>
      </c>
      <c r="AT168" s="104">
        <v>15</v>
      </c>
      <c r="AU168" s="104">
        <v>0</v>
      </c>
      <c r="AV168" s="104">
        <v>0</v>
      </c>
      <c r="AW168" s="104">
        <v>0</v>
      </c>
      <c r="AX168" s="104">
        <v>0</v>
      </c>
      <c r="AZ168" s="104">
        <f t="shared" si="8"/>
        <v>57876</v>
      </c>
      <c r="BA168" s="104">
        <f t="shared" si="9"/>
        <v>607</v>
      </c>
      <c r="BB168" s="96">
        <f t="shared" si="10"/>
        <v>0</v>
      </c>
      <c r="BC168" s="104">
        <f t="shared" si="11"/>
        <v>0</v>
      </c>
    </row>
    <row r="169" spans="1:55">
      <c r="A169" s="102" t="s">
        <v>241</v>
      </c>
      <c r="B169" s="24" t="s">
        <v>582</v>
      </c>
      <c r="C169" s="103" t="s">
        <v>242</v>
      </c>
      <c r="D169" s="104">
        <v>0</v>
      </c>
      <c r="E169" s="104">
        <v>79939</v>
      </c>
      <c r="F169" s="104">
        <v>1126</v>
      </c>
      <c r="G169" s="104">
        <v>0</v>
      </c>
      <c r="H169" s="104">
        <v>0</v>
      </c>
      <c r="I169" s="104">
        <v>0</v>
      </c>
      <c r="J169" s="104">
        <v>0</v>
      </c>
      <c r="K169" s="104">
        <v>20963</v>
      </c>
      <c r="L169" s="104">
        <v>296</v>
      </c>
      <c r="M169" s="104">
        <v>0</v>
      </c>
      <c r="N169" s="104">
        <v>0</v>
      </c>
      <c r="O169" s="104">
        <v>0</v>
      </c>
      <c r="P169" s="104">
        <v>0</v>
      </c>
      <c r="Q169" s="104">
        <v>0</v>
      </c>
      <c r="R169" s="104">
        <v>0</v>
      </c>
      <c r="S169" s="104">
        <v>0</v>
      </c>
      <c r="T169" s="104">
        <v>0</v>
      </c>
      <c r="U169" s="104">
        <v>0</v>
      </c>
      <c r="V169" s="104">
        <v>0</v>
      </c>
      <c r="W169" s="104">
        <v>0</v>
      </c>
      <c r="X169" s="104">
        <v>0</v>
      </c>
      <c r="Y169" s="104">
        <v>0</v>
      </c>
      <c r="Z169" s="104">
        <v>0</v>
      </c>
      <c r="AA169" s="104">
        <v>0</v>
      </c>
      <c r="AB169" s="104">
        <v>0</v>
      </c>
      <c r="AC169" s="104">
        <v>0</v>
      </c>
      <c r="AD169" s="104">
        <v>0</v>
      </c>
      <c r="AE169" s="104">
        <v>0</v>
      </c>
      <c r="AF169" s="104">
        <v>0</v>
      </c>
      <c r="AG169" s="104">
        <v>0</v>
      </c>
      <c r="AH169" s="104">
        <v>0</v>
      </c>
      <c r="AI169" s="104">
        <v>0</v>
      </c>
      <c r="AJ169" s="104">
        <v>0</v>
      </c>
      <c r="AK169" s="104">
        <v>0</v>
      </c>
      <c r="AL169" s="104">
        <v>0</v>
      </c>
      <c r="AM169" s="104">
        <v>0</v>
      </c>
      <c r="AN169" s="104">
        <v>0</v>
      </c>
      <c r="AO169" s="104">
        <v>0</v>
      </c>
      <c r="AP169" s="104">
        <v>0</v>
      </c>
      <c r="AQ169" s="104">
        <v>0</v>
      </c>
      <c r="AR169" s="104">
        <v>0</v>
      </c>
      <c r="AS169" s="104">
        <v>0</v>
      </c>
      <c r="AT169" s="104">
        <v>0</v>
      </c>
      <c r="AU169" s="104">
        <v>0</v>
      </c>
      <c r="AV169" s="104">
        <v>0</v>
      </c>
      <c r="AW169" s="104">
        <v>0</v>
      </c>
      <c r="AX169" s="104">
        <v>0</v>
      </c>
      <c r="AZ169" s="104">
        <f t="shared" si="8"/>
        <v>100902</v>
      </c>
      <c r="BA169" s="104">
        <f t="shared" si="9"/>
        <v>1422</v>
      </c>
      <c r="BB169" s="96">
        <f t="shared" si="10"/>
        <v>0</v>
      </c>
      <c r="BC169" s="104">
        <f t="shared" si="11"/>
        <v>0</v>
      </c>
    </row>
    <row r="170" spans="1:55">
      <c r="A170" s="102" t="s">
        <v>243</v>
      </c>
      <c r="B170" s="24" t="s">
        <v>583</v>
      </c>
      <c r="C170" s="103" t="s">
        <v>217</v>
      </c>
      <c r="D170" s="104">
        <v>0</v>
      </c>
      <c r="E170" s="104">
        <v>89489</v>
      </c>
      <c r="F170" s="104">
        <v>3500</v>
      </c>
      <c r="G170" s="104">
        <v>0</v>
      </c>
      <c r="H170" s="104">
        <v>0</v>
      </c>
      <c r="I170" s="104">
        <v>0</v>
      </c>
      <c r="J170" s="104">
        <v>0</v>
      </c>
      <c r="K170" s="104">
        <v>32012</v>
      </c>
      <c r="L170" s="104">
        <v>1271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49484</v>
      </c>
      <c r="Y170" s="104">
        <v>1967</v>
      </c>
      <c r="Z170" s="104">
        <v>0</v>
      </c>
      <c r="AA170" s="104">
        <v>0</v>
      </c>
      <c r="AB170" s="104">
        <v>0</v>
      </c>
      <c r="AC170" s="104">
        <v>0</v>
      </c>
      <c r="AD170" s="104">
        <v>0</v>
      </c>
      <c r="AE170" s="104">
        <v>0</v>
      </c>
      <c r="AF170" s="104">
        <v>0</v>
      </c>
      <c r="AG170" s="104">
        <v>0</v>
      </c>
      <c r="AH170" s="104">
        <v>0</v>
      </c>
      <c r="AI170" s="104">
        <v>0</v>
      </c>
      <c r="AJ170" s="104">
        <v>0</v>
      </c>
      <c r="AK170" s="104">
        <v>0</v>
      </c>
      <c r="AL170" s="104">
        <v>0</v>
      </c>
      <c r="AM170" s="104">
        <v>0</v>
      </c>
      <c r="AN170" s="104">
        <v>0</v>
      </c>
      <c r="AO170" s="104">
        <v>0</v>
      </c>
      <c r="AP170" s="104">
        <v>0</v>
      </c>
      <c r="AQ170" s="104">
        <v>0</v>
      </c>
      <c r="AR170" s="104">
        <v>0</v>
      </c>
      <c r="AS170" s="104">
        <v>0</v>
      </c>
      <c r="AT170" s="104">
        <v>0</v>
      </c>
      <c r="AU170" s="104">
        <v>0</v>
      </c>
      <c r="AV170" s="104">
        <v>0</v>
      </c>
      <c r="AW170" s="104">
        <v>0</v>
      </c>
      <c r="AX170" s="104">
        <v>0</v>
      </c>
      <c r="AZ170" s="104">
        <f t="shared" si="8"/>
        <v>170985</v>
      </c>
      <c r="BA170" s="104">
        <f t="shared" si="9"/>
        <v>6738</v>
      </c>
      <c r="BB170" s="96">
        <f t="shared" si="10"/>
        <v>0</v>
      </c>
      <c r="BC170" s="104">
        <f t="shared" si="11"/>
        <v>0</v>
      </c>
    </row>
    <row r="171" spans="1:55">
      <c r="A171" s="102" t="s">
        <v>244</v>
      </c>
      <c r="B171" s="24" t="s">
        <v>584</v>
      </c>
      <c r="C171" s="103" t="s">
        <v>245</v>
      </c>
      <c r="D171" s="104">
        <v>0</v>
      </c>
      <c r="E171" s="104">
        <v>19408</v>
      </c>
      <c r="F171" s="104">
        <v>376</v>
      </c>
      <c r="G171" s="104">
        <v>0</v>
      </c>
      <c r="H171" s="104">
        <v>0</v>
      </c>
      <c r="I171" s="104">
        <v>0</v>
      </c>
      <c r="J171" s="104">
        <v>0</v>
      </c>
      <c r="K171" s="104">
        <v>9338</v>
      </c>
      <c r="L171" s="104">
        <v>188</v>
      </c>
      <c r="M171" s="104">
        <v>0</v>
      </c>
      <c r="N171" s="104">
        <v>0</v>
      </c>
      <c r="O171" s="104">
        <v>0</v>
      </c>
      <c r="P171" s="104">
        <v>0</v>
      </c>
      <c r="Q171" s="104">
        <v>0</v>
      </c>
      <c r="R171" s="104">
        <v>0</v>
      </c>
      <c r="S171" s="104">
        <v>0</v>
      </c>
      <c r="T171" s="104">
        <v>0</v>
      </c>
      <c r="U171" s="104">
        <v>0</v>
      </c>
      <c r="V171" s="104">
        <v>0</v>
      </c>
      <c r="W171" s="104">
        <v>0</v>
      </c>
      <c r="X171" s="104">
        <v>28886</v>
      </c>
      <c r="Y171" s="104">
        <v>566</v>
      </c>
      <c r="Z171" s="104">
        <v>0</v>
      </c>
      <c r="AA171" s="104">
        <v>0</v>
      </c>
      <c r="AB171" s="104">
        <v>0</v>
      </c>
      <c r="AC171" s="104">
        <v>0</v>
      </c>
      <c r="AD171" s="104">
        <v>0</v>
      </c>
      <c r="AE171" s="104">
        <v>0</v>
      </c>
      <c r="AF171" s="104">
        <v>0</v>
      </c>
      <c r="AG171" s="104">
        <v>0</v>
      </c>
      <c r="AH171" s="104">
        <v>0</v>
      </c>
      <c r="AI171" s="104">
        <v>0</v>
      </c>
      <c r="AJ171" s="104">
        <v>0</v>
      </c>
      <c r="AK171" s="104">
        <v>0</v>
      </c>
      <c r="AL171" s="104">
        <v>0</v>
      </c>
      <c r="AM171" s="104">
        <v>0</v>
      </c>
      <c r="AN171" s="104">
        <v>0</v>
      </c>
      <c r="AO171" s="104">
        <v>0</v>
      </c>
      <c r="AP171" s="104">
        <v>0</v>
      </c>
      <c r="AQ171" s="104">
        <v>0</v>
      </c>
      <c r="AR171" s="104">
        <v>0</v>
      </c>
      <c r="AS171" s="104">
        <v>10413</v>
      </c>
      <c r="AT171" s="104">
        <v>205</v>
      </c>
      <c r="AU171" s="104">
        <v>0</v>
      </c>
      <c r="AV171" s="104">
        <v>1374</v>
      </c>
      <c r="AW171" s="104">
        <v>26</v>
      </c>
      <c r="AX171" s="104">
        <v>0</v>
      </c>
      <c r="AZ171" s="104">
        <f t="shared" si="8"/>
        <v>57632</v>
      </c>
      <c r="BA171" s="104">
        <f t="shared" si="9"/>
        <v>1130</v>
      </c>
      <c r="BB171" s="96">
        <f t="shared" si="10"/>
        <v>0</v>
      </c>
      <c r="BC171" s="104">
        <f t="shared" si="11"/>
        <v>0</v>
      </c>
    </row>
    <row r="172" spans="1:55">
      <c r="A172" s="102" t="s">
        <v>246</v>
      </c>
      <c r="B172" s="24" t="s">
        <v>585</v>
      </c>
      <c r="C172" s="103" t="s">
        <v>247</v>
      </c>
      <c r="D172" s="104">
        <v>3831</v>
      </c>
      <c r="E172" s="104">
        <v>72125</v>
      </c>
      <c r="F172" s="104">
        <v>1390</v>
      </c>
      <c r="G172" s="104">
        <v>3878</v>
      </c>
      <c r="H172" s="104">
        <v>0</v>
      </c>
      <c r="I172" s="104">
        <v>0</v>
      </c>
      <c r="J172" s="104">
        <v>0</v>
      </c>
      <c r="K172" s="104">
        <v>22314</v>
      </c>
      <c r="L172" s="104">
        <v>418</v>
      </c>
      <c r="M172" s="104">
        <v>0</v>
      </c>
      <c r="N172" s="104">
        <v>1175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30342</v>
      </c>
      <c r="Y172" s="104">
        <v>575</v>
      </c>
      <c r="Z172" s="104">
        <v>1698</v>
      </c>
      <c r="AA172" s="104">
        <v>0</v>
      </c>
      <c r="AB172" s="104">
        <v>0</v>
      </c>
      <c r="AC172" s="104">
        <v>0</v>
      </c>
      <c r="AD172" s="104">
        <v>0</v>
      </c>
      <c r="AE172" s="104">
        <v>0</v>
      </c>
      <c r="AF172" s="104">
        <v>0</v>
      </c>
      <c r="AG172" s="104">
        <v>0</v>
      </c>
      <c r="AH172" s="104">
        <v>0</v>
      </c>
      <c r="AI172" s="104">
        <v>0</v>
      </c>
      <c r="AJ172" s="104">
        <v>0</v>
      </c>
      <c r="AK172" s="104">
        <v>0</v>
      </c>
      <c r="AL172" s="104">
        <v>0</v>
      </c>
      <c r="AM172" s="104">
        <v>0</v>
      </c>
      <c r="AN172" s="104">
        <v>0</v>
      </c>
      <c r="AO172" s="104">
        <v>0</v>
      </c>
      <c r="AP172" s="104">
        <v>0</v>
      </c>
      <c r="AQ172" s="104">
        <v>0</v>
      </c>
      <c r="AR172" s="104">
        <v>0</v>
      </c>
      <c r="AS172" s="104">
        <v>0</v>
      </c>
      <c r="AT172" s="104">
        <v>0</v>
      </c>
      <c r="AU172" s="104">
        <v>0</v>
      </c>
      <c r="AV172" s="104">
        <v>0</v>
      </c>
      <c r="AW172" s="104">
        <v>0</v>
      </c>
      <c r="AX172" s="104">
        <v>0</v>
      </c>
      <c r="AZ172" s="104">
        <f t="shared" si="8"/>
        <v>124781</v>
      </c>
      <c r="BA172" s="104">
        <f t="shared" si="9"/>
        <v>2383</v>
      </c>
      <c r="BB172" s="96">
        <f t="shared" si="10"/>
        <v>0</v>
      </c>
      <c r="BC172" s="104">
        <f t="shared" si="11"/>
        <v>10582</v>
      </c>
    </row>
    <row r="173" spans="1:55">
      <c r="A173" s="102" t="s">
        <v>248</v>
      </c>
      <c r="B173" s="24" t="s">
        <v>586</v>
      </c>
      <c r="C173" s="103" t="s">
        <v>249</v>
      </c>
      <c r="D173" s="104">
        <v>0</v>
      </c>
      <c r="E173" s="104">
        <v>79584</v>
      </c>
      <c r="F173" s="104">
        <v>1507</v>
      </c>
      <c r="G173" s="104">
        <v>0</v>
      </c>
      <c r="H173" s="104">
        <v>0</v>
      </c>
      <c r="I173" s="104">
        <v>0</v>
      </c>
      <c r="J173" s="104">
        <v>0</v>
      </c>
      <c r="K173" s="104">
        <v>21003</v>
      </c>
      <c r="L173" s="104">
        <v>403</v>
      </c>
      <c r="M173" s="104">
        <v>0</v>
      </c>
      <c r="N173" s="104">
        <v>0</v>
      </c>
      <c r="O173" s="104">
        <v>0</v>
      </c>
      <c r="P173" s="104">
        <v>0</v>
      </c>
      <c r="Q173" s="104">
        <v>0</v>
      </c>
      <c r="R173" s="104">
        <v>0</v>
      </c>
      <c r="S173" s="104">
        <v>0</v>
      </c>
      <c r="T173" s="104">
        <v>0</v>
      </c>
      <c r="U173" s="104">
        <v>0</v>
      </c>
      <c r="V173" s="104">
        <v>0</v>
      </c>
      <c r="W173" s="104">
        <v>0</v>
      </c>
      <c r="X173" s="104">
        <v>74950</v>
      </c>
      <c r="Y173" s="104">
        <v>1426</v>
      </c>
      <c r="Z173" s="104">
        <v>0</v>
      </c>
      <c r="AA173" s="104">
        <v>0</v>
      </c>
      <c r="AB173" s="104">
        <v>0</v>
      </c>
      <c r="AC173" s="104">
        <v>0</v>
      </c>
      <c r="AD173" s="104">
        <v>0</v>
      </c>
      <c r="AE173" s="104">
        <v>0</v>
      </c>
      <c r="AF173" s="104">
        <v>0</v>
      </c>
      <c r="AG173" s="104">
        <v>0</v>
      </c>
      <c r="AH173" s="104">
        <v>0</v>
      </c>
      <c r="AI173" s="104">
        <v>0</v>
      </c>
      <c r="AJ173" s="104">
        <v>0</v>
      </c>
      <c r="AK173" s="104">
        <v>0</v>
      </c>
      <c r="AL173" s="104">
        <v>0</v>
      </c>
      <c r="AM173" s="104">
        <v>0</v>
      </c>
      <c r="AN173" s="104">
        <v>0</v>
      </c>
      <c r="AO173" s="104">
        <v>0</v>
      </c>
      <c r="AP173" s="104">
        <v>0</v>
      </c>
      <c r="AQ173" s="104">
        <v>0</v>
      </c>
      <c r="AR173" s="104">
        <v>0</v>
      </c>
      <c r="AS173" s="104">
        <v>0</v>
      </c>
      <c r="AT173" s="104">
        <v>0</v>
      </c>
      <c r="AU173" s="104">
        <v>0</v>
      </c>
      <c r="AV173" s="104">
        <v>0</v>
      </c>
      <c r="AW173" s="104">
        <v>0</v>
      </c>
      <c r="AX173" s="104">
        <v>0</v>
      </c>
      <c r="AZ173" s="104">
        <f t="shared" si="8"/>
        <v>175537</v>
      </c>
      <c r="BA173" s="104">
        <f t="shared" si="9"/>
        <v>3336</v>
      </c>
      <c r="BB173" s="96">
        <f t="shared" si="10"/>
        <v>0</v>
      </c>
      <c r="BC173" s="104">
        <f t="shared" si="11"/>
        <v>0</v>
      </c>
    </row>
    <row r="174" spans="1:55">
      <c r="A174" s="102" t="s">
        <v>250</v>
      </c>
      <c r="B174" s="24" t="s">
        <v>251</v>
      </c>
      <c r="C174" s="103" t="s">
        <v>251</v>
      </c>
      <c r="D174" s="104">
        <v>0</v>
      </c>
      <c r="E174" s="104">
        <v>38087</v>
      </c>
      <c r="F174" s="104">
        <v>452</v>
      </c>
      <c r="G174" s="104">
        <v>0</v>
      </c>
      <c r="H174" s="104">
        <v>0</v>
      </c>
      <c r="I174" s="104">
        <v>0</v>
      </c>
      <c r="J174" s="104">
        <v>0</v>
      </c>
      <c r="K174" s="104">
        <v>12544</v>
      </c>
      <c r="L174" s="104">
        <v>148</v>
      </c>
      <c r="M174" s="104">
        <v>0</v>
      </c>
      <c r="N174" s="104">
        <v>0</v>
      </c>
      <c r="O174" s="104">
        <v>0</v>
      </c>
      <c r="P174" s="104">
        <v>0</v>
      </c>
      <c r="Q174" s="104">
        <v>0</v>
      </c>
      <c r="R174" s="104">
        <v>0</v>
      </c>
      <c r="S174" s="104">
        <v>0</v>
      </c>
      <c r="T174" s="104">
        <v>0</v>
      </c>
      <c r="U174" s="104">
        <v>0</v>
      </c>
      <c r="V174" s="104">
        <v>0</v>
      </c>
      <c r="W174" s="104">
        <v>0</v>
      </c>
      <c r="X174" s="104">
        <v>0</v>
      </c>
      <c r="Y174" s="104">
        <v>0</v>
      </c>
      <c r="Z174" s="104">
        <v>0</v>
      </c>
      <c r="AA174" s="104">
        <v>0</v>
      </c>
      <c r="AB174" s="104">
        <v>0</v>
      </c>
      <c r="AC174" s="104">
        <v>0</v>
      </c>
      <c r="AD174" s="104">
        <v>0</v>
      </c>
      <c r="AE174" s="104">
        <v>0</v>
      </c>
      <c r="AF174" s="104">
        <v>0</v>
      </c>
      <c r="AG174" s="104">
        <v>0</v>
      </c>
      <c r="AH174" s="104">
        <v>0</v>
      </c>
      <c r="AI174" s="104">
        <v>0</v>
      </c>
      <c r="AJ174" s="104">
        <v>0</v>
      </c>
      <c r="AK174" s="104">
        <v>0</v>
      </c>
      <c r="AL174" s="104">
        <v>0</v>
      </c>
      <c r="AM174" s="104">
        <v>0</v>
      </c>
      <c r="AN174" s="104">
        <v>0</v>
      </c>
      <c r="AO174" s="104">
        <v>0</v>
      </c>
      <c r="AP174" s="104">
        <v>0</v>
      </c>
      <c r="AQ174" s="104">
        <v>0</v>
      </c>
      <c r="AR174" s="104">
        <v>0</v>
      </c>
      <c r="AS174" s="104">
        <v>0</v>
      </c>
      <c r="AT174" s="104">
        <v>0</v>
      </c>
      <c r="AU174" s="104">
        <v>0</v>
      </c>
      <c r="AV174" s="104">
        <v>0</v>
      </c>
      <c r="AW174" s="104">
        <v>0</v>
      </c>
      <c r="AX174" s="104">
        <v>0</v>
      </c>
      <c r="AZ174" s="104">
        <f t="shared" si="8"/>
        <v>50631</v>
      </c>
      <c r="BA174" s="104">
        <f t="shared" si="9"/>
        <v>600</v>
      </c>
      <c r="BB174" s="96">
        <f t="shared" si="10"/>
        <v>0</v>
      </c>
      <c r="BC174" s="104">
        <f t="shared" si="11"/>
        <v>0</v>
      </c>
    </row>
    <row r="175" spans="1:55">
      <c r="A175" s="102" t="s">
        <v>252</v>
      </c>
      <c r="B175" s="24" t="s">
        <v>587</v>
      </c>
      <c r="C175" s="103" t="s">
        <v>253</v>
      </c>
      <c r="D175" s="104">
        <v>0</v>
      </c>
      <c r="E175" s="104">
        <v>90998</v>
      </c>
      <c r="F175" s="104">
        <v>1895</v>
      </c>
      <c r="G175" s="104">
        <v>0</v>
      </c>
      <c r="H175" s="104">
        <v>0</v>
      </c>
      <c r="I175" s="104">
        <v>0</v>
      </c>
      <c r="J175" s="104">
        <v>0</v>
      </c>
      <c r="K175" s="104">
        <v>0</v>
      </c>
      <c r="L175" s="104">
        <v>0</v>
      </c>
      <c r="M175" s="104">
        <v>0</v>
      </c>
      <c r="N175" s="104">
        <v>0</v>
      </c>
      <c r="O175" s="104">
        <v>0</v>
      </c>
      <c r="P175" s="104">
        <v>0</v>
      </c>
      <c r="Q175" s="104">
        <v>0</v>
      </c>
      <c r="R175" s="104">
        <v>0</v>
      </c>
      <c r="S175" s="104">
        <v>0</v>
      </c>
      <c r="T175" s="104">
        <v>0</v>
      </c>
      <c r="U175" s="104">
        <v>0</v>
      </c>
      <c r="V175" s="104">
        <v>0</v>
      </c>
      <c r="W175" s="104">
        <v>0</v>
      </c>
      <c r="X175" s="104">
        <v>65133</v>
      </c>
      <c r="Y175" s="104">
        <v>1365</v>
      </c>
      <c r="Z175" s="104">
        <v>0</v>
      </c>
      <c r="AA175" s="104">
        <v>0</v>
      </c>
      <c r="AB175" s="104">
        <v>0</v>
      </c>
      <c r="AC175" s="104">
        <v>0</v>
      </c>
      <c r="AD175" s="104">
        <v>0</v>
      </c>
      <c r="AE175" s="104">
        <v>0</v>
      </c>
      <c r="AF175" s="104">
        <v>0</v>
      </c>
      <c r="AG175" s="104">
        <v>0</v>
      </c>
      <c r="AH175" s="104">
        <v>0</v>
      </c>
      <c r="AI175" s="104">
        <v>0</v>
      </c>
      <c r="AJ175" s="104">
        <v>0</v>
      </c>
      <c r="AK175" s="104">
        <v>0</v>
      </c>
      <c r="AL175" s="104">
        <v>0</v>
      </c>
      <c r="AM175" s="104">
        <v>0</v>
      </c>
      <c r="AN175" s="104">
        <v>0</v>
      </c>
      <c r="AO175" s="104">
        <v>0</v>
      </c>
      <c r="AP175" s="104">
        <v>0</v>
      </c>
      <c r="AQ175" s="104">
        <v>0</v>
      </c>
      <c r="AR175" s="104">
        <v>0</v>
      </c>
      <c r="AS175" s="104">
        <v>0</v>
      </c>
      <c r="AT175" s="104">
        <v>0</v>
      </c>
      <c r="AU175" s="104">
        <v>0</v>
      </c>
      <c r="AV175" s="104">
        <v>0</v>
      </c>
      <c r="AW175" s="104">
        <v>0</v>
      </c>
      <c r="AX175" s="104">
        <v>0</v>
      </c>
      <c r="AZ175" s="104">
        <f t="shared" si="8"/>
        <v>156131</v>
      </c>
      <c r="BA175" s="104">
        <f t="shared" si="9"/>
        <v>3260</v>
      </c>
      <c r="BB175" s="96">
        <f t="shared" si="10"/>
        <v>0</v>
      </c>
      <c r="BC175" s="104">
        <f t="shared" si="11"/>
        <v>0</v>
      </c>
    </row>
    <row r="176" spans="1:55">
      <c r="A176" s="102" t="s">
        <v>254</v>
      </c>
      <c r="B176" s="24" t="s">
        <v>588</v>
      </c>
      <c r="C176" s="103" t="s">
        <v>253</v>
      </c>
      <c r="D176" s="104">
        <v>0</v>
      </c>
      <c r="E176" s="104">
        <v>240986</v>
      </c>
      <c r="F176" s="104">
        <v>0</v>
      </c>
      <c r="G176" s="104">
        <v>0</v>
      </c>
      <c r="H176" s="104">
        <v>0</v>
      </c>
      <c r="I176" s="104">
        <v>0</v>
      </c>
      <c r="J176" s="104">
        <v>0</v>
      </c>
      <c r="K176" s="104">
        <v>58943</v>
      </c>
      <c r="L176" s="104">
        <v>0</v>
      </c>
      <c r="M176" s="104">
        <v>0</v>
      </c>
      <c r="N176" s="104">
        <v>0</v>
      </c>
      <c r="O176" s="104">
        <v>0</v>
      </c>
      <c r="P176" s="104">
        <v>0</v>
      </c>
      <c r="Q176" s="104">
        <v>0</v>
      </c>
      <c r="R176" s="104">
        <v>0</v>
      </c>
      <c r="S176" s="104">
        <v>0</v>
      </c>
      <c r="T176" s="104">
        <v>0</v>
      </c>
      <c r="U176" s="104">
        <v>0</v>
      </c>
      <c r="V176" s="104">
        <v>0</v>
      </c>
      <c r="W176" s="104">
        <v>0</v>
      </c>
      <c r="X176" s="104">
        <v>237558</v>
      </c>
      <c r="Y176" s="104">
        <v>0</v>
      </c>
      <c r="Z176" s="104">
        <v>0</v>
      </c>
      <c r="AA176" s="104">
        <v>0</v>
      </c>
      <c r="AB176" s="104">
        <v>0</v>
      </c>
      <c r="AC176" s="104">
        <v>0</v>
      </c>
      <c r="AD176" s="104">
        <v>0</v>
      </c>
      <c r="AE176" s="104">
        <v>0</v>
      </c>
      <c r="AF176" s="104">
        <v>0</v>
      </c>
      <c r="AG176" s="104">
        <v>0</v>
      </c>
      <c r="AH176" s="104">
        <v>165</v>
      </c>
      <c r="AI176" s="104">
        <v>0</v>
      </c>
      <c r="AJ176" s="104">
        <v>0</v>
      </c>
      <c r="AK176" s="104">
        <v>0</v>
      </c>
      <c r="AL176" s="104">
        <v>0</v>
      </c>
      <c r="AM176" s="104">
        <v>0</v>
      </c>
      <c r="AN176" s="104">
        <v>0</v>
      </c>
      <c r="AO176" s="104">
        <v>0</v>
      </c>
      <c r="AP176" s="104">
        <v>0</v>
      </c>
      <c r="AQ176" s="104">
        <v>0</v>
      </c>
      <c r="AR176" s="104">
        <v>0</v>
      </c>
      <c r="AS176" s="104">
        <v>0</v>
      </c>
      <c r="AT176" s="104">
        <v>0</v>
      </c>
      <c r="AU176" s="104">
        <v>0</v>
      </c>
      <c r="AV176" s="104">
        <v>0</v>
      </c>
      <c r="AW176" s="104">
        <v>0</v>
      </c>
      <c r="AX176" s="104">
        <v>0</v>
      </c>
      <c r="AZ176" s="104">
        <f t="shared" si="8"/>
        <v>537487</v>
      </c>
      <c r="BA176" s="104">
        <f t="shared" si="9"/>
        <v>0</v>
      </c>
      <c r="BB176" s="96">
        <f t="shared" si="10"/>
        <v>0</v>
      </c>
      <c r="BC176" s="104">
        <f t="shared" si="11"/>
        <v>0</v>
      </c>
    </row>
    <row r="177" spans="1:55">
      <c r="A177" s="102" t="s">
        <v>255</v>
      </c>
      <c r="B177" s="24" t="s">
        <v>589</v>
      </c>
      <c r="C177" s="103" t="s">
        <v>256</v>
      </c>
      <c r="D177" s="104">
        <v>0</v>
      </c>
      <c r="E177" s="104">
        <v>37210</v>
      </c>
      <c r="F177" s="104">
        <v>1031</v>
      </c>
      <c r="G177" s="104">
        <v>0</v>
      </c>
      <c r="H177" s="104">
        <v>0</v>
      </c>
      <c r="I177" s="104">
        <v>0</v>
      </c>
      <c r="J177" s="104">
        <v>0</v>
      </c>
      <c r="K177" s="104">
        <v>6350</v>
      </c>
      <c r="L177" s="104">
        <v>176</v>
      </c>
      <c r="M177" s="104">
        <v>0</v>
      </c>
      <c r="N177" s="104">
        <v>0</v>
      </c>
      <c r="O177" s="104">
        <v>0</v>
      </c>
      <c r="P177" s="104">
        <v>0</v>
      </c>
      <c r="Q177" s="104">
        <v>0</v>
      </c>
      <c r="R177" s="104">
        <v>0</v>
      </c>
      <c r="S177" s="104">
        <v>0</v>
      </c>
      <c r="T177" s="104">
        <v>0</v>
      </c>
      <c r="U177" s="104">
        <v>0</v>
      </c>
      <c r="V177" s="104">
        <v>0</v>
      </c>
      <c r="W177" s="104">
        <v>0</v>
      </c>
      <c r="X177" s="104">
        <v>10711</v>
      </c>
      <c r="Y177" s="104">
        <v>297</v>
      </c>
      <c r="Z177" s="104">
        <v>0</v>
      </c>
      <c r="AA177" s="104">
        <v>0</v>
      </c>
      <c r="AB177" s="104">
        <v>0</v>
      </c>
      <c r="AC177" s="104">
        <v>0</v>
      </c>
      <c r="AD177" s="104">
        <v>0</v>
      </c>
      <c r="AE177" s="104">
        <v>0</v>
      </c>
      <c r="AF177" s="104">
        <v>0</v>
      </c>
      <c r="AG177" s="104">
        <v>0</v>
      </c>
      <c r="AH177" s="104">
        <v>0</v>
      </c>
      <c r="AI177" s="104">
        <v>0</v>
      </c>
      <c r="AJ177" s="104">
        <v>0</v>
      </c>
      <c r="AK177" s="104">
        <v>0</v>
      </c>
      <c r="AL177" s="104">
        <v>0</v>
      </c>
      <c r="AM177" s="104">
        <v>0</v>
      </c>
      <c r="AN177" s="104">
        <v>0</v>
      </c>
      <c r="AO177" s="104">
        <v>0</v>
      </c>
      <c r="AP177" s="104">
        <v>0</v>
      </c>
      <c r="AQ177" s="104">
        <v>0</v>
      </c>
      <c r="AR177" s="104">
        <v>0</v>
      </c>
      <c r="AS177" s="104">
        <v>0</v>
      </c>
      <c r="AT177" s="104">
        <v>0</v>
      </c>
      <c r="AU177" s="104">
        <v>0</v>
      </c>
      <c r="AV177" s="104">
        <v>0</v>
      </c>
      <c r="AW177" s="104">
        <v>0</v>
      </c>
      <c r="AX177" s="104">
        <v>0</v>
      </c>
      <c r="AZ177" s="104">
        <f t="shared" si="8"/>
        <v>54271</v>
      </c>
      <c r="BA177" s="104">
        <f t="shared" si="9"/>
        <v>1504</v>
      </c>
      <c r="BB177" s="96">
        <f t="shared" si="10"/>
        <v>0</v>
      </c>
      <c r="BC177" s="104">
        <f t="shared" si="11"/>
        <v>0</v>
      </c>
    </row>
    <row r="178" spans="1:55">
      <c r="A178" s="102" t="s">
        <v>257</v>
      </c>
      <c r="B178" s="24" t="s">
        <v>590</v>
      </c>
      <c r="C178" s="103" t="s">
        <v>16</v>
      </c>
      <c r="D178" s="104">
        <v>0</v>
      </c>
      <c r="E178" s="104">
        <v>23068</v>
      </c>
      <c r="F178" s="104">
        <v>333</v>
      </c>
      <c r="G178" s="104">
        <v>0</v>
      </c>
      <c r="H178" s="104">
        <v>0</v>
      </c>
      <c r="I178" s="104">
        <v>0</v>
      </c>
      <c r="J178" s="104">
        <v>0</v>
      </c>
      <c r="K178" s="104">
        <v>6336</v>
      </c>
      <c r="L178" s="104">
        <v>102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35801</v>
      </c>
      <c r="Y178" s="104">
        <v>593</v>
      </c>
      <c r="Z178" s="104">
        <v>0</v>
      </c>
      <c r="AA178" s="104">
        <v>0</v>
      </c>
      <c r="AB178" s="104">
        <v>0</v>
      </c>
      <c r="AC178" s="104">
        <v>0</v>
      </c>
      <c r="AD178" s="104">
        <v>0</v>
      </c>
      <c r="AE178" s="104">
        <v>0</v>
      </c>
      <c r="AF178" s="104">
        <v>0</v>
      </c>
      <c r="AG178" s="104">
        <v>0</v>
      </c>
      <c r="AH178" s="104">
        <v>0</v>
      </c>
      <c r="AI178" s="104">
        <v>0</v>
      </c>
      <c r="AJ178" s="104">
        <v>0</v>
      </c>
      <c r="AK178" s="104">
        <v>0</v>
      </c>
      <c r="AL178" s="104">
        <v>0</v>
      </c>
      <c r="AM178" s="104">
        <v>0</v>
      </c>
      <c r="AN178" s="104">
        <v>0</v>
      </c>
      <c r="AO178" s="104">
        <v>0</v>
      </c>
      <c r="AP178" s="104">
        <v>0</v>
      </c>
      <c r="AQ178" s="104">
        <v>0</v>
      </c>
      <c r="AR178" s="104">
        <v>0</v>
      </c>
      <c r="AS178" s="104">
        <v>5084</v>
      </c>
      <c r="AT178" s="104">
        <v>81</v>
      </c>
      <c r="AU178" s="104">
        <v>100</v>
      </c>
      <c r="AV178" s="104">
        <v>715</v>
      </c>
      <c r="AW178" s="104">
        <v>12</v>
      </c>
      <c r="AX178" s="104">
        <v>0</v>
      </c>
      <c r="AZ178" s="104">
        <f t="shared" si="8"/>
        <v>65205</v>
      </c>
      <c r="BA178" s="104">
        <f t="shared" si="9"/>
        <v>1028</v>
      </c>
      <c r="BB178" s="96">
        <f t="shared" si="10"/>
        <v>0</v>
      </c>
      <c r="BC178" s="104">
        <f t="shared" si="11"/>
        <v>0</v>
      </c>
    </row>
    <row r="179" spans="1:55">
      <c r="A179" s="102" t="s">
        <v>258</v>
      </c>
      <c r="B179" s="24" t="s">
        <v>591</v>
      </c>
      <c r="C179" s="103" t="s">
        <v>219</v>
      </c>
      <c r="D179" s="104">
        <v>0</v>
      </c>
      <c r="E179" s="104">
        <v>83483</v>
      </c>
      <c r="F179" s="104">
        <v>1415</v>
      </c>
      <c r="G179" s="104">
        <v>0</v>
      </c>
      <c r="H179" s="104">
        <v>0</v>
      </c>
      <c r="I179" s="104">
        <v>0</v>
      </c>
      <c r="J179" s="104">
        <v>0</v>
      </c>
      <c r="K179" s="104">
        <v>18021</v>
      </c>
      <c r="L179" s="104">
        <v>298</v>
      </c>
      <c r="M179" s="104">
        <v>0</v>
      </c>
      <c r="N179" s="104">
        <v>0</v>
      </c>
      <c r="O179" s="104">
        <v>0</v>
      </c>
      <c r="P179" s="104">
        <v>0</v>
      </c>
      <c r="Q179" s="104">
        <v>0</v>
      </c>
      <c r="R179" s="104">
        <v>0</v>
      </c>
      <c r="S179" s="104">
        <v>0</v>
      </c>
      <c r="T179" s="104">
        <v>0</v>
      </c>
      <c r="U179" s="104">
        <v>0</v>
      </c>
      <c r="V179" s="104">
        <v>0</v>
      </c>
      <c r="W179" s="104">
        <v>0</v>
      </c>
      <c r="X179" s="104">
        <v>26711</v>
      </c>
      <c r="Y179" s="104">
        <v>442</v>
      </c>
      <c r="Z179" s="104">
        <v>0</v>
      </c>
      <c r="AA179" s="104">
        <v>0</v>
      </c>
      <c r="AB179" s="104">
        <v>0</v>
      </c>
      <c r="AC179" s="104">
        <v>0</v>
      </c>
      <c r="AD179" s="104">
        <v>0</v>
      </c>
      <c r="AE179" s="104">
        <v>0</v>
      </c>
      <c r="AF179" s="104">
        <v>0</v>
      </c>
      <c r="AG179" s="104">
        <v>0</v>
      </c>
      <c r="AH179" s="104">
        <v>0</v>
      </c>
      <c r="AI179" s="104">
        <v>0</v>
      </c>
      <c r="AJ179" s="104">
        <v>0</v>
      </c>
      <c r="AK179" s="104">
        <v>0</v>
      </c>
      <c r="AL179" s="104">
        <v>0</v>
      </c>
      <c r="AM179" s="104">
        <v>0</v>
      </c>
      <c r="AN179" s="104">
        <v>0</v>
      </c>
      <c r="AO179" s="104">
        <v>0</v>
      </c>
      <c r="AP179" s="104">
        <v>0</v>
      </c>
      <c r="AQ179" s="104">
        <v>0</v>
      </c>
      <c r="AR179" s="104">
        <v>0</v>
      </c>
      <c r="AS179" s="104">
        <v>0</v>
      </c>
      <c r="AT179" s="104">
        <v>0</v>
      </c>
      <c r="AU179" s="104">
        <v>0</v>
      </c>
      <c r="AV179" s="104">
        <v>0</v>
      </c>
      <c r="AW179" s="104">
        <v>0</v>
      </c>
      <c r="AX179" s="104">
        <v>0</v>
      </c>
      <c r="AZ179" s="104">
        <f t="shared" si="8"/>
        <v>128215</v>
      </c>
      <c r="BA179" s="104">
        <f t="shared" si="9"/>
        <v>2155</v>
      </c>
      <c r="BB179" s="96">
        <f t="shared" si="10"/>
        <v>0</v>
      </c>
      <c r="BC179" s="104">
        <f t="shared" si="11"/>
        <v>0</v>
      </c>
    </row>
    <row r="180" spans="1:55">
      <c r="A180" s="102" t="s">
        <v>259</v>
      </c>
      <c r="B180" s="24" t="s">
        <v>592</v>
      </c>
      <c r="C180" s="103" t="s">
        <v>256</v>
      </c>
      <c r="D180" s="104">
        <v>0</v>
      </c>
      <c r="E180" s="104">
        <v>287901</v>
      </c>
      <c r="F180" s="104">
        <v>4783</v>
      </c>
      <c r="G180" s="104">
        <v>0</v>
      </c>
      <c r="H180" s="104">
        <v>0</v>
      </c>
      <c r="I180" s="104">
        <v>0</v>
      </c>
      <c r="J180" s="104">
        <v>0</v>
      </c>
      <c r="K180" s="104">
        <v>76803</v>
      </c>
      <c r="L180" s="104">
        <v>1275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230723</v>
      </c>
      <c r="Y180" s="104">
        <v>3832</v>
      </c>
      <c r="Z180" s="104">
        <v>0</v>
      </c>
      <c r="AA180" s="104">
        <v>0</v>
      </c>
      <c r="AB180" s="104">
        <v>0</v>
      </c>
      <c r="AC180" s="104">
        <v>0</v>
      </c>
      <c r="AD180" s="104">
        <v>0</v>
      </c>
      <c r="AE180" s="104">
        <v>0</v>
      </c>
      <c r="AF180" s="104">
        <v>0</v>
      </c>
      <c r="AG180" s="104">
        <v>0</v>
      </c>
      <c r="AH180" s="104">
        <v>0</v>
      </c>
      <c r="AI180" s="104">
        <v>0</v>
      </c>
      <c r="AJ180" s="104">
        <v>0</v>
      </c>
      <c r="AK180" s="104">
        <v>0</v>
      </c>
      <c r="AL180" s="104">
        <v>0</v>
      </c>
      <c r="AM180" s="104">
        <v>0</v>
      </c>
      <c r="AN180" s="104">
        <v>0</v>
      </c>
      <c r="AO180" s="104">
        <v>0</v>
      </c>
      <c r="AP180" s="104">
        <v>0</v>
      </c>
      <c r="AQ180" s="104">
        <v>0</v>
      </c>
      <c r="AR180" s="104">
        <v>0</v>
      </c>
      <c r="AS180" s="104">
        <v>67180</v>
      </c>
      <c r="AT180" s="104">
        <v>1116</v>
      </c>
      <c r="AU180" s="104">
        <v>0</v>
      </c>
      <c r="AV180" s="104">
        <v>16016</v>
      </c>
      <c r="AW180" s="104">
        <v>265</v>
      </c>
      <c r="AX180" s="104">
        <v>0</v>
      </c>
      <c r="AZ180" s="104">
        <f t="shared" si="8"/>
        <v>595427</v>
      </c>
      <c r="BA180" s="104">
        <f t="shared" si="9"/>
        <v>9890</v>
      </c>
      <c r="BB180" s="96">
        <f t="shared" si="10"/>
        <v>0</v>
      </c>
      <c r="BC180" s="104">
        <f t="shared" si="11"/>
        <v>0</v>
      </c>
    </row>
    <row r="181" spans="1:55">
      <c r="A181" s="102" t="s">
        <v>260</v>
      </c>
      <c r="B181" s="24" t="s">
        <v>593</v>
      </c>
      <c r="C181" s="103" t="s">
        <v>261</v>
      </c>
      <c r="D181" s="104">
        <v>0</v>
      </c>
      <c r="E181" s="104">
        <v>15164</v>
      </c>
      <c r="F181" s="104">
        <v>338</v>
      </c>
      <c r="G181" s="104">
        <v>0</v>
      </c>
      <c r="H181" s="104">
        <v>0</v>
      </c>
      <c r="I181" s="104">
        <v>0</v>
      </c>
      <c r="J181" s="104">
        <v>0</v>
      </c>
      <c r="K181" s="104">
        <v>13380</v>
      </c>
      <c r="L181" s="104">
        <v>290</v>
      </c>
      <c r="M181" s="104">
        <v>0</v>
      </c>
      <c r="N181" s="104">
        <v>0</v>
      </c>
      <c r="O181" s="104">
        <v>0</v>
      </c>
      <c r="P181" s="104">
        <v>0</v>
      </c>
      <c r="Q181" s="104">
        <v>0</v>
      </c>
      <c r="R181" s="104">
        <v>0</v>
      </c>
      <c r="S181" s="104">
        <v>0</v>
      </c>
      <c r="T181" s="104">
        <v>0</v>
      </c>
      <c r="U181" s="104">
        <v>0</v>
      </c>
      <c r="V181" s="104">
        <v>0</v>
      </c>
      <c r="W181" s="104">
        <v>0</v>
      </c>
      <c r="X181" s="104">
        <v>32001</v>
      </c>
      <c r="Y181" s="104">
        <v>714</v>
      </c>
      <c r="Z181" s="104">
        <v>0</v>
      </c>
      <c r="AA181" s="104">
        <v>0</v>
      </c>
      <c r="AB181" s="104">
        <v>0</v>
      </c>
      <c r="AC181" s="104">
        <v>0</v>
      </c>
      <c r="AD181" s="104">
        <v>0</v>
      </c>
      <c r="AE181" s="104">
        <v>0</v>
      </c>
      <c r="AF181" s="104">
        <v>0</v>
      </c>
      <c r="AG181" s="104">
        <v>0</v>
      </c>
      <c r="AH181" s="104">
        <v>0</v>
      </c>
      <c r="AI181" s="104">
        <v>0</v>
      </c>
      <c r="AJ181" s="104">
        <v>0</v>
      </c>
      <c r="AK181" s="104">
        <v>0</v>
      </c>
      <c r="AL181" s="104">
        <v>0</v>
      </c>
      <c r="AM181" s="104">
        <v>0</v>
      </c>
      <c r="AN181" s="104">
        <v>0</v>
      </c>
      <c r="AO181" s="104">
        <v>0</v>
      </c>
      <c r="AP181" s="104">
        <v>0</v>
      </c>
      <c r="AQ181" s="104">
        <v>0</v>
      </c>
      <c r="AR181" s="104">
        <v>0</v>
      </c>
      <c r="AS181" s="104">
        <v>9562</v>
      </c>
      <c r="AT181" s="104">
        <v>205</v>
      </c>
      <c r="AU181" s="104">
        <v>0</v>
      </c>
      <c r="AV181" s="104">
        <v>620</v>
      </c>
      <c r="AW181" s="104">
        <v>13</v>
      </c>
      <c r="AX181" s="104">
        <v>0</v>
      </c>
      <c r="AZ181" s="104">
        <f t="shared" si="8"/>
        <v>60545</v>
      </c>
      <c r="BA181" s="104">
        <f t="shared" si="9"/>
        <v>1342</v>
      </c>
      <c r="BB181" s="96">
        <f t="shared" si="10"/>
        <v>0</v>
      </c>
      <c r="BC181" s="104">
        <f t="shared" si="11"/>
        <v>0</v>
      </c>
    </row>
    <row r="182" spans="1:55">
      <c r="A182" s="102" t="s">
        <v>262</v>
      </c>
      <c r="B182" s="24" t="s">
        <v>594</v>
      </c>
      <c r="C182" s="103" t="s">
        <v>42</v>
      </c>
      <c r="D182" s="104">
        <v>6792</v>
      </c>
      <c r="E182" s="104">
        <v>204772</v>
      </c>
      <c r="F182" s="104">
        <v>3835</v>
      </c>
      <c r="G182" s="104">
        <v>1686</v>
      </c>
      <c r="H182" s="104">
        <v>0</v>
      </c>
      <c r="I182" s="104">
        <v>0</v>
      </c>
      <c r="J182" s="104">
        <v>0</v>
      </c>
      <c r="K182" s="104">
        <v>49400</v>
      </c>
      <c r="L182" s="104">
        <v>846</v>
      </c>
      <c r="M182" s="104">
        <v>134</v>
      </c>
      <c r="N182" s="104">
        <v>668</v>
      </c>
      <c r="O182" s="104">
        <v>0</v>
      </c>
      <c r="P182" s="104">
        <v>0</v>
      </c>
      <c r="Q182" s="104">
        <v>0</v>
      </c>
      <c r="R182" s="104">
        <v>0</v>
      </c>
      <c r="S182" s="104">
        <v>0</v>
      </c>
      <c r="T182" s="104">
        <v>0</v>
      </c>
      <c r="U182" s="104">
        <v>0</v>
      </c>
      <c r="V182" s="104">
        <v>0</v>
      </c>
      <c r="W182" s="104">
        <v>0</v>
      </c>
      <c r="X182" s="104">
        <v>123087</v>
      </c>
      <c r="Y182" s="104">
        <v>2337</v>
      </c>
      <c r="Z182" s="104">
        <v>0</v>
      </c>
      <c r="AA182" s="104">
        <v>0</v>
      </c>
      <c r="AB182" s="104">
        <v>0</v>
      </c>
      <c r="AC182" s="104">
        <v>0</v>
      </c>
      <c r="AD182" s="104">
        <v>0</v>
      </c>
      <c r="AE182" s="104">
        <v>0</v>
      </c>
      <c r="AF182" s="104">
        <v>0</v>
      </c>
      <c r="AG182" s="104">
        <v>0</v>
      </c>
      <c r="AH182" s="104">
        <v>0</v>
      </c>
      <c r="AI182" s="104">
        <v>0</v>
      </c>
      <c r="AJ182" s="104">
        <v>0</v>
      </c>
      <c r="AK182" s="104">
        <v>0</v>
      </c>
      <c r="AL182" s="104">
        <v>0</v>
      </c>
      <c r="AM182" s="104">
        <v>0</v>
      </c>
      <c r="AN182" s="104">
        <v>0</v>
      </c>
      <c r="AO182" s="104">
        <v>0</v>
      </c>
      <c r="AP182" s="104">
        <v>0</v>
      </c>
      <c r="AQ182" s="104">
        <v>0</v>
      </c>
      <c r="AR182" s="104">
        <v>0</v>
      </c>
      <c r="AS182" s="104">
        <v>0</v>
      </c>
      <c r="AT182" s="104">
        <v>0</v>
      </c>
      <c r="AU182" s="104">
        <v>0</v>
      </c>
      <c r="AV182" s="104">
        <v>0</v>
      </c>
      <c r="AW182" s="104">
        <v>0</v>
      </c>
      <c r="AX182" s="104">
        <v>0</v>
      </c>
      <c r="AZ182" s="104">
        <f t="shared" si="8"/>
        <v>377259</v>
      </c>
      <c r="BA182" s="104">
        <f t="shared" si="9"/>
        <v>7018</v>
      </c>
      <c r="BB182" s="96">
        <f t="shared" si="10"/>
        <v>134</v>
      </c>
      <c r="BC182" s="104">
        <f t="shared" si="11"/>
        <v>9146</v>
      </c>
    </row>
    <row r="183" spans="1:55">
      <c r="A183" s="102" t="s">
        <v>263</v>
      </c>
      <c r="B183" s="24" t="s">
        <v>595</v>
      </c>
      <c r="C183" s="103" t="s">
        <v>264</v>
      </c>
      <c r="D183" s="104">
        <v>698</v>
      </c>
      <c r="E183" s="104">
        <v>48291</v>
      </c>
      <c r="F183" s="104">
        <v>1100</v>
      </c>
      <c r="G183" s="104">
        <v>0</v>
      </c>
      <c r="H183" s="104">
        <v>0</v>
      </c>
      <c r="I183" s="104">
        <v>0</v>
      </c>
      <c r="J183" s="104">
        <v>0</v>
      </c>
      <c r="K183" s="104">
        <v>0</v>
      </c>
      <c r="L183" s="104">
        <v>0</v>
      </c>
      <c r="M183" s="104">
        <v>0</v>
      </c>
      <c r="N183" s="104">
        <v>0</v>
      </c>
      <c r="O183" s="104">
        <v>0</v>
      </c>
      <c r="P183" s="104">
        <v>0</v>
      </c>
      <c r="Q183" s="104">
        <v>0</v>
      </c>
      <c r="R183" s="104">
        <v>0</v>
      </c>
      <c r="S183" s="104">
        <v>0</v>
      </c>
      <c r="T183" s="104">
        <v>0</v>
      </c>
      <c r="U183" s="104">
        <v>0</v>
      </c>
      <c r="V183" s="104">
        <v>0</v>
      </c>
      <c r="W183" s="104">
        <v>0</v>
      </c>
      <c r="X183" s="104">
        <v>0</v>
      </c>
      <c r="Y183" s="104">
        <v>0</v>
      </c>
      <c r="Z183" s="104">
        <v>0</v>
      </c>
      <c r="AA183" s="104">
        <v>0</v>
      </c>
      <c r="AB183" s="104">
        <v>0</v>
      </c>
      <c r="AC183" s="104">
        <v>0</v>
      </c>
      <c r="AD183" s="104">
        <v>0</v>
      </c>
      <c r="AE183" s="104">
        <v>0</v>
      </c>
      <c r="AF183" s="104">
        <v>0</v>
      </c>
      <c r="AG183" s="104">
        <v>0</v>
      </c>
      <c r="AH183" s="104">
        <v>0</v>
      </c>
      <c r="AI183" s="104">
        <v>0</v>
      </c>
      <c r="AJ183" s="104">
        <v>0</v>
      </c>
      <c r="AK183" s="104">
        <v>0</v>
      </c>
      <c r="AL183" s="104">
        <v>0</v>
      </c>
      <c r="AM183" s="104">
        <v>0</v>
      </c>
      <c r="AN183" s="104">
        <v>0</v>
      </c>
      <c r="AO183" s="104">
        <v>0</v>
      </c>
      <c r="AP183" s="104">
        <v>0</v>
      </c>
      <c r="AQ183" s="104">
        <v>0</v>
      </c>
      <c r="AR183" s="104">
        <v>0</v>
      </c>
      <c r="AS183" s="104">
        <v>5593</v>
      </c>
      <c r="AT183" s="104">
        <v>121</v>
      </c>
      <c r="AU183" s="104">
        <v>0</v>
      </c>
      <c r="AV183" s="104">
        <v>0</v>
      </c>
      <c r="AW183" s="104">
        <v>0</v>
      </c>
      <c r="AX183" s="104">
        <v>0</v>
      </c>
      <c r="AZ183" s="104">
        <f t="shared" si="8"/>
        <v>48291</v>
      </c>
      <c r="BA183" s="104">
        <f t="shared" si="9"/>
        <v>1100</v>
      </c>
      <c r="BB183" s="96">
        <f t="shared" si="10"/>
        <v>0</v>
      </c>
      <c r="BC183" s="104">
        <f t="shared" si="11"/>
        <v>698</v>
      </c>
    </row>
    <row r="184" spans="1:55">
      <c r="A184" s="102" t="s">
        <v>265</v>
      </c>
      <c r="B184" s="24" t="s">
        <v>596</v>
      </c>
      <c r="C184" s="103" t="s">
        <v>266</v>
      </c>
      <c r="D184" s="104">
        <v>0</v>
      </c>
      <c r="E184" s="104">
        <v>74544</v>
      </c>
      <c r="F184" s="104">
        <v>778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Z184" s="104">
        <v>0</v>
      </c>
      <c r="AA184" s="104">
        <v>0</v>
      </c>
      <c r="AB184" s="104">
        <v>0</v>
      </c>
      <c r="AC184" s="104">
        <v>0</v>
      </c>
      <c r="AD184" s="104">
        <v>0</v>
      </c>
      <c r="AE184" s="104">
        <v>0</v>
      </c>
      <c r="AF184" s="104">
        <v>0</v>
      </c>
      <c r="AG184" s="104">
        <v>0</v>
      </c>
      <c r="AH184" s="104">
        <v>0</v>
      </c>
      <c r="AI184" s="104">
        <v>0</v>
      </c>
      <c r="AJ184" s="104">
        <v>0</v>
      </c>
      <c r="AK184" s="104">
        <v>0</v>
      </c>
      <c r="AL184" s="104">
        <v>0</v>
      </c>
      <c r="AM184" s="104">
        <v>0</v>
      </c>
      <c r="AN184" s="104">
        <v>0</v>
      </c>
      <c r="AO184" s="104">
        <v>0</v>
      </c>
      <c r="AP184" s="104">
        <v>0</v>
      </c>
      <c r="AQ184" s="104">
        <v>0</v>
      </c>
      <c r="AR184" s="104">
        <v>0</v>
      </c>
      <c r="AS184" s="104">
        <v>0</v>
      </c>
      <c r="AT184" s="104">
        <v>0</v>
      </c>
      <c r="AU184" s="104">
        <v>0</v>
      </c>
      <c r="AV184" s="104">
        <v>0</v>
      </c>
      <c r="AW184" s="104">
        <v>0</v>
      </c>
      <c r="AX184" s="104">
        <v>0</v>
      </c>
      <c r="AZ184" s="104">
        <f t="shared" si="8"/>
        <v>74544</v>
      </c>
      <c r="BA184" s="104">
        <f t="shared" si="9"/>
        <v>778</v>
      </c>
      <c r="BB184" s="96">
        <f t="shared" si="10"/>
        <v>0</v>
      </c>
      <c r="BC184" s="104">
        <f t="shared" si="11"/>
        <v>0</v>
      </c>
    </row>
    <row r="185" spans="1:55">
      <c r="A185" s="102" t="s">
        <v>267</v>
      </c>
      <c r="B185" s="24" t="s">
        <v>597</v>
      </c>
      <c r="C185" s="103" t="s">
        <v>268</v>
      </c>
      <c r="D185" s="104">
        <v>0</v>
      </c>
      <c r="E185" s="104">
        <v>62136</v>
      </c>
      <c r="F185" s="104">
        <v>5124</v>
      </c>
      <c r="G185" s="104">
        <v>0</v>
      </c>
      <c r="H185" s="104">
        <v>0</v>
      </c>
      <c r="I185" s="104">
        <v>0</v>
      </c>
      <c r="J185" s="104">
        <v>0</v>
      </c>
      <c r="K185" s="104">
        <v>10741</v>
      </c>
      <c r="L185" s="104">
        <v>1051</v>
      </c>
      <c r="M185" s="104">
        <v>0</v>
      </c>
      <c r="N185" s="104">
        <v>0</v>
      </c>
      <c r="O185" s="104">
        <v>0</v>
      </c>
      <c r="P185" s="104">
        <v>0</v>
      </c>
      <c r="Q185" s="104">
        <v>0</v>
      </c>
      <c r="R185" s="104">
        <v>0</v>
      </c>
      <c r="S185" s="104">
        <v>0</v>
      </c>
      <c r="T185" s="104">
        <v>0</v>
      </c>
      <c r="U185" s="104">
        <v>0</v>
      </c>
      <c r="V185" s="104">
        <v>0</v>
      </c>
      <c r="W185" s="104">
        <v>0</v>
      </c>
      <c r="X185" s="104">
        <v>68678</v>
      </c>
      <c r="Y185" s="104">
        <v>5996</v>
      </c>
      <c r="Z185" s="104">
        <v>0</v>
      </c>
      <c r="AA185" s="104">
        <v>0</v>
      </c>
      <c r="AB185" s="104">
        <v>0</v>
      </c>
      <c r="AC185" s="104">
        <v>0</v>
      </c>
      <c r="AD185" s="104">
        <v>0</v>
      </c>
      <c r="AE185" s="104">
        <v>0</v>
      </c>
      <c r="AF185" s="104">
        <v>0</v>
      </c>
      <c r="AG185" s="104">
        <v>0</v>
      </c>
      <c r="AH185" s="104">
        <v>0</v>
      </c>
      <c r="AI185" s="104">
        <v>0</v>
      </c>
      <c r="AJ185" s="104">
        <v>0</v>
      </c>
      <c r="AK185" s="104">
        <v>0</v>
      </c>
      <c r="AL185" s="104">
        <v>0</v>
      </c>
      <c r="AM185" s="104">
        <v>0</v>
      </c>
      <c r="AN185" s="104">
        <v>0</v>
      </c>
      <c r="AO185" s="104">
        <v>0</v>
      </c>
      <c r="AP185" s="104">
        <v>0</v>
      </c>
      <c r="AQ185" s="104">
        <v>0</v>
      </c>
      <c r="AR185" s="104">
        <v>0</v>
      </c>
      <c r="AS185" s="104">
        <v>0</v>
      </c>
      <c r="AT185" s="104">
        <v>0</v>
      </c>
      <c r="AU185" s="104">
        <v>0</v>
      </c>
      <c r="AV185" s="104">
        <v>0</v>
      </c>
      <c r="AW185" s="104">
        <v>0</v>
      </c>
      <c r="AX185" s="104">
        <v>0</v>
      </c>
      <c r="AZ185" s="104">
        <f t="shared" si="8"/>
        <v>141555</v>
      </c>
      <c r="BA185" s="104">
        <f t="shared" si="9"/>
        <v>12171</v>
      </c>
      <c r="BB185" s="96">
        <f t="shared" si="10"/>
        <v>0</v>
      </c>
      <c r="BC185" s="104">
        <f t="shared" si="11"/>
        <v>0</v>
      </c>
    </row>
    <row r="186" spans="1:55">
      <c r="A186" s="102" t="s">
        <v>269</v>
      </c>
      <c r="B186" s="24" t="s">
        <v>598</v>
      </c>
      <c r="C186" s="103" t="s">
        <v>270</v>
      </c>
      <c r="D186" s="104">
        <v>0</v>
      </c>
      <c r="E186" s="104">
        <v>91729</v>
      </c>
      <c r="F186" s="104">
        <v>1218</v>
      </c>
      <c r="G186" s="104">
        <v>0</v>
      </c>
      <c r="H186" s="104">
        <v>0</v>
      </c>
      <c r="I186" s="104">
        <v>0</v>
      </c>
      <c r="J186" s="104">
        <v>0</v>
      </c>
      <c r="K186" s="104">
        <v>33286</v>
      </c>
      <c r="L186" s="104">
        <v>437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46736</v>
      </c>
      <c r="Y186" s="104">
        <v>627</v>
      </c>
      <c r="Z186" s="104">
        <v>0</v>
      </c>
      <c r="AA186" s="104">
        <v>0</v>
      </c>
      <c r="AB186" s="104">
        <v>0</v>
      </c>
      <c r="AC186" s="104">
        <v>0</v>
      </c>
      <c r="AD186" s="104">
        <v>0</v>
      </c>
      <c r="AE186" s="104">
        <v>0</v>
      </c>
      <c r="AF186" s="104">
        <v>0</v>
      </c>
      <c r="AG186" s="104">
        <v>0</v>
      </c>
      <c r="AH186" s="104">
        <v>0</v>
      </c>
      <c r="AI186" s="104">
        <v>0</v>
      </c>
      <c r="AJ186" s="104">
        <v>0</v>
      </c>
      <c r="AK186" s="104">
        <v>0</v>
      </c>
      <c r="AL186" s="104">
        <v>0</v>
      </c>
      <c r="AM186" s="104">
        <v>0</v>
      </c>
      <c r="AN186" s="104">
        <v>0</v>
      </c>
      <c r="AO186" s="104">
        <v>0</v>
      </c>
      <c r="AP186" s="104">
        <v>0</v>
      </c>
      <c r="AQ186" s="104">
        <v>0</v>
      </c>
      <c r="AR186" s="104">
        <v>0</v>
      </c>
      <c r="AS186" s="104">
        <v>0</v>
      </c>
      <c r="AT186" s="104">
        <v>0</v>
      </c>
      <c r="AU186" s="104">
        <v>0</v>
      </c>
      <c r="AV186" s="104">
        <v>0</v>
      </c>
      <c r="AW186" s="104">
        <v>0</v>
      </c>
      <c r="AX186" s="104">
        <v>0</v>
      </c>
      <c r="AZ186" s="104">
        <f t="shared" si="8"/>
        <v>171751</v>
      </c>
      <c r="BA186" s="104">
        <f t="shared" si="9"/>
        <v>2282</v>
      </c>
      <c r="BB186" s="96">
        <f t="shared" si="10"/>
        <v>0</v>
      </c>
      <c r="BC186" s="104">
        <f t="shared" si="11"/>
        <v>0</v>
      </c>
    </row>
    <row r="187" spans="1:55">
      <c r="A187" s="102" t="s">
        <v>271</v>
      </c>
      <c r="B187" s="24" t="s">
        <v>599</v>
      </c>
      <c r="C187" s="103" t="s">
        <v>247</v>
      </c>
      <c r="D187" s="104">
        <v>0</v>
      </c>
      <c r="E187" s="104">
        <v>46405</v>
      </c>
      <c r="F187" s="104">
        <v>706</v>
      </c>
      <c r="G187" s="104">
        <v>0</v>
      </c>
      <c r="H187" s="104">
        <v>0</v>
      </c>
      <c r="I187" s="104">
        <v>0</v>
      </c>
      <c r="J187" s="104">
        <v>0</v>
      </c>
      <c r="K187" s="104">
        <v>0</v>
      </c>
      <c r="L187" s="104">
        <v>0</v>
      </c>
      <c r="M187" s="104">
        <v>0</v>
      </c>
      <c r="N187" s="104">
        <v>0</v>
      </c>
      <c r="O187" s="104">
        <v>0</v>
      </c>
      <c r="P187" s="104">
        <v>0</v>
      </c>
      <c r="Q187" s="104">
        <v>0</v>
      </c>
      <c r="R187" s="104">
        <v>0</v>
      </c>
      <c r="S187" s="104">
        <v>0</v>
      </c>
      <c r="T187" s="104">
        <v>0</v>
      </c>
      <c r="U187" s="104">
        <v>0</v>
      </c>
      <c r="V187" s="104">
        <v>0</v>
      </c>
      <c r="W187" s="104">
        <v>0</v>
      </c>
      <c r="X187" s="104">
        <v>27940</v>
      </c>
      <c r="Y187" s="104">
        <v>417</v>
      </c>
      <c r="Z187" s="104">
        <v>0</v>
      </c>
      <c r="AA187" s="104">
        <v>0</v>
      </c>
      <c r="AB187" s="104">
        <v>0</v>
      </c>
      <c r="AC187" s="104">
        <v>0</v>
      </c>
      <c r="AD187" s="104">
        <v>0</v>
      </c>
      <c r="AE187" s="104">
        <v>0</v>
      </c>
      <c r="AF187" s="104">
        <v>0</v>
      </c>
      <c r="AG187" s="104">
        <v>0</v>
      </c>
      <c r="AH187" s="104">
        <v>0</v>
      </c>
      <c r="AI187" s="104">
        <v>0</v>
      </c>
      <c r="AJ187" s="104">
        <v>0</v>
      </c>
      <c r="AK187" s="104">
        <v>0</v>
      </c>
      <c r="AL187" s="104">
        <v>0</v>
      </c>
      <c r="AM187" s="104">
        <v>0</v>
      </c>
      <c r="AN187" s="104">
        <v>0</v>
      </c>
      <c r="AO187" s="104">
        <v>0</v>
      </c>
      <c r="AP187" s="104">
        <v>0</v>
      </c>
      <c r="AQ187" s="104">
        <v>0</v>
      </c>
      <c r="AR187" s="104">
        <v>0</v>
      </c>
      <c r="AS187" s="104">
        <v>0</v>
      </c>
      <c r="AT187" s="104">
        <v>0</v>
      </c>
      <c r="AU187" s="104">
        <v>0</v>
      </c>
      <c r="AV187" s="104">
        <v>0</v>
      </c>
      <c r="AW187" s="104">
        <v>0</v>
      </c>
      <c r="AX187" s="104">
        <v>0</v>
      </c>
      <c r="AZ187" s="104">
        <f t="shared" si="8"/>
        <v>74345</v>
      </c>
      <c r="BA187" s="104">
        <f t="shared" si="9"/>
        <v>1123</v>
      </c>
      <c r="BB187" s="96">
        <f t="shared" si="10"/>
        <v>0</v>
      </c>
      <c r="BC187" s="104">
        <f t="shared" si="11"/>
        <v>0</v>
      </c>
    </row>
    <row r="188" spans="1:55">
      <c r="A188" s="102" t="s">
        <v>272</v>
      </c>
      <c r="B188" s="24" t="s">
        <v>600</v>
      </c>
      <c r="C188" s="103" t="s">
        <v>273</v>
      </c>
      <c r="D188" s="104">
        <v>0</v>
      </c>
      <c r="E188" s="104">
        <v>11548</v>
      </c>
      <c r="F188" s="104">
        <v>0</v>
      </c>
      <c r="G188" s="104">
        <v>0</v>
      </c>
      <c r="H188" s="104">
        <v>0</v>
      </c>
      <c r="I188" s="104">
        <v>0</v>
      </c>
      <c r="J188" s="104">
        <v>0</v>
      </c>
      <c r="K188" s="104">
        <v>5766</v>
      </c>
      <c r="L188" s="104">
        <v>0</v>
      </c>
      <c r="M188" s="104">
        <v>0</v>
      </c>
      <c r="N188" s="104">
        <v>0</v>
      </c>
      <c r="O188" s="104">
        <v>0</v>
      </c>
      <c r="P188" s="104">
        <v>0</v>
      </c>
      <c r="Q188" s="104">
        <v>0</v>
      </c>
      <c r="R188" s="104">
        <v>0</v>
      </c>
      <c r="S188" s="104">
        <v>0</v>
      </c>
      <c r="T188" s="104">
        <v>0</v>
      </c>
      <c r="U188" s="104">
        <v>0</v>
      </c>
      <c r="V188" s="104">
        <v>0</v>
      </c>
      <c r="W188" s="104">
        <v>0</v>
      </c>
      <c r="X188" s="104">
        <v>22644</v>
      </c>
      <c r="Y188" s="104">
        <v>0</v>
      </c>
      <c r="Z188" s="104">
        <v>0</v>
      </c>
      <c r="AA188" s="104">
        <v>0</v>
      </c>
      <c r="AB188" s="104">
        <v>0</v>
      </c>
      <c r="AC188" s="104">
        <v>0</v>
      </c>
      <c r="AD188" s="104">
        <v>0</v>
      </c>
      <c r="AE188" s="104">
        <v>0</v>
      </c>
      <c r="AF188" s="104">
        <v>0</v>
      </c>
      <c r="AG188" s="104">
        <v>0</v>
      </c>
      <c r="AH188" s="104">
        <v>0</v>
      </c>
      <c r="AI188" s="104">
        <v>0</v>
      </c>
      <c r="AJ188" s="104">
        <v>0</v>
      </c>
      <c r="AK188" s="104">
        <v>0</v>
      </c>
      <c r="AL188" s="104">
        <v>0</v>
      </c>
      <c r="AM188" s="104">
        <v>0</v>
      </c>
      <c r="AN188" s="104">
        <v>0</v>
      </c>
      <c r="AO188" s="104">
        <v>0</v>
      </c>
      <c r="AP188" s="104">
        <v>0</v>
      </c>
      <c r="AQ188" s="104">
        <v>0</v>
      </c>
      <c r="AR188" s="104">
        <v>0</v>
      </c>
      <c r="AS188" s="104">
        <v>5399</v>
      </c>
      <c r="AT188" s="104">
        <v>0</v>
      </c>
      <c r="AU188" s="104">
        <v>0</v>
      </c>
      <c r="AV188" s="104">
        <v>0</v>
      </c>
      <c r="AW188" s="104">
        <v>0</v>
      </c>
      <c r="AX188" s="104">
        <v>0</v>
      </c>
      <c r="AZ188" s="104">
        <f t="shared" si="8"/>
        <v>39958</v>
      </c>
      <c r="BA188" s="104">
        <f t="shared" si="9"/>
        <v>0</v>
      </c>
      <c r="BB188" s="96">
        <f t="shared" si="10"/>
        <v>0</v>
      </c>
      <c r="BC188" s="104">
        <f t="shared" si="11"/>
        <v>0</v>
      </c>
    </row>
    <row r="189" spans="1:55">
      <c r="A189" s="102" t="s">
        <v>274</v>
      </c>
      <c r="B189" s="24" t="s">
        <v>275</v>
      </c>
      <c r="C189" s="103" t="s">
        <v>275</v>
      </c>
      <c r="D189" s="104">
        <v>3107</v>
      </c>
      <c r="E189" s="104">
        <v>164451</v>
      </c>
      <c r="F189" s="104">
        <v>2229</v>
      </c>
      <c r="G189" s="104">
        <v>3158</v>
      </c>
      <c r="H189" s="104">
        <v>0</v>
      </c>
      <c r="I189" s="104">
        <v>0</v>
      </c>
      <c r="J189" s="104">
        <v>0</v>
      </c>
      <c r="K189" s="104">
        <v>28151</v>
      </c>
      <c r="L189" s="104">
        <v>381</v>
      </c>
      <c r="M189" s="104">
        <v>0</v>
      </c>
      <c r="N189" s="104">
        <v>544</v>
      </c>
      <c r="O189" s="104">
        <v>0</v>
      </c>
      <c r="P189" s="104">
        <v>0</v>
      </c>
      <c r="Q189" s="104">
        <v>0</v>
      </c>
      <c r="R189" s="104">
        <v>0</v>
      </c>
      <c r="S189" s="104">
        <v>0</v>
      </c>
      <c r="T189" s="104">
        <v>0</v>
      </c>
      <c r="U189" s="104">
        <v>0</v>
      </c>
      <c r="V189" s="104">
        <v>0</v>
      </c>
      <c r="W189" s="104">
        <v>0</v>
      </c>
      <c r="X189" s="104">
        <v>0</v>
      </c>
      <c r="Y189" s="104">
        <v>0</v>
      </c>
      <c r="Z189" s="104">
        <v>0</v>
      </c>
      <c r="AA189" s="104">
        <v>0</v>
      </c>
      <c r="AB189" s="104">
        <v>0</v>
      </c>
      <c r="AC189" s="104">
        <v>0</v>
      </c>
      <c r="AD189" s="104">
        <v>0</v>
      </c>
      <c r="AE189" s="104">
        <v>0</v>
      </c>
      <c r="AF189" s="104">
        <v>0</v>
      </c>
      <c r="AG189" s="104">
        <v>0</v>
      </c>
      <c r="AH189" s="104">
        <v>0</v>
      </c>
      <c r="AI189" s="104">
        <v>0</v>
      </c>
      <c r="AJ189" s="104">
        <v>0</v>
      </c>
      <c r="AK189" s="104">
        <v>0</v>
      </c>
      <c r="AL189" s="104">
        <v>0</v>
      </c>
      <c r="AM189" s="104">
        <v>0</v>
      </c>
      <c r="AN189" s="104">
        <v>0</v>
      </c>
      <c r="AO189" s="104">
        <v>0</v>
      </c>
      <c r="AP189" s="104">
        <v>0</v>
      </c>
      <c r="AQ189" s="104">
        <v>0</v>
      </c>
      <c r="AR189" s="104">
        <v>0</v>
      </c>
      <c r="AS189" s="104">
        <v>0</v>
      </c>
      <c r="AT189" s="104">
        <v>0</v>
      </c>
      <c r="AU189" s="104">
        <v>0</v>
      </c>
      <c r="AV189" s="104">
        <v>0</v>
      </c>
      <c r="AW189" s="104">
        <v>0</v>
      </c>
      <c r="AX189" s="104">
        <v>0</v>
      </c>
      <c r="AZ189" s="104">
        <f t="shared" si="8"/>
        <v>192602</v>
      </c>
      <c r="BA189" s="104">
        <f t="shared" si="9"/>
        <v>2610</v>
      </c>
      <c r="BB189" s="96">
        <f t="shared" si="10"/>
        <v>0</v>
      </c>
      <c r="BC189" s="104">
        <f t="shared" si="11"/>
        <v>6809</v>
      </c>
    </row>
    <row r="190" spans="1:55">
      <c r="A190" s="102" t="s">
        <v>276</v>
      </c>
      <c r="B190" s="24" t="s">
        <v>601</v>
      </c>
      <c r="C190" s="103" t="s">
        <v>268</v>
      </c>
      <c r="D190" s="104">
        <v>21525</v>
      </c>
      <c r="E190" s="104">
        <v>790935</v>
      </c>
      <c r="F190" s="104">
        <v>8154</v>
      </c>
      <c r="G190" s="104">
        <v>27077</v>
      </c>
      <c r="H190" s="104">
        <v>17222</v>
      </c>
      <c r="I190" s="104">
        <v>174</v>
      </c>
      <c r="J190" s="104">
        <v>571</v>
      </c>
      <c r="K190" s="104">
        <v>147951</v>
      </c>
      <c r="L190" s="104">
        <v>1471</v>
      </c>
      <c r="M190" s="104">
        <v>240</v>
      </c>
      <c r="N190" s="104">
        <v>3293</v>
      </c>
      <c r="O190" s="104">
        <v>0</v>
      </c>
      <c r="P190" s="104">
        <v>0</v>
      </c>
      <c r="Q190" s="104">
        <v>0</v>
      </c>
      <c r="R190" s="104">
        <v>0</v>
      </c>
      <c r="S190" s="104">
        <v>0</v>
      </c>
      <c r="T190" s="104">
        <v>0</v>
      </c>
      <c r="U190" s="104">
        <v>0</v>
      </c>
      <c r="V190" s="104">
        <v>0</v>
      </c>
      <c r="W190" s="104">
        <v>0</v>
      </c>
      <c r="X190" s="104">
        <v>243449</v>
      </c>
      <c r="Y190" s="104">
        <v>2462</v>
      </c>
      <c r="Z190" s="104">
        <v>8318</v>
      </c>
      <c r="AA190" s="104">
        <v>0</v>
      </c>
      <c r="AB190" s="104">
        <v>0</v>
      </c>
      <c r="AC190" s="104">
        <v>0</v>
      </c>
      <c r="AD190" s="104">
        <v>0</v>
      </c>
      <c r="AE190" s="104">
        <v>0</v>
      </c>
      <c r="AF190" s="104">
        <v>0</v>
      </c>
      <c r="AG190" s="104">
        <v>8589</v>
      </c>
      <c r="AH190" s="104">
        <v>85</v>
      </c>
      <c r="AI190" s="104">
        <v>186</v>
      </c>
      <c r="AJ190" s="104">
        <v>0</v>
      </c>
      <c r="AK190" s="104">
        <v>0</v>
      </c>
      <c r="AL190" s="104">
        <v>0</v>
      </c>
      <c r="AM190" s="104">
        <v>0</v>
      </c>
      <c r="AN190" s="104">
        <v>0</v>
      </c>
      <c r="AO190" s="104">
        <v>0</v>
      </c>
      <c r="AP190" s="104">
        <v>0</v>
      </c>
      <c r="AQ190" s="104">
        <v>0</v>
      </c>
      <c r="AR190" s="104">
        <v>0</v>
      </c>
      <c r="AS190" s="104">
        <v>0</v>
      </c>
      <c r="AT190" s="104">
        <v>0</v>
      </c>
      <c r="AU190" s="104">
        <v>0</v>
      </c>
      <c r="AV190" s="104">
        <v>0</v>
      </c>
      <c r="AW190" s="104">
        <v>0</v>
      </c>
      <c r="AX190" s="104">
        <v>0</v>
      </c>
      <c r="AZ190" s="104">
        <f t="shared" si="8"/>
        <v>1199557</v>
      </c>
      <c r="BA190" s="104">
        <f t="shared" si="9"/>
        <v>12261</v>
      </c>
      <c r="BB190" s="96">
        <f t="shared" si="10"/>
        <v>240</v>
      </c>
      <c r="BC190" s="104">
        <f t="shared" si="11"/>
        <v>60784</v>
      </c>
    </row>
    <row r="191" spans="1:55">
      <c r="A191" s="102" t="s">
        <v>277</v>
      </c>
      <c r="B191" s="24" t="s">
        <v>469</v>
      </c>
      <c r="C191" s="103" t="s">
        <v>268</v>
      </c>
      <c r="D191" s="104">
        <v>0</v>
      </c>
      <c r="E191" s="104">
        <v>34821</v>
      </c>
      <c r="F191" s="104">
        <v>610</v>
      </c>
      <c r="G191" s="104">
        <v>0</v>
      </c>
      <c r="H191" s="104">
        <v>0</v>
      </c>
      <c r="I191" s="104">
        <v>0</v>
      </c>
      <c r="J191" s="104">
        <v>0</v>
      </c>
      <c r="K191" s="104">
        <v>0</v>
      </c>
      <c r="L191" s="104">
        <v>0</v>
      </c>
      <c r="M191" s="104">
        <v>0</v>
      </c>
      <c r="N191" s="104">
        <v>0</v>
      </c>
      <c r="O191" s="104">
        <v>0</v>
      </c>
      <c r="P191" s="104">
        <v>0</v>
      </c>
      <c r="Q191" s="104">
        <v>0</v>
      </c>
      <c r="R191" s="104">
        <v>0</v>
      </c>
      <c r="S191" s="104">
        <v>0</v>
      </c>
      <c r="T191" s="104">
        <v>0</v>
      </c>
      <c r="U191" s="104">
        <v>0</v>
      </c>
      <c r="V191" s="104">
        <v>0</v>
      </c>
      <c r="W191" s="104">
        <v>0</v>
      </c>
      <c r="X191" s="104">
        <v>16784</v>
      </c>
      <c r="Y191" s="104">
        <v>286</v>
      </c>
      <c r="Z191" s="104">
        <v>0</v>
      </c>
      <c r="AA191" s="104">
        <v>0</v>
      </c>
      <c r="AB191" s="104">
        <v>0</v>
      </c>
      <c r="AC191" s="104">
        <v>0</v>
      </c>
      <c r="AD191" s="104">
        <v>0</v>
      </c>
      <c r="AE191" s="104">
        <v>0</v>
      </c>
      <c r="AF191" s="104">
        <v>0</v>
      </c>
      <c r="AG191" s="104">
        <v>0</v>
      </c>
      <c r="AH191" s="104">
        <v>0</v>
      </c>
      <c r="AI191" s="104">
        <v>0</v>
      </c>
      <c r="AJ191" s="104">
        <v>0</v>
      </c>
      <c r="AK191" s="104">
        <v>0</v>
      </c>
      <c r="AL191" s="104">
        <v>0</v>
      </c>
      <c r="AM191" s="104">
        <v>0</v>
      </c>
      <c r="AN191" s="104">
        <v>0</v>
      </c>
      <c r="AO191" s="104">
        <v>0</v>
      </c>
      <c r="AP191" s="104">
        <v>0</v>
      </c>
      <c r="AQ191" s="104">
        <v>0</v>
      </c>
      <c r="AR191" s="104">
        <v>0</v>
      </c>
      <c r="AS191" s="104">
        <v>0</v>
      </c>
      <c r="AT191" s="104">
        <v>0</v>
      </c>
      <c r="AU191" s="104">
        <v>0</v>
      </c>
      <c r="AV191" s="104">
        <v>0</v>
      </c>
      <c r="AW191" s="104">
        <v>0</v>
      </c>
      <c r="AX191" s="104">
        <v>0</v>
      </c>
      <c r="AZ191" s="104">
        <f t="shared" si="8"/>
        <v>51605</v>
      </c>
      <c r="BA191" s="104">
        <f t="shared" si="9"/>
        <v>896</v>
      </c>
      <c r="BB191" s="96">
        <f t="shared" si="10"/>
        <v>0</v>
      </c>
      <c r="BC191" s="104">
        <f t="shared" si="11"/>
        <v>0</v>
      </c>
    </row>
    <row r="192" spans="1:55">
      <c r="A192" s="102" t="s">
        <v>278</v>
      </c>
      <c r="B192" s="24" t="s">
        <v>602</v>
      </c>
      <c r="C192" s="103" t="s">
        <v>42</v>
      </c>
      <c r="D192" s="104">
        <v>7848</v>
      </c>
      <c r="E192" s="104">
        <v>424918</v>
      </c>
      <c r="F192" s="104">
        <v>3917</v>
      </c>
      <c r="G192" s="104">
        <v>5206</v>
      </c>
      <c r="H192" s="104">
        <v>0</v>
      </c>
      <c r="I192" s="104">
        <v>0</v>
      </c>
      <c r="J192" s="104">
        <v>0</v>
      </c>
      <c r="K192" s="104">
        <v>94856</v>
      </c>
      <c r="L192" s="104">
        <v>803</v>
      </c>
      <c r="M192" s="104">
        <v>0</v>
      </c>
      <c r="N192" s="104">
        <v>2746</v>
      </c>
      <c r="O192" s="104">
        <v>0</v>
      </c>
      <c r="P192" s="104">
        <v>0</v>
      </c>
      <c r="Q192" s="104">
        <v>0</v>
      </c>
      <c r="R192" s="104">
        <v>0</v>
      </c>
      <c r="S192" s="104">
        <v>0</v>
      </c>
      <c r="T192" s="104">
        <v>0</v>
      </c>
      <c r="U192" s="104">
        <v>0</v>
      </c>
      <c r="V192" s="104">
        <v>0</v>
      </c>
      <c r="W192" s="104">
        <v>0</v>
      </c>
      <c r="X192" s="104">
        <v>593127</v>
      </c>
      <c r="Y192" s="104">
        <v>5459</v>
      </c>
      <c r="Z192" s="104">
        <v>8918</v>
      </c>
      <c r="AA192" s="104">
        <v>0</v>
      </c>
      <c r="AB192" s="104">
        <v>0</v>
      </c>
      <c r="AC192" s="104">
        <v>0</v>
      </c>
      <c r="AD192" s="104">
        <v>0</v>
      </c>
      <c r="AE192" s="104">
        <v>0</v>
      </c>
      <c r="AF192" s="104">
        <v>0</v>
      </c>
      <c r="AG192" s="104">
        <v>0</v>
      </c>
      <c r="AH192" s="104">
        <v>0</v>
      </c>
      <c r="AI192" s="104">
        <v>0</v>
      </c>
      <c r="AJ192" s="104">
        <v>0</v>
      </c>
      <c r="AK192" s="104">
        <v>0</v>
      </c>
      <c r="AL192" s="104">
        <v>0</v>
      </c>
      <c r="AM192" s="104">
        <v>0</v>
      </c>
      <c r="AN192" s="104">
        <v>0</v>
      </c>
      <c r="AO192" s="104">
        <v>0</v>
      </c>
      <c r="AP192" s="104">
        <v>0</v>
      </c>
      <c r="AQ192" s="104">
        <v>0</v>
      </c>
      <c r="AR192" s="104">
        <v>0</v>
      </c>
      <c r="AS192" s="104">
        <v>0</v>
      </c>
      <c r="AT192" s="104">
        <v>0</v>
      </c>
      <c r="AU192" s="104">
        <v>0</v>
      </c>
      <c r="AV192" s="104">
        <v>0</v>
      </c>
      <c r="AW192" s="104">
        <v>0</v>
      </c>
      <c r="AX192" s="104">
        <v>0</v>
      </c>
      <c r="AZ192" s="104">
        <f t="shared" si="8"/>
        <v>1112901</v>
      </c>
      <c r="BA192" s="104">
        <f t="shared" si="9"/>
        <v>10179</v>
      </c>
      <c r="BB192" s="96">
        <f t="shared" si="10"/>
        <v>0</v>
      </c>
      <c r="BC192" s="104">
        <f t="shared" si="11"/>
        <v>24718</v>
      </c>
    </row>
    <row r="193" spans="1:55">
      <c r="A193" s="102" t="s">
        <v>279</v>
      </c>
      <c r="B193" s="24" t="s">
        <v>603</v>
      </c>
      <c r="C193" s="103" t="s">
        <v>280</v>
      </c>
      <c r="D193" s="104">
        <v>0</v>
      </c>
      <c r="E193" s="104">
        <v>19563</v>
      </c>
      <c r="F193" s="104">
        <v>219</v>
      </c>
      <c r="G193" s="104">
        <v>0</v>
      </c>
      <c r="H193" s="104">
        <v>0</v>
      </c>
      <c r="I193" s="104">
        <v>0</v>
      </c>
      <c r="J193" s="104">
        <v>0</v>
      </c>
      <c r="K193" s="104">
        <v>6662</v>
      </c>
      <c r="L193" s="104">
        <v>110</v>
      </c>
      <c r="M193" s="104">
        <v>0</v>
      </c>
      <c r="N193" s="104">
        <v>0</v>
      </c>
      <c r="O193" s="104">
        <v>0</v>
      </c>
      <c r="P193" s="104">
        <v>0</v>
      </c>
      <c r="Q193" s="104">
        <v>0</v>
      </c>
      <c r="R193" s="104">
        <v>0</v>
      </c>
      <c r="S193" s="104">
        <v>0</v>
      </c>
      <c r="T193" s="104">
        <v>0</v>
      </c>
      <c r="U193" s="104">
        <v>0</v>
      </c>
      <c r="V193" s="104">
        <v>0</v>
      </c>
      <c r="W193" s="104">
        <v>0</v>
      </c>
      <c r="X193" s="104">
        <v>0</v>
      </c>
      <c r="Y193" s="104">
        <v>0</v>
      </c>
      <c r="Z193" s="104">
        <v>0</v>
      </c>
      <c r="AA193" s="104">
        <v>0</v>
      </c>
      <c r="AB193" s="104">
        <v>0</v>
      </c>
      <c r="AC193" s="104">
        <v>0</v>
      </c>
      <c r="AD193" s="104">
        <v>0</v>
      </c>
      <c r="AE193" s="104">
        <v>0</v>
      </c>
      <c r="AF193" s="104">
        <v>0</v>
      </c>
      <c r="AG193" s="104">
        <v>0</v>
      </c>
      <c r="AH193" s="104">
        <v>0</v>
      </c>
      <c r="AI193" s="104">
        <v>0</v>
      </c>
      <c r="AJ193" s="104">
        <v>0</v>
      </c>
      <c r="AK193" s="104">
        <v>0</v>
      </c>
      <c r="AL193" s="104">
        <v>0</v>
      </c>
      <c r="AM193" s="104">
        <v>0</v>
      </c>
      <c r="AN193" s="104">
        <v>0</v>
      </c>
      <c r="AO193" s="104">
        <v>0</v>
      </c>
      <c r="AP193" s="104">
        <v>0</v>
      </c>
      <c r="AQ193" s="104">
        <v>0</v>
      </c>
      <c r="AR193" s="104">
        <v>0</v>
      </c>
      <c r="AS193" s="104">
        <v>0</v>
      </c>
      <c r="AT193" s="104">
        <v>0</v>
      </c>
      <c r="AU193" s="104">
        <v>0</v>
      </c>
      <c r="AV193" s="104">
        <v>0</v>
      </c>
      <c r="AW193" s="104">
        <v>0</v>
      </c>
      <c r="AX193" s="104">
        <v>0</v>
      </c>
      <c r="AZ193" s="104">
        <f t="shared" si="8"/>
        <v>26225</v>
      </c>
      <c r="BA193" s="104">
        <f t="shared" si="9"/>
        <v>329</v>
      </c>
      <c r="BB193" s="96">
        <f t="shared" si="10"/>
        <v>0</v>
      </c>
      <c r="BC193" s="104">
        <f t="shared" si="11"/>
        <v>0</v>
      </c>
    </row>
    <row r="194" spans="1:55">
      <c r="A194" s="102" t="s">
        <v>281</v>
      </c>
      <c r="B194" s="24" t="s">
        <v>604</v>
      </c>
      <c r="C194" s="103" t="s">
        <v>282</v>
      </c>
      <c r="D194" s="104">
        <v>0</v>
      </c>
      <c r="E194" s="104">
        <v>13370</v>
      </c>
      <c r="F194" s="104">
        <v>232</v>
      </c>
      <c r="G194" s="104">
        <v>0</v>
      </c>
      <c r="H194" s="104">
        <v>0</v>
      </c>
      <c r="I194" s="104">
        <v>0</v>
      </c>
      <c r="J194" s="104">
        <v>0</v>
      </c>
      <c r="K194" s="104">
        <v>0</v>
      </c>
      <c r="L194" s="104">
        <v>0</v>
      </c>
      <c r="M194" s="104">
        <v>0</v>
      </c>
      <c r="N194" s="104">
        <v>0</v>
      </c>
      <c r="O194" s="104">
        <v>0</v>
      </c>
      <c r="P194" s="104">
        <v>0</v>
      </c>
      <c r="Q194" s="104">
        <v>0</v>
      </c>
      <c r="R194" s="104">
        <v>0</v>
      </c>
      <c r="S194" s="104">
        <v>0</v>
      </c>
      <c r="T194" s="104">
        <v>0</v>
      </c>
      <c r="U194" s="104">
        <v>0</v>
      </c>
      <c r="V194" s="104">
        <v>0</v>
      </c>
      <c r="W194" s="104">
        <v>0</v>
      </c>
      <c r="X194" s="104">
        <v>0</v>
      </c>
      <c r="Y194" s="104">
        <v>0</v>
      </c>
      <c r="Z194" s="104">
        <v>0</v>
      </c>
      <c r="AA194" s="104">
        <v>0</v>
      </c>
      <c r="AB194" s="104">
        <v>0</v>
      </c>
      <c r="AC194" s="104">
        <v>0</v>
      </c>
      <c r="AD194" s="104">
        <v>0</v>
      </c>
      <c r="AE194" s="104">
        <v>0</v>
      </c>
      <c r="AF194" s="104">
        <v>0</v>
      </c>
      <c r="AG194" s="104">
        <v>0</v>
      </c>
      <c r="AH194" s="104">
        <v>0</v>
      </c>
      <c r="AI194" s="104">
        <v>0</v>
      </c>
      <c r="AJ194" s="104">
        <v>0</v>
      </c>
      <c r="AK194" s="104">
        <v>0</v>
      </c>
      <c r="AL194" s="104">
        <v>0</v>
      </c>
      <c r="AM194" s="104">
        <v>0</v>
      </c>
      <c r="AN194" s="104">
        <v>0</v>
      </c>
      <c r="AO194" s="104">
        <v>0</v>
      </c>
      <c r="AP194" s="104">
        <v>0</v>
      </c>
      <c r="AQ194" s="104">
        <v>0</v>
      </c>
      <c r="AR194" s="104">
        <v>0</v>
      </c>
      <c r="AS194" s="104">
        <v>0</v>
      </c>
      <c r="AT194" s="104">
        <v>0</v>
      </c>
      <c r="AU194" s="104">
        <v>0</v>
      </c>
      <c r="AV194" s="104">
        <v>0</v>
      </c>
      <c r="AW194" s="104">
        <v>0</v>
      </c>
      <c r="AX194" s="104">
        <v>0</v>
      </c>
      <c r="AZ194" s="104">
        <f t="shared" si="8"/>
        <v>13370</v>
      </c>
      <c r="BA194" s="104">
        <f t="shared" si="9"/>
        <v>232</v>
      </c>
      <c r="BB194" s="96">
        <f t="shared" si="10"/>
        <v>0</v>
      </c>
      <c r="BC194" s="104">
        <f t="shared" si="11"/>
        <v>0</v>
      </c>
    </row>
    <row r="195" spans="1:55">
      <c r="A195" s="102" t="s">
        <v>283</v>
      </c>
      <c r="B195" s="24" t="s">
        <v>284</v>
      </c>
      <c r="C195" s="103" t="s">
        <v>284</v>
      </c>
      <c r="D195" s="104">
        <v>0</v>
      </c>
      <c r="E195" s="104">
        <v>44165</v>
      </c>
      <c r="F195" s="104">
        <v>968</v>
      </c>
      <c r="G195" s="104">
        <v>0</v>
      </c>
      <c r="H195" s="104">
        <v>0</v>
      </c>
      <c r="I195" s="104">
        <v>0</v>
      </c>
      <c r="J195" s="104">
        <v>0</v>
      </c>
      <c r="K195" s="104">
        <v>9871</v>
      </c>
      <c r="L195" s="104">
        <v>231</v>
      </c>
      <c r="M195" s="104">
        <v>732</v>
      </c>
      <c r="N195" s="104">
        <v>0</v>
      </c>
      <c r="O195" s="104">
        <v>0</v>
      </c>
      <c r="P195" s="104">
        <v>0</v>
      </c>
      <c r="Q195" s="104">
        <v>0</v>
      </c>
      <c r="R195" s="104">
        <v>0</v>
      </c>
      <c r="S195" s="104">
        <v>0</v>
      </c>
      <c r="T195" s="104">
        <v>0</v>
      </c>
      <c r="U195" s="104">
        <v>0</v>
      </c>
      <c r="V195" s="104">
        <v>0</v>
      </c>
      <c r="W195" s="104">
        <v>0</v>
      </c>
      <c r="X195" s="104">
        <v>0</v>
      </c>
      <c r="Y195" s="104">
        <v>0</v>
      </c>
      <c r="Z195" s="104">
        <v>0</v>
      </c>
      <c r="AA195" s="104">
        <v>0</v>
      </c>
      <c r="AB195" s="104">
        <v>0</v>
      </c>
      <c r="AC195" s="104">
        <v>0</v>
      </c>
      <c r="AD195" s="104">
        <v>0</v>
      </c>
      <c r="AE195" s="104">
        <v>0</v>
      </c>
      <c r="AF195" s="104">
        <v>0</v>
      </c>
      <c r="AG195" s="104">
        <v>0</v>
      </c>
      <c r="AH195" s="104">
        <v>0</v>
      </c>
      <c r="AI195" s="104">
        <v>0</v>
      </c>
      <c r="AJ195" s="104">
        <v>0</v>
      </c>
      <c r="AK195" s="104">
        <v>0</v>
      </c>
      <c r="AL195" s="104">
        <v>0</v>
      </c>
      <c r="AM195" s="104">
        <v>0</v>
      </c>
      <c r="AN195" s="104">
        <v>0</v>
      </c>
      <c r="AO195" s="104">
        <v>0</v>
      </c>
      <c r="AP195" s="104">
        <v>0</v>
      </c>
      <c r="AQ195" s="104">
        <v>0</v>
      </c>
      <c r="AR195" s="104">
        <v>0</v>
      </c>
      <c r="AS195" s="104">
        <v>9831</v>
      </c>
      <c r="AT195" s="104">
        <v>285</v>
      </c>
      <c r="AU195" s="104">
        <v>0</v>
      </c>
      <c r="AV195" s="104">
        <v>1032</v>
      </c>
      <c r="AW195" s="104">
        <v>24</v>
      </c>
      <c r="AX195" s="104">
        <v>0</v>
      </c>
      <c r="AZ195" s="104">
        <f t="shared" si="8"/>
        <v>54036</v>
      </c>
      <c r="BA195" s="104">
        <f t="shared" si="9"/>
        <v>1199</v>
      </c>
      <c r="BB195" s="96">
        <f t="shared" si="10"/>
        <v>732</v>
      </c>
      <c r="BC195" s="104">
        <f t="shared" si="11"/>
        <v>0</v>
      </c>
    </row>
    <row r="196" spans="1:55">
      <c r="A196" s="102" t="s">
        <v>285</v>
      </c>
      <c r="B196" s="24" t="s">
        <v>605</v>
      </c>
      <c r="C196" s="103" t="s">
        <v>280</v>
      </c>
      <c r="D196" s="104">
        <v>0</v>
      </c>
      <c r="E196" s="104">
        <v>64553</v>
      </c>
      <c r="F196" s="104">
        <v>1209</v>
      </c>
      <c r="G196" s="104">
        <v>0</v>
      </c>
      <c r="H196" s="104">
        <v>0</v>
      </c>
      <c r="I196" s="104">
        <v>0</v>
      </c>
      <c r="J196" s="104">
        <v>0</v>
      </c>
      <c r="K196" s="104">
        <v>16969</v>
      </c>
      <c r="L196" s="104">
        <v>320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97929</v>
      </c>
      <c r="Y196" s="104">
        <v>1741</v>
      </c>
      <c r="Z196" s="104">
        <v>0</v>
      </c>
      <c r="AA196" s="104">
        <v>0</v>
      </c>
      <c r="AB196" s="104">
        <v>0</v>
      </c>
      <c r="AC196" s="104">
        <v>0</v>
      </c>
      <c r="AD196" s="104">
        <v>0</v>
      </c>
      <c r="AE196" s="104">
        <v>0</v>
      </c>
      <c r="AF196" s="104">
        <v>0</v>
      </c>
      <c r="AG196" s="104">
        <v>0</v>
      </c>
      <c r="AH196" s="104">
        <v>0</v>
      </c>
      <c r="AI196" s="104">
        <v>0</v>
      </c>
      <c r="AJ196" s="104">
        <v>0</v>
      </c>
      <c r="AK196" s="104">
        <v>0</v>
      </c>
      <c r="AL196" s="104">
        <v>0</v>
      </c>
      <c r="AM196" s="104">
        <v>0</v>
      </c>
      <c r="AN196" s="104">
        <v>0</v>
      </c>
      <c r="AO196" s="104">
        <v>0</v>
      </c>
      <c r="AP196" s="104">
        <v>0</v>
      </c>
      <c r="AQ196" s="104">
        <v>0</v>
      </c>
      <c r="AR196" s="104">
        <v>0</v>
      </c>
      <c r="AS196" s="104">
        <v>12417</v>
      </c>
      <c r="AT196" s="104">
        <v>240</v>
      </c>
      <c r="AU196" s="104">
        <v>0</v>
      </c>
      <c r="AV196" s="104">
        <v>0</v>
      </c>
      <c r="AW196" s="104">
        <v>0</v>
      </c>
      <c r="AX196" s="104">
        <v>0</v>
      </c>
      <c r="AZ196" s="104">
        <f t="shared" si="8"/>
        <v>179451</v>
      </c>
      <c r="BA196" s="104">
        <f t="shared" si="9"/>
        <v>3270</v>
      </c>
      <c r="BB196" s="96">
        <f t="shared" si="10"/>
        <v>0</v>
      </c>
      <c r="BC196" s="104">
        <f t="shared" si="11"/>
        <v>0</v>
      </c>
    </row>
    <row r="197" spans="1:55">
      <c r="A197" s="102" t="s">
        <v>286</v>
      </c>
      <c r="B197" s="24" t="s">
        <v>408</v>
      </c>
      <c r="C197" s="103" t="s">
        <v>280</v>
      </c>
      <c r="D197" s="104">
        <v>0</v>
      </c>
      <c r="E197" s="104">
        <v>1874</v>
      </c>
      <c r="F197" s="104">
        <v>30</v>
      </c>
      <c r="G197" s="104">
        <v>0</v>
      </c>
      <c r="H197" s="104">
        <v>0</v>
      </c>
      <c r="I197" s="104">
        <v>0</v>
      </c>
      <c r="J197" s="104">
        <v>0</v>
      </c>
      <c r="K197" s="104">
        <v>3059</v>
      </c>
      <c r="L197" s="104">
        <v>72</v>
      </c>
      <c r="M197" s="104">
        <v>0</v>
      </c>
      <c r="N197" s="104">
        <v>0</v>
      </c>
      <c r="O197" s="104">
        <v>0</v>
      </c>
      <c r="P197" s="104">
        <v>0</v>
      </c>
      <c r="Q197" s="104">
        <v>0</v>
      </c>
      <c r="R197" s="104">
        <v>0</v>
      </c>
      <c r="S197" s="104">
        <v>0</v>
      </c>
      <c r="T197" s="104">
        <v>0</v>
      </c>
      <c r="U197" s="104">
        <v>0</v>
      </c>
      <c r="V197" s="104">
        <v>0</v>
      </c>
      <c r="W197" s="104">
        <v>0</v>
      </c>
      <c r="X197" s="104">
        <v>0</v>
      </c>
      <c r="Y197" s="104">
        <v>0</v>
      </c>
      <c r="Z197" s="104">
        <v>0</v>
      </c>
      <c r="AA197" s="104">
        <v>0</v>
      </c>
      <c r="AB197" s="104">
        <v>0</v>
      </c>
      <c r="AC197" s="104">
        <v>0</v>
      </c>
      <c r="AD197" s="104">
        <v>0</v>
      </c>
      <c r="AE197" s="104">
        <v>0</v>
      </c>
      <c r="AF197" s="104">
        <v>0</v>
      </c>
      <c r="AG197" s="104">
        <v>0</v>
      </c>
      <c r="AH197" s="104">
        <v>0</v>
      </c>
      <c r="AI197" s="104">
        <v>0</v>
      </c>
      <c r="AJ197" s="104">
        <v>0</v>
      </c>
      <c r="AK197" s="104">
        <v>0</v>
      </c>
      <c r="AL197" s="104">
        <v>0</v>
      </c>
      <c r="AM197" s="104">
        <v>0</v>
      </c>
      <c r="AN197" s="104">
        <v>0</v>
      </c>
      <c r="AO197" s="104">
        <v>0</v>
      </c>
      <c r="AP197" s="104">
        <v>0</v>
      </c>
      <c r="AQ197" s="104">
        <v>0</v>
      </c>
      <c r="AR197" s="104">
        <v>0</v>
      </c>
      <c r="AS197" s="104">
        <v>0</v>
      </c>
      <c r="AT197" s="104">
        <v>0</v>
      </c>
      <c r="AU197" s="104">
        <v>0</v>
      </c>
      <c r="AV197" s="104">
        <v>0</v>
      </c>
      <c r="AW197" s="104">
        <v>0</v>
      </c>
      <c r="AX197" s="104">
        <v>0</v>
      </c>
      <c r="AZ197" s="104">
        <f t="shared" si="8"/>
        <v>4933</v>
      </c>
      <c r="BA197" s="104">
        <f t="shared" si="9"/>
        <v>102</v>
      </c>
      <c r="BB197" s="96">
        <f t="shared" si="10"/>
        <v>0</v>
      </c>
      <c r="BC197" s="104">
        <f t="shared" si="11"/>
        <v>0</v>
      </c>
    </row>
    <row r="198" spans="1:55">
      <c r="A198" s="102" t="s">
        <v>287</v>
      </c>
      <c r="B198" s="24" t="s">
        <v>288</v>
      </c>
      <c r="C198" s="103" t="s">
        <v>288</v>
      </c>
      <c r="D198" s="104">
        <v>0</v>
      </c>
      <c r="E198" s="104">
        <v>32119</v>
      </c>
      <c r="F198" s="104">
        <v>484</v>
      </c>
      <c r="G198" s="104">
        <v>0</v>
      </c>
      <c r="H198" s="104">
        <v>0</v>
      </c>
      <c r="I198" s="104">
        <v>0</v>
      </c>
      <c r="J198" s="104">
        <v>0</v>
      </c>
      <c r="K198" s="104">
        <v>10006</v>
      </c>
      <c r="L198" s="104">
        <v>150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21839</v>
      </c>
      <c r="Y198" s="104">
        <v>322</v>
      </c>
      <c r="Z198" s="104">
        <v>0</v>
      </c>
      <c r="AA198" s="104">
        <v>0</v>
      </c>
      <c r="AB198" s="104">
        <v>0</v>
      </c>
      <c r="AC198" s="104">
        <v>0</v>
      </c>
      <c r="AD198" s="104">
        <v>0</v>
      </c>
      <c r="AE198" s="104">
        <v>0</v>
      </c>
      <c r="AF198" s="104">
        <v>0</v>
      </c>
      <c r="AG198" s="104">
        <v>0</v>
      </c>
      <c r="AH198" s="104">
        <v>0</v>
      </c>
      <c r="AI198" s="104">
        <v>0</v>
      </c>
      <c r="AJ198" s="104">
        <v>0</v>
      </c>
      <c r="AK198" s="104">
        <v>0</v>
      </c>
      <c r="AL198" s="104">
        <v>0</v>
      </c>
      <c r="AM198" s="104">
        <v>0</v>
      </c>
      <c r="AN198" s="104">
        <v>0</v>
      </c>
      <c r="AO198" s="104">
        <v>0</v>
      </c>
      <c r="AP198" s="104">
        <v>0</v>
      </c>
      <c r="AQ198" s="104">
        <v>0</v>
      </c>
      <c r="AR198" s="104">
        <v>0</v>
      </c>
      <c r="AS198" s="104">
        <v>0</v>
      </c>
      <c r="AT198" s="104">
        <v>0</v>
      </c>
      <c r="AU198" s="104">
        <v>0</v>
      </c>
      <c r="AV198" s="104">
        <v>0</v>
      </c>
      <c r="AW198" s="104">
        <v>0</v>
      </c>
      <c r="AX198" s="104">
        <v>0</v>
      </c>
      <c r="AZ198" s="104">
        <f t="shared" si="8"/>
        <v>63964</v>
      </c>
      <c r="BA198" s="104">
        <f t="shared" si="9"/>
        <v>956</v>
      </c>
      <c r="BB198" s="96">
        <f t="shared" si="10"/>
        <v>0</v>
      </c>
      <c r="BC198" s="104">
        <f t="shared" si="11"/>
        <v>0</v>
      </c>
    </row>
    <row r="199" spans="1:55">
      <c r="A199" s="102" t="s">
        <v>289</v>
      </c>
      <c r="B199" s="24" t="s">
        <v>606</v>
      </c>
      <c r="C199" s="103" t="s">
        <v>290</v>
      </c>
      <c r="D199" s="104">
        <v>0</v>
      </c>
      <c r="E199" s="104">
        <v>18422</v>
      </c>
      <c r="F199" s="104">
        <v>162</v>
      </c>
      <c r="G199" s="104">
        <v>0</v>
      </c>
      <c r="H199" s="104">
        <v>0</v>
      </c>
      <c r="I199" s="104">
        <v>0</v>
      </c>
      <c r="J199" s="104">
        <v>0</v>
      </c>
      <c r="K199" s="104">
        <v>10165</v>
      </c>
      <c r="L199" s="104">
        <v>285</v>
      </c>
      <c r="M199" s="104">
        <v>0</v>
      </c>
      <c r="N199" s="104">
        <v>0</v>
      </c>
      <c r="O199" s="104">
        <v>0</v>
      </c>
      <c r="P199" s="104">
        <v>0</v>
      </c>
      <c r="Q199" s="104">
        <v>0</v>
      </c>
      <c r="R199" s="104">
        <v>0</v>
      </c>
      <c r="S199" s="104">
        <v>0</v>
      </c>
      <c r="T199" s="104">
        <v>0</v>
      </c>
      <c r="U199" s="104">
        <v>0</v>
      </c>
      <c r="V199" s="104">
        <v>0</v>
      </c>
      <c r="W199" s="104">
        <v>0</v>
      </c>
      <c r="X199" s="104">
        <v>36509</v>
      </c>
      <c r="Y199" s="104">
        <v>678</v>
      </c>
      <c r="Z199" s="104">
        <v>0</v>
      </c>
      <c r="AA199" s="104">
        <v>0</v>
      </c>
      <c r="AB199" s="104">
        <v>0</v>
      </c>
      <c r="AC199" s="104">
        <v>0</v>
      </c>
      <c r="AD199" s="104">
        <v>0</v>
      </c>
      <c r="AE199" s="104">
        <v>0</v>
      </c>
      <c r="AF199" s="104">
        <v>0</v>
      </c>
      <c r="AG199" s="104">
        <v>0</v>
      </c>
      <c r="AH199" s="104">
        <v>0</v>
      </c>
      <c r="AI199" s="104">
        <v>0</v>
      </c>
      <c r="AJ199" s="104">
        <v>0</v>
      </c>
      <c r="AK199" s="104">
        <v>0</v>
      </c>
      <c r="AL199" s="104">
        <v>0</v>
      </c>
      <c r="AM199" s="104">
        <v>0</v>
      </c>
      <c r="AN199" s="104">
        <v>0</v>
      </c>
      <c r="AO199" s="104">
        <v>0</v>
      </c>
      <c r="AP199" s="104">
        <v>0</v>
      </c>
      <c r="AQ199" s="104">
        <v>0</v>
      </c>
      <c r="AR199" s="104">
        <v>0</v>
      </c>
      <c r="AS199" s="104">
        <v>4384</v>
      </c>
      <c r="AT199" s="104">
        <v>132</v>
      </c>
      <c r="AU199" s="104">
        <v>0</v>
      </c>
      <c r="AV199" s="104">
        <v>0</v>
      </c>
      <c r="AW199" s="104">
        <v>0</v>
      </c>
      <c r="AX199" s="104">
        <v>0</v>
      </c>
      <c r="AZ199" s="104">
        <f t="shared" ref="AZ199:AZ262" si="12">E199+H199+K199+O199+R199+U199+X199+AA199</f>
        <v>65096</v>
      </c>
      <c r="BA199" s="104">
        <f t="shared" ref="BA199:BA262" si="13">F199+I199+L199+P199+S199+V199+Y199+AB199</f>
        <v>1125</v>
      </c>
      <c r="BB199" s="96">
        <f t="shared" ref="BB199:BB262" si="14">M199</f>
        <v>0</v>
      </c>
      <c r="BC199" s="104">
        <f t="shared" ref="BC199:BC262" si="15">D199+G199+J199+N199+Q199+T199+W199+Z199+AC199</f>
        <v>0</v>
      </c>
    </row>
    <row r="200" spans="1:55">
      <c r="A200" s="102" t="s">
        <v>291</v>
      </c>
      <c r="B200" s="24" t="s">
        <v>607</v>
      </c>
      <c r="C200" s="103" t="s">
        <v>42</v>
      </c>
      <c r="D200" s="104">
        <v>0</v>
      </c>
      <c r="E200" s="104">
        <v>142885</v>
      </c>
      <c r="F200" s="104">
        <v>2878</v>
      </c>
      <c r="G200" s="104">
        <v>0</v>
      </c>
      <c r="H200" s="104">
        <v>0</v>
      </c>
      <c r="I200" s="104">
        <v>0</v>
      </c>
      <c r="J200" s="104">
        <v>0</v>
      </c>
      <c r="K200" s="104">
        <v>35319</v>
      </c>
      <c r="L200" s="104">
        <v>713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84937</v>
      </c>
      <c r="Y200" s="104">
        <v>1709</v>
      </c>
      <c r="Z200" s="104">
        <v>0</v>
      </c>
      <c r="AA200" s="104">
        <v>0</v>
      </c>
      <c r="AB200" s="104">
        <v>0</v>
      </c>
      <c r="AC200" s="104">
        <v>0</v>
      </c>
      <c r="AD200" s="104">
        <v>7170</v>
      </c>
      <c r="AE200" s="104">
        <v>144</v>
      </c>
      <c r="AF200" s="104">
        <v>0</v>
      </c>
      <c r="AG200" s="104">
        <v>0</v>
      </c>
      <c r="AH200" s="104">
        <v>0</v>
      </c>
      <c r="AI200" s="104">
        <v>0</v>
      </c>
      <c r="AJ200" s="104">
        <v>0</v>
      </c>
      <c r="AK200" s="104">
        <v>0</v>
      </c>
      <c r="AL200" s="104">
        <v>0</v>
      </c>
      <c r="AM200" s="104">
        <v>0</v>
      </c>
      <c r="AN200" s="104">
        <v>0</v>
      </c>
      <c r="AO200" s="104">
        <v>0</v>
      </c>
      <c r="AP200" s="104">
        <v>0</v>
      </c>
      <c r="AQ200" s="104">
        <v>0</v>
      </c>
      <c r="AR200" s="104">
        <v>0</v>
      </c>
      <c r="AS200" s="104">
        <v>7761</v>
      </c>
      <c r="AT200" s="104">
        <v>151</v>
      </c>
      <c r="AU200" s="104">
        <v>0</v>
      </c>
      <c r="AV200" s="104">
        <v>357</v>
      </c>
      <c r="AW200" s="104">
        <v>11</v>
      </c>
      <c r="AX200" s="104">
        <v>0</v>
      </c>
      <c r="AZ200" s="104">
        <f t="shared" si="12"/>
        <v>263141</v>
      </c>
      <c r="BA200" s="104">
        <f t="shared" si="13"/>
        <v>5300</v>
      </c>
      <c r="BB200" s="96">
        <f t="shared" si="14"/>
        <v>0</v>
      </c>
      <c r="BC200" s="104">
        <f t="shared" si="15"/>
        <v>0</v>
      </c>
    </row>
    <row r="201" spans="1:55">
      <c r="A201" s="102" t="s">
        <v>292</v>
      </c>
      <c r="B201" s="24" t="s">
        <v>608</v>
      </c>
      <c r="C201" s="103" t="s">
        <v>293</v>
      </c>
      <c r="D201" s="104">
        <v>0</v>
      </c>
      <c r="E201" s="104">
        <v>38492</v>
      </c>
      <c r="F201" s="104">
        <v>487</v>
      </c>
      <c r="G201" s="104">
        <v>0</v>
      </c>
      <c r="H201" s="104">
        <v>0</v>
      </c>
      <c r="I201" s="104">
        <v>0</v>
      </c>
      <c r="J201" s="104">
        <v>0</v>
      </c>
      <c r="K201" s="104">
        <v>8473</v>
      </c>
      <c r="L201" s="104">
        <v>106</v>
      </c>
      <c r="M201" s="104">
        <v>0</v>
      </c>
      <c r="N201" s="104">
        <v>0</v>
      </c>
      <c r="O201" s="104">
        <v>0</v>
      </c>
      <c r="P201" s="104">
        <v>0</v>
      </c>
      <c r="Q201" s="104">
        <v>0</v>
      </c>
      <c r="R201" s="104">
        <v>0</v>
      </c>
      <c r="S201" s="104">
        <v>0</v>
      </c>
      <c r="T201" s="104">
        <v>0</v>
      </c>
      <c r="U201" s="104">
        <v>0</v>
      </c>
      <c r="V201" s="104">
        <v>0</v>
      </c>
      <c r="W201" s="104">
        <v>0</v>
      </c>
      <c r="X201" s="104">
        <v>0</v>
      </c>
      <c r="Y201" s="104">
        <v>0</v>
      </c>
      <c r="Z201" s="104">
        <v>0</v>
      </c>
      <c r="AA201" s="104">
        <v>0</v>
      </c>
      <c r="AB201" s="104">
        <v>0</v>
      </c>
      <c r="AC201" s="104">
        <v>0</v>
      </c>
      <c r="AD201" s="104">
        <v>0</v>
      </c>
      <c r="AE201" s="104">
        <v>0</v>
      </c>
      <c r="AF201" s="104">
        <v>0</v>
      </c>
      <c r="AG201" s="104">
        <v>0</v>
      </c>
      <c r="AH201" s="104">
        <v>0</v>
      </c>
      <c r="AI201" s="104">
        <v>0</v>
      </c>
      <c r="AJ201" s="104">
        <v>0</v>
      </c>
      <c r="AK201" s="104">
        <v>0</v>
      </c>
      <c r="AL201" s="104">
        <v>0</v>
      </c>
      <c r="AM201" s="104">
        <v>0</v>
      </c>
      <c r="AN201" s="104">
        <v>0</v>
      </c>
      <c r="AO201" s="104">
        <v>0</v>
      </c>
      <c r="AP201" s="104">
        <v>0</v>
      </c>
      <c r="AQ201" s="104">
        <v>0</v>
      </c>
      <c r="AR201" s="104">
        <v>0</v>
      </c>
      <c r="AS201" s="104">
        <v>0</v>
      </c>
      <c r="AT201" s="104">
        <v>0</v>
      </c>
      <c r="AU201" s="104">
        <v>0</v>
      </c>
      <c r="AV201" s="104">
        <v>0</v>
      </c>
      <c r="AW201" s="104">
        <v>0</v>
      </c>
      <c r="AX201" s="104">
        <v>0</v>
      </c>
      <c r="AZ201" s="104">
        <f t="shared" si="12"/>
        <v>46965</v>
      </c>
      <c r="BA201" s="104">
        <f t="shared" si="13"/>
        <v>593</v>
      </c>
      <c r="BB201" s="96">
        <f t="shared" si="14"/>
        <v>0</v>
      </c>
      <c r="BC201" s="104">
        <f t="shared" si="15"/>
        <v>0</v>
      </c>
    </row>
    <row r="202" spans="1:55">
      <c r="A202" s="102" t="s">
        <v>294</v>
      </c>
      <c r="B202" s="24" t="s">
        <v>609</v>
      </c>
      <c r="C202" s="103" t="s">
        <v>42</v>
      </c>
      <c r="D202" s="104">
        <v>0</v>
      </c>
      <c r="E202" s="104">
        <v>23003</v>
      </c>
      <c r="F202" s="104">
        <v>596</v>
      </c>
      <c r="G202" s="104">
        <v>0</v>
      </c>
      <c r="H202" s="104">
        <v>0</v>
      </c>
      <c r="I202" s="104">
        <v>0</v>
      </c>
      <c r="J202" s="104">
        <v>0</v>
      </c>
      <c r="K202" s="104">
        <v>9777</v>
      </c>
      <c r="L202" s="104">
        <v>251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54443</v>
      </c>
      <c r="Y202" s="104">
        <v>1400</v>
      </c>
      <c r="Z202" s="104">
        <v>0</v>
      </c>
      <c r="AA202" s="104">
        <v>0</v>
      </c>
      <c r="AB202" s="104">
        <v>0</v>
      </c>
      <c r="AC202" s="104">
        <v>0</v>
      </c>
      <c r="AD202" s="104">
        <v>44</v>
      </c>
      <c r="AE202" s="104">
        <v>15</v>
      </c>
      <c r="AF202" s="104">
        <v>0</v>
      </c>
      <c r="AG202" s="104">
        <v>0</v>
      </c>
      <c r="AH202" s="104">
        <v>0</v>
      </c>
      <c r="AI202" s="104">
        <v>0</v>
      </c>
      <c r="AJ202" s="104">
        <v>0</v>
      </c>
      <c r="AK202" s="104">
        <v>0</v>
      </c>
      <c r="AL202" s="104">
        <v>0</v>
      </c>
      <c r="AM202" s="104">
        <v>0</v>
      </c>
      <c r="AN202" s="104">
        <v>0</v>
      </c>
      <c r="AO202" s="104">
        <v>0</v>
      </c>
      <c r="AP202" s="104">
        <v>0</v>
      </c>
      <c r="AQ202" s="104">
        <v>0</v>
      </c>
      <c r="AR202" s="104">
        <v>0</v>
      </c>
      <c r="AS202" s="104">
        <v>1371</v>
      </c>
      <c r="AT202" s="104">
        <v>15</v>
      </c>
      <c r="AU202" s="104">
        <v>0</v>
      </c>
      <c r="AV202" s="104">
        <v>0</v>
      </c>
      <c r="AW202" s="104">
        <v>0</v>
      </c>
      <c r="AX202" s="104">
        <v>0</v>
      </c>
      <c r="AZ202" s="104">
        <f t="shared" si="12"/>
        <v>87223</v>
      </c>
      <c r="BA202" s="104">
        <f t="shared" si="13"/>
        <v>2247</v>
      </c>
      <c r="BB202" s="96">
        <f t="shared" si="14"/>
        <v>0</v>
      </c>
      <c r="BC202" s="104">
        <f t="shared" si="15"/>
        <v>0</v>
      </c>
    </row>
    <row r="203" spans="1:55">
      <c r="A203" s="102" t="s">
        <v>295</v>
      </c>
      <c r="B203" s="24" t="s">
        <v>610</v>
      </c>
      <c r="C203" s="103" t="s">
        <v>296</v>
      </c>
      <c r="D203" s="104">
        <v>0</v>
      </c>
      <c r="E203" s="104">
        <v>32584</v>
      </c>
      <c r="F203" s="104">
        <v>261</v>
      </c>
      <c r="G203" s="104">
        <v>0</v>
      </c>
      <c r="H203" s="104">
        <v>0</v>
      </c>
      <c r="I203" s="104">
        <v>0</v>
      </c>
      <c r="J203" s="104">
        <v>0</v>
      </c>
      <c r="K203" s="104">
        <v>7382</v>
      </c>
      <c r="L203" s="104">
        <v>59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7968</v>
      </c>
      <c r="Y203" s="104">
        <v>63</v>
      </c>
      <c r="Z203" s="104">
        <v>0</v>
      </c>
      <c r="AA203" s="104">
        <v>0</v>
      </c>
      <c r="AB203" s="104">
        <v>0</v>
      </c>
      <c r="AC203" s="104">
        <v>0</v>
      </c>
      <c r="AD203" s="104">
        <v>0</v>
      </c>
      <c r="AE203" s="104">
        <v>0</v>
      </c>
      <c r="AF203" s="104">
        <v>0</v>
      </c>
      <c r="AG203" s="104">
        <v>0</v>
      </c>
      <c r="AH203" s="104">
        <v>0</v>
      </c>
      <c r="AI203" s="104">
        <v>0</v>
      </c>
      <c r="AJ203" s="104">
        <v>0</v>
      </c>
      <c r="AK203" s="104">
        <v>0</v>
      </c>
      <c r="AL203" s="104">
        <v>0</v>
      </c>
      <c r="AM203" s="104">
        <v>0</v>
      </c>
      <c r="AN203" s="104">
        <v>0</v>
      </c>
      <c r="AO203" s="104">
        <v>0</v>
      </c>
      <c r="AP203" s="104">
        <v>0</v>
      </c>
      <c r="AQ203" s="104">
        <v>0</v>
      </c>
      <c r="AR203" s="104">
        <v>0</v>
      </c>
      <c r="AS203" s="104">
        <v>0</v>
      </c>
      <c r="AT203" s="104">
        <v>0</v>
      </c>
      <c r="AU203" s="104">
        <v>0</v>
      </c>
      <c r="AV203" s="104">
        <v>0</v>
      </c>
      <c r="AW203" s="104">
        <v>0</v>
      </c>
      <c r="AX203" s="104">
        <v>0</v>
      </c>
      <c r="AZ203" s="104">
        <f t="shared" si="12"/>
        <v>47934</v>
      </c>
      <c r="BA203" s="104">
        <f t="shared" si="13"/>
        <v>383</v>
      </c>
      <c r="BB203" s="96">
        <f t="shared" si="14"/>
        <v>0</v>
      </c>
      <c r="BC203" s="104">
        <f t="shared" si="15"/>
        <v>0</v>
      </c>
    </row>
    <row r="204" spans="1:55">
      <c r="A204" s="102" t="s">
        <v>297</v>
      </c>
      <c r="B204" s="24" t="s">
        <v>611</v>
      </c>
      <c r="C204" s="103" t="s">
        <v>296</v>
      </c>
      <c r="D204" s="104">
        <v>0</v>
      </c>
      <c r="E204" s="104">
        <v>17552</v>
      </c>
      <c r="F204" s="104">
        <v>318</v>
      </c>
      <c r="G204" s="104">
        <v>0</v>
      </c>
      <c r="H204" s="104">
        <v>0</v>
      </c>
      <c r="I204" s="104">
        <v>0</v>
      </c>
      <c r="J204" s="104">
        <v>0</v>
      </c>
      <c r="K204" s="104">
        <v>8044</v>
      </c>
      <c r="L204" s="104">
        <v>145</v>
      </c>
      <c r="M204" s="104">
        <v>0</v>
      </c>
      <c r="N204" s="104">
        <v>0</v>
      </c>
      <c r="O204" s="104">
        <v>0</v>
      </c>
      <c r="P204" s="104">
        <v>0</v>
      </c>
      <c r="Q204" s="104">
        <v>0</v>
      </c>
      <c r="R204" s="104">
        <v>0</v>
      </c>
      <c r="S204" s="104">
        <v>0</v>
      </c>
      <c r="T204" s="104">
        <v>0</v>
      </c>
      <c r="U204" s="104">
        <v>0</v>
      </c>
      <c r="V204" s="104">
        <v>0</v>
      </c>
      <c r="W204" s="104">
        <v>0</v>
      </c>
      <c r="X204" s="104">
        <v>30113</v>
      </c>
      <c r="Y204" s="104">
        <v>533</v>
      </c>
      <c r="Z204" s="104">
        <v>0</v>
      </c>
      <c r="AA204" s="104">
        <v>0</v>
      </c>
      <c r="AB204" s="104">
        <v>0</v>
      </c>
      <c r="AC204" s="104">
        <v>0</v>
      </c>
      <c r="AD204" s="104">
        <v>0</v>
      </c>
      <c r="AE204" s="104">
        <v>0</v>
      </c>
      <c r="AF204" s="104">
        <v>0</v>
      </c>
      <c r="AG204" s="104">
        <v>0</v>
      </c>
      <c r="AH204" s="104">
        <v>0</v>
      </c>
      <c r="AI204" s="104">
        <v>0</v>
      </c>
      <c r="AJ204" s="104">
        <v>0</v>
      </c>
      <c r="AK204" s="104">
        <v>0</v>
      </c>
      <c r="AL204" s="104">
        <v>0</v>
      </c>
      <c r="AM204" s="104">
        <v>0</v>
      </c>
      <c r="AN204" s="104">
        <v>0</v>
      </c>
      <c r="AO204" s="104">
        <v>0</v>
      </c>
      <c r="AP204" s="104">
        <v>0</v>
      </c>
      <c r="AQ204" s="104">
        <v>0</v>
      </c>
      <c r="AR204" s="104">
        <v>0</v>
      </c>
      <c r="AS204" s="104">
        <v>3707</v>
      </c>
      <c r="AT204" s="104">
        <v>64</v>
      </c>
      <c r="AU204" s="104">
        <v>0</v>
      </c>
      <c r="AV204" s="104">
        <v>0</v>
      </c>
      <c r="AW204" s="104">
        <v>0</v>
      </c>
      <c r="AX204" s="104">
        <v>0</v>
      </c>
      <c r="AZ204" s="104">
        <f t="shared" si="12"/>
        <v>55709</v>
      </c>
      <c r="BA204" s="104">
        <f t="shared" si="13"/>
        <v>996</v>
      </c>
      <c r="BB204" s="96">
        <f t="shared" si="14"/>
        <v>0</v>
      </c>
      <c r="BC204" s="104">
        <f t="shared" si="15"/>
        <v>0</v>
      </c>
    </row>
    <row r="205" spans="1:55">
      <c r="A205" s="102" t="s">
        <v>298</v>
      </c>
      <c r="B205" s="24" t="s">
        <v>612</v>
      </c>
      <c r="C205" s="103" t="s">
        <v>299</v>
      </c>
      <c r="D205" s="104">
        <v>0</v>
      </c>
      <c r="E205" s="104">
        <v>19220</v>
      </c>
      <c r="F205" s="104">
        <v>363</v>
      </c>
      <c r="G205" s="104">
        <v>0</v>
      </c>
      <c r="H205" s="104">
        <v>0</v>
      </c>
      <c r="I205" s="104">
        <v>0</v>
      </c>
      <c r="J205" s="104">
        <v>0</v>
      </c>
      <c r="K205" s="104">
        <v>4177</v>
      </c>
      <c r="L205" s="104">
        <v>78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Z205" s="104">
        <v>0</v>
      </c>
      <c r="AA205" s="104">
        <v>0</v>
      </c>
      <c r="AB205" s="104">
        <v>0</v>
      </c>
      <c r="AC205" s="104">
        <v>0</v>
      </c>
      <c r="AD205" s="104">
        <v>0</v>
      </c>
      <c r="AE205" s="104">
        <v>0</v>
      </c>
      <c r="AF205" s="104">
        <v>0</v>
      </c>
      <c r="AG205" s="104">
        <v>0</v>
      </c>
      <c r="AH205" s="104">
        <v>0</v>
      </c>
      <c r="AI205" s="104">
        <v>0</v>
      </c>
      <c r="AJ205" s="104">
        <v>0</v>
      </c>
      <c r="AK205" s="104">
        <v>0</v>
      </c>
      <c r="AL205" s="104">
        <v>0</v>
      </c>
      <c r="AM205" s="104">
        <v>0</v>
      </c>
      <c r="AN205" s="104">
        <v>0</v>
      </c>
      <c r="AO205" s="104">
        <v>0</v>
      </c>
      <c r="AP205" s="104">
        <v>0</v>
      </c>
      <c r="AQ205" s="104">
        <v>0</v>
      </c>
      <c r="AR205" s="104">
        <v>0</v>
      </c>
      <c r="AS205" s="104">
        <v>0</v>
      </c>
      <c r="AT205" s="104">
        <v>0</v>
      </c>
      <c r="AU205" s="104">
        <v>0</v>
      </c>
      <c r="AV205" s="104">
        <v>0</v>
      </c>
      <c r="AW205" s="104">
        <v>0</v>
      </c>
      <c r="AX205" s="104">
        <v>0</v>
      </c>
      <c r="AZ205" s="104">
        <f t="shared" si="12"/>
        <v>23397</v>
      </c>
      <c r="BA205" s="104">
        <f t="shared" si="13"/>
        <v>441</v>
      </c>
      <c r="BB205" s="96">
        <f t="shared" si="14"/>
        <v>0</v>
      </c>
      <c r="BC205" s="104">
        <f t="shared" si="15"/>
        <v>0</v>
      </c>
    </row>
    <row r="206" spans="1:55">
      <c r="A206" s="102" t="s">
        <v>300</v>
      </c>
      <c r="B206" s="24" t="s">
        <v>613</v>
      </c>
      <c r="C206" s="103" t="s">
        <v>301</v>
      </c>
      <c r="D206" s="104">
        <v>0</v>
      </c>
      <c r="E206" s="104">
        <v>106515</v>
      </c>
      <c r="F206" s="104">
        <v>2122</v>
      </c>
      <c r="G206" s="104">
        <v>0</v>
      </c>
      <c r="H206" s="104">
        <v>0</v>
      </c>
      <c r="I206" s="104">
        <v>0</v>
      </c>
      <c r="J206" s="104">
        <v>0</v>
      </c>
      <c r="K206" s="104">
        <v>22927</v>
      </c>
      <c r="L206" s="104">
        <v>482</v>
      </c>
      <c r="M206" s="104">
        <v>4650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94688</v>
      </c>
      <c r="Y206" s="104">
        <v>1961</v>
      </c>
      <c r="Z206" s="104">
        <v>0</v>
      </c>
      <c r="AA206" s="104">
        <v>0</v>
      </c>
      <c r="AB206" s="104">
        <v>0</v>
      </c>
      <c r="AC206" s="104">
        <v>0</v>
      </c>
      <c r="AD206" s="104">
        <v>0</v>
      </c>
      <c r="AE206" s="104">
        <v>0</v>
      </c>
      <c r="AF206" s="104">
        <v>0</v>
      </c>
      <c r="AG206" s="104">
        <v>0</v>
      </c>
      <c r="AH206" s="104">
        <v>0</v>
      </c>
      <c r="AI206" s="104">
        <v>0</v>
      </c>
      <c r="AJ206" s="104">
        <v>0</v>
      </c>
      <c r="AK206" s="104">
        <v>0</v>
      </c>
      <c r="AL206" s="104">
        <v>0</v>
      </c>
      <c r="AM206" s="104">
        <v>0</v>
      </c>
      <c r="AN206" s="104">
        <v>0</v>
      </c>
      <c r="AO206" s="104">
        <v>0</v>
      </c>
      <c r="AP206" s="104">
        <v>0</v>
      </c>
      <c r="AQ206" s="104">
        <v>0</v>
      </c>
      <c r="AR206" s="104">
        <v>0</v>
      </c>
      <c r="AS206" s="104">
        <v>0</v>
      </c>
      <c r="AT206" s="104">
        <v>0</v>
      </c>
      <c r="AU206" s="104">
        <v>0</v>
      </c>
      <c r="AV206" s="104">
        <v>0</v>
      </c>
      <c r="AW206" s="104">
        <v>0</v>
      </c>
      <c r="AX206" s="104">
        <v>0</v>
      </c>
      <c r="AZ206" s="104">
        <f t="shared" si="12"/>
        <v>224130</v>
      </c>
      <c r="BA206" s="104">
        <f t="shared" si="13"/>
        <v>4565</v>
      </c>
      <c r="BB206" s="96">
        <f t="shared" si="14"/>
        <v>4650</v>
      </c>
      <c r="BC206" s="104">
        <f t="shared" si="15"/>
        <v>0</v>
      </c>
    </row>
    <row r="207" spans="1:55">
      <c r="A207" s="102" t="s">
        <v>302</v>
      </c>
      <c r="B207" s="24" t="s">
        <v>144</v>
      </c>
      <c r="C207" s="103" t="s">
        <v>264</v>
      </c>
      <c r="D207" s="104">
        <v>608</v>
      </c>
      <c r="E207" s="104">
        <v>13322</v>
      </c>
      <c r="F207" s="104">
        <v>255</v>
      </c>
      <c r="G207" s="104">
        <v>0</v>
      </c>
      <c r="H207" s="104">
        <v>0</v>
      </c>
      <c r="I207" s="104">
        <v>0</v>
      </c>
      <c r="J207" s="104">
        <v>0</v>
      </c>
      <c r="K207" s="104">
        <v>1907</v>
      </c>
      <c r="L207" s="104">
        <v>36</v>
      </c>
      <c r="M207" s="104">
        <v>4517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7500</v>
      </c>
      <c r="Y207" s="104">
        <v>143</v>
      </c>
      <c r="Z207" s="104">
        <v>0</v>
      </c>
      <c r="AA207" s="104">
        <v>0</v>
      </c>
      <c r="AB207" s="104">
        <v>0</v>
      </c>
      <c r="AC207" s="104">
        <v>0</v>
      </c>
      <c r="AD207" s="104">
        <v>0</v>
      </c>
      <c r="AE207" s="104">
        <v>0</v>
      </c>
      <c r="AF207" s="104">
        <v>0</v>
      </c>
      <c r="AG207" s="104">
        <v>0</v>
      </c>
      <c r="AH207" s="104">
        <v>0</v>
      </c>
      <c r="AI207" s="104">
        <v>0</v>
      </c>
      <c r="AJ207" s="104">
        <v>0</v>
      </c>
      <c r="AK207" s="104">
        <v>0</v>
      </c>
      <c r="AL207" s="104">
        <v>0</v>
      </c>
      <c r="AM207" s="104">
        <v>0</v>
      </c>
      <c r="AN207" s="104">
        <v>0</v>
      </c>
      <c r="AO207" s="104">
        <v>0</v>
      </c>
      <c r="AP207" s="104">
        <v>0</v>
      </c>
      <c r="AQ207" s="104">
        <v>0</v>
      </c>
      <c r="AR207" s="104">
        <v>0</v>
      </c>
      <c r="AS207" s="104">
        <v>0</v>
      </c>
      <c r="AT207" s="104">
        <v>0</v>
      </c>
      <c r="AU207" s="104">
        <v>0</v>
      </c>
      <c r="AV207" s="104">
        <v>0</v>
      </c>
      <c r="AW207" s="104">
        <v>0</v>
      </c>
      <c r="AX207" s="104">
        <v>0</v>
      </c>
      <c r="AZ207" s="104">
        <f t="shared" si="12"/>
        <v>22729</v>
      </c>
      <c r="BA207" s="104">
        <f t="shared" si="13"/>
        <v>434</v>
      </c>
      <c r="BB207" s="96">
        <f t="shared" si="14"/>
        <v>4517</v>
      </c>
      <c r="BC207" s="104">
        <f t="shared" si="15"/>
        <v>608</v>
      </c>
    </row>
    <row r="208" spans="1:55">
      <c r="A208" s="102" t="s">
        <v>303</v>
      </c>
      <c r="B208" s="24" t="s">
        <v>614</v>
      </c>
      <c r="C208" s="103" t="s">
        <v>42</v>
      </c>
      <c r="D208" s="104">
        <v>0</v>
      </c>
      <c r="E208" s="104">
        <v>149730</v>
      </c>
      <c r="F208" s="104">
        <v>2137</v>
      </c>
      <c r="G208" s="104">
        <v>0</v>
      </c>
      <c r="H208" s="104">
        <v>0</v>
      </c>
      <c r="I208" s="104">
        <v>0</v>
      </c>
      <c r="J208" s="104">
        <v>0</v>
      </c>
      <c r="K208" s="104">
        <v>38104</v>
      </c>
      <c r="L208" s="104">
        <v>548</v>
      </c>
      <c r="M208" s="104">
        <v>303</v>
      </c>
      <c r="N208" s="104">
        <v>0</v>
      </c>
      <c r="O208" s="104">
        <v>0</v>
      </c>
      <c r="P208" s="104">
        <v>0</v>
      </c>
      <c r="Q208" s="104">
        <v>0</v>
      </c>
      <c r="R208" s="104">
        <v>0</v>
      </c>
      <c r="S208" s="104">
        <v>0</v>
      </c>
      <c r="T208" s="104">
        <v>0</v>
      </c>
      <c r="U208" s="104">
        <v>0</v>
      </c>
      <c r="V208" s="104">
        <v>0</v>
      </c>
      <c r="W208" s="104">
        <v>0</v>
      </c>
      <c r="X208" s="104">
        <v>135788</v>
      </c>
      <c r="Y208" s="104">
        <v>1935</v>
      </c>
      <c r="Z208" s="104">
        <v>0</v>
      </c>
      <c r="AA208" s="104">
        <v>0</v>
      </c>
      <c r="AB208" s="104">
        <v>0</v>
      </c>
      <c r="AC208" s="104">
        <v>0</v>
      </c>
      <c r="AD208" s="104">
        <v>0</v>
      </c>
      <c r="AE208" s="104">
        <v>0</v>
      </c>
      <c r="AF208" s="104">
        <v>0</v>
      </c>
      <c r="AG208" s="104">
        <v>8711</v>
      </c>
      <c r="AH208" s="104">
        <v>124</v>
      </c>
      <c r="AI208" s="104">
        <v>0</v>
      </c>
      <c r="AJ208" s="104">
        <v>0</v>
      </c>
      <c r="AK208" s="104">
        <v>0</v>
      </c>
      <c r="AL208" s="104">
        <v>0</v>
      </c>
      <c r="AM208" s="104">
        <v>0</v>
      </c>
      <c r="AN208" s="104">
        <v>0</v>
      </c>
      <c r="AO208" s="104">
        <v>0</v>
      </c>
      <c r="AP208" s="104">
        <v>0</v>
      </c>
      <c r="AQ208" s="104">
        <v>0</v>
      </c>
      <c r="AR208" s="104">
        <v>0</v>
      </c>
      <c r="AS208" s="104">
        <v>0</v>
      </c>
      <c r="AT208" s="104">
        <v>0</v>
      </c>
      <c r="AU208" s="104">
        <v>0</v>
      </c>
      <c r="AV208" s="104">
        <v>0</v>
      </c>
      <c r="AW208" s="104">
        <v>0</v>
      </c>
      <c r="AX208" s="104">
        <v>0</v>
      </c>
      <c r="AZ208" s="104">
        <f t="shared" si="12"/>
        <v>323622</v>
      </c>
      <c r="BA208" s="104">
        <f t="shared" si="13"/>
        <v>4620</v>
      </c>
      <c r="BB208" s="96">
        <f t="shared" si="14"/>
        <v>303</v>
      </c>
      <c r="BC208" s="104">
        <f t="shared" si="15"/>
        <v>0</v>
      </c>
    </row>
    <row r="209" spans="1:55">
      <c r="A209" s="102" t="s">
        <v>304</v>
      </c>
      <c r="B209" s="24" t="s">
        <v>615</v>
      </c>
      <c r="C209" s="103" t="s">
        <v>293</v>
      </c>
      <c r="D209" s="104">
        <v>0</v>
      </c>
      <c r="E209" s="104">
        <v>22289</v>
      </c>
      <c r="F209" s="104">
        <v>375</v>
      </c>
      <c r="G209" s="104">
        <v>0</v>
      </c>
      <c r="H209" s="104">
        <v>0</v>
      </c>
      <c r="I209" s="104">
        <v>0</v>
      </c>
      <c r="J209" s="104">
        <v>0</v>
      </c>
      <c r="K209" s="104">
        <v>0</v>
      </c>
      <c r="L209" s="104">
        <v>0</v>
      </c>
      <c r="M209" s="104">
        <v>0</v>
      </c>
      <c r="N209" s="104">
        <v>0</v>
      </c>
      <c r="O209" s="104">
        <v>0</v>
      </c>
      <c r="P209" s="104">
        <v>0</v>
      </c>
      <c r="Q209" s="104">
        <v>0</v>
      </c>
      <c r="R209" s="104">
        <v>0</v>
      </c>
      <c r="S209" s="104">
        <v>0</v>
      </c>
      <c r="T209" s="104">
        <v>0</v>
      </c>
      <c r="U209" s="104">
        <v>0</v>
      </c>
      <c r="V209" s="104">
        <v>0</v>
      </c>
      <c r="W209" s="104">
        <v>0</v>
      </c>
      <c r="X209" s="104">
        <v>0</v>
      </c>
      <c r="Y209" s="104">
        <v>0</v>
      </c>
      <c r="Z209" s="104">
        <v>0</v>
      </c>
      <c r="AA209" s="104">
        <v>0</v>
      </c>
      <c r="AB209" s="104">
        <v>0</v>
      </c>
      <c r="AC209" s="104">
        <v>0</v>
      </c>
      <c r="AD209" s="104">
        <v>0</v>
      </c>
      <c r="AE209" s="104">
        <v>0</v>
      </c>
      <c r="AF209" s="104">
        <v>0</v>
      </c>
      <c r="AG209" s="104">
        <v>0</v>
      </c>
      <c r="AH209" s="104">
        <v>0</v>
      </c>
      <c r="AI209" s="104">
        <v>0</v>
      </c>
      <c r="AJ209" s="104">
        <v>0</v>
      </c>
      <c r="AK209" s="104">
        <v>0</v>
      </c>
      <c r="AL209" s="104">
        <v>0</v>
      </c>
      <c r="AM209" s="104">
        <v>0</v>
      </c>
      <c r="AN209" s="104">
        <v>0</v>
      </c>
      <c r="AO209" s="104">
        <v>0</v>
      </c>
      <c r="AP209" s="104">
        <v>0</v>
      </c>
      <c r="AQ209" s="104">
        <v>0</v>
      </c>
      <c r="AR209" s="104">
        <v>0</v>
      </c>
      <c r="AS209" s="104">
        <v>0</v>
      </c>
      <c r="AT209" s="104">
        <v>0</v>
      </c>
      <c r="AU209" s="104">
        <v>0</v>
      </c>
      <c r="AV209" s="104">
        <v>0</v>
      </c>
      <c r="AW209" s="104">
        <v>0</v>
      </c>
      <c r="AX209" s="104">
        <v>0</v>
      </c>
      <c r="AZ209" s="104">
        <f t="shared" si="12"/>
        <v>22289</v>
      </c>
      <c r="BA209" s="104">
        <f t="shared" si="13"/>
        <v>375</v>
      </c>
      <c r="BB209" s="96">
        <f t="shared" si="14"/>
        <v>0</v>
      </c>
      <c r="BC209" s="104">
        <f t="shared" si="15"/>
        <v>0</v>
      </c>
    </row>
    <row r="210" spans="1:55">
      <c r="A210" s="102" t="s">
        <v>305</v>
      </c>
      <c r="B210" s="24" t="s">
        <v>616</v>
      </c>
      <c r="C210" s="103" t="s">
        <v>306</v>
      </c>
      <c r="D210" s="104">
        <v>0</v>
      </c>
      <c r="E210" s="104">
        <v>54824</v>
      </c>
      <c r="F210" s="104">
        <v>1343</v>
      </c>
      <c r="G210" s="104">
        <v>0</v>
      </c>
      <c r="H210" s="104">
        <v>0</v>
      </c>
      <c r="I210" s="104">
        <v>0</v>
      </c>
      <c r="J210" s="104">
        <v>0</v>
      </c>
      <c r="K210" s="104">
        <v>19436</v>
      </c>
      <c r="L210" s="104">
        <v>487</v>
      </c>
      <c r="M210" s="104">
        <v>0</v>
      </c>
      <c r="N210" s="104">
        <v>0</v>
      </c>
      <c r="O210" s="104">
        <v>0</v>
      </c>
      <c r="P210" s="104">
        <v>0</v>
      </c>
      <c r="Q210" s="104">
        <v>0</v>
      </c>
      <c r="R210" s="104">
        <v>0</v>
      </c>
      <c r="S210" s="104">
        <v>0</v>
      </c>
      <c r="T210" s="104">
        <v>0</v>
      </c>
      <c r="U210" s="104">
        <v>0</v>
      </c>
      <c r="V210" s="104">
        <v>0</v>
      </c>
      <c r="W210" s="104">
        <v>0</v>
      </c>
      <c r="X210" s="104">
        <v>13254</v>
      </c>
      <c r="Y210" s="104">
        <v>331</v>
      </c>
      <c r="Z210" s="104">
        <v>0</v>
      </c>
      <c r="AA210" s="104">
        <v>0</v>
      </c>
      <c r="AB210" s="104">
        <v>0</v>
      </c>
      <c r="AC210" s="104">
        <v>0</v>
      </c>
      <c r="AD210" s="104">
        <v>0</v>
      </c>
      <c r="AE210" s="104">
        <v>0</v>
      </c>
      <c r="AF210" s="104">
        <v>0</v>
      </c>
      <c r="AG210" s="104">
        <v>0</v>
      </c>
      <c r="AH210" s="104">
        <v>0</v>
      </c>
      <c r="AI210" s="104">
        <v>0</v>
      </c>
      <c r="AJ210" s="104">
        <v>0</v>
      </c>
      <c r="AK210" s="104">
        <v>0</v>
      </c>
      <c r="AL210" s="104">
        <v>0</v>
      </c>
      <c r="AM210" s="104">
        <v>0</v>
      </c>
      <c r="AN210" s="104">
        <v>0</v>
      </c>
      <c r="AO210" s="104">
        <v>0</v>
      </c>
      <c r="AP210" s="104">
        <v>0</v>
      </c>
      <c r="AQ210" s="104">
        <v>0</v>
      </c>
      <c r="AR210" s="104">
        <v>0</v>
      </c>
      <c r="AS210" s="104">
        <v>0</v>
      </c>
      <c r="AT210" s="104">
        <v>0</v>
      </c>
      <c r="AU210" s="104">
        <v>0</v>
      </c>
      <c r="AV210" s="104">
        <v>0</v>
      </c>
      <c r="AW210" s="104">
        <v>0</v>
      </c>
      <c r="AX210" s="104">
        <v>25</v>
      </c>
      <c r="AZ210" s="104">
        <f t="shared" si="12"/>
        <v>87514</v>
      </c>
      <c r="BA210" s="104">
        <f t="shared" si="13"/>
        <v>2161</v>
      </c>
      <c r="BB210" s="96">
        <f t="shared" si="14"/>
        <v>0</v>
      </c>
      <c r="BC210" s="104">
        <f t="shared" si="15"/>
        <v>0</v>
      </c>
    </row>
    <row r="211" spans="1:55">
      <c r="A211" s="102" t="s">
        <v>307</v>
      </c>
      <c r="B211" s="24" t="s">
        <v>617</v>
      </c>
      <c r="C211" s="103" t="s">
        <v>264</v>
      </c>
      <c r="D211" s="104">
        <v>2068</v>
      </c>
      <c r="E211" s="104">
        <v>52464</v>
      </c>
      <c r="F211" s="104">
        <v>2167</v>
      </c>
      <c r="G211" s="104">
        <v>776</v>
      </c>
      <c r="H211" s="104">
        <v>0</v>
      </c>
      <c r="I211" s="104">
        <v>0</v>
      </c>
      <c r="J211" s="104">
        <v>0</v>
      </c>
      <c r="K211" s="104">
        <v>13214</v>
      </c>
      <c r="L211" s="104">
        <v>565</v>
      </c>
      <c r="M211" s="104">
        <v>0</v>
      </c>
      <c r="N211" s="104">
        <v>214</v>
      </c>
      <c r="O211" s="104">
        <v>0</v>
      </c>
      <c r="P211" s="104">
        <v>0</v>
      </c>
      <c r="Q211" s="104">
        <v>0</v>
      </c>
      <c r="R211" s="104">
        <v>0</v>
      </c>
      <c r="S211" s="104">
        <v>0</v>
      </c>
      <c r="T211" s="104">
        <v>0</v>
      </c>
      <c r="U211" s="104">
        <v>0</v>
      </c>
      <c r="V211" s="104">
        <v>0</v>
      </c>
      <c r="W211" s="104">
        <v>0</v>
      </c>
      <c r="X211" s="104">
        <v>27645</v>
      </c>
      <c r="Y211" s="104">
        <v>1194</v>
      </c>
      <c r="Z211" s="104">
        <v>541</v>
      </c>
      <c r="AA211" s="104">
        <v>0</v>
      </c>
      <c r="AB211" s="104">
        <v>0</v>
      </c>
      <c r="AC211" s="104">
        <v>0</v>
      </c>
      <c r="AD211" s="104">
        <v>0</v>
      </c>
      <c r="AE211" s="104">
        <v>0</v>
      </c>
      <c r="AF211" s="104">
        <v>0</v>
      </c>
      <c r="AG211" s="104">
        <v>0</v>
      </c>
      <c r="AH211" s="104">
        <v>0</v>
      </c>
      <c r="AI211" s="104">
        <v>0</v>
      </c>
      <c r="AJ211" s="104">
        <v>0</v>
      </c>
      <c r="AK211" s="104">
        <v>0</v>
      </c>
      <c r="AL211" s="104">
        <v>0</v>
      </c>
      <c r="AM211" s="104">
        <v>0</v>
      </c>
      <c r="AN211" s="104">
        <v>0</v>
      </c>
      <c r="AO211" s="104">
        <v>0</v>
      </c>
      <c r="AP211" s="104">
        <v>0</v>
      </c>
      <c r="AQ211" s="104">
        <v>0</v>
      </c>
      <c r="AR211" s="104">
        <v>0</v>
      </c>
      <c r="AS211" s="104">
        <v>10798</v>
      </c>
      <c r="AT211" s="104">
        <v>464</v>
      </c>
      <c r="AU211" s="104">
        <v>212</v>
      </c>
      <c r="AV211" s="104">
        <v>1721</v>
      </c>
      <c r="AW211" s="104">
        <v>68</v>
      </c>
      <c r="AX211" s="104">
        <v>0</v>
      </c>
      <c r="AZ211" s="104">
        <f t="shared" si="12"/>
        <v>93323</v>
      </c>
      <c r="BA211" s="104">
        <f t="shared" si="13"/>
        <v>3926</v>
      </c>
      <c r="BB211" s="96">
        <f t="shared" si="14"/>
        <v>0</v>
      </c>
      <c r="BC211" s="104">
        <f t="shared" si="15"/>
        <v>3599</v>
      </c>
    </row>
    <row r="212" spans="1:55">
      <c r="A212" s="102" t="s">
        <v>308</v>
      </c>
      <c r="B212" s="24" t="s">
        <v>618</v>
      </c>
      <c r="C212" s="103" t="s">
        <v>34</v>
      </c>
      <c r="D212" s="104">
        <v>0</v>
      </c>
      <c r="E212" s="104">
        <v>19991</v>
      </c>
      <c r="F212" s="104">
        <v>245</v>
      </c>
      <c r="G212" s="104">
        <v>0</v>
      </c>
      <c r="H212" s="104">
        <v>0</v>
      </c>
      <c r="I212" s="104">
        <v>0</v>
      </c>
      <c r="J212" s="104">
        <v>0</v>
      </c>
      <c r="K212" s="104">
        <v>0</v>
      </c>
      <c r="L212" s="104">
        <v>0</v>
      </c>
      <c r="M212" s="104">
        <v>0</v>
      </c>
      <c r="N212" s="104">
        <v>0</v>
      </c>
      <c r="O212" s="104">
        <v>0</v>
      </c>
      <c r="P212" s="104">
        <v>0</v>
      </c>
      <c r="Q212" s="104">
        <v>0</v>
      </c>
      <c r="R212" s="104">
        <v>0</v>
      </c>
      <c r="S212" s="104">
        <v>0</v>
      </c>
      <c r="T212" s="104">
        <v>0</v>
      </c>
      <c r="U212" s="104">
        <v>0</v>
      </c>
      <c r="V212" s="104">
        <v>0</v>
      </c>
      <c r="W212" s="104">
        <v>0</v>
      </c>
      <c r="X212" s="104">
        <v>0</v>
      </c>
      <c r="Y212" s="104">
        <v>0</v>
      </c>
      <c r="Z212" s="104">
        <v>0</v>
      </c>
      <c r="AA212" s="104">
        <v>0</v>
      </c>
      <c r="AB212" s="104">
        <v>0</v>
      </c>
      <c r="AC212" s="104">
        <v>0</v>
      </c>
      <c r="AD212" s="104">
        <v>0</v>
      </c>
      <c r="AE212" s="104">
        <v>0</v>
      </c>
      <c r="AF212" s="104">
        <v>0</v>
      </c>
      <c r="AG212" s="104">
        <v>0</v>
      </c>
      <c r="AH212" s="104">
        <v>0</v>
      </c>
      <c r="AI212" s="104">
        <v>0</v>
      </c>
      <c r="AJ212" s="104">
        <v>0</v>
      </c>
      <c r="AK212" s="104">
        <v>0</v>
      </c>
      <c r="AL212" s="104">
        <v>0</v>
      </c>
      <c r="AM212" s="104">
        <v>0</v>
      </c>
      <c r="AN212" s="104">
        <v>0</v>
      </c>
      <c r="AO212" s="104">
        <v>0</v>
      </c>
      <c r="AP212" s="104">
        <v>0</v>
      </c>
      <c r="AQ212" s="104">
        <v>0</v>
      </c>
      <c r="AR212" s="104">
        <v>0</v>
      </c>
      <c r="AS212" s="104">
        <v>6843</v>
      </c>
      <c r="AT212" s="104">
        <v>78</v>
      </c>
      <c r="AU212" s="104">
        <v>0</v>
      </c>
      <c r="AV212" s="104">
        <v>0</v>
      </c>
      <c r="AW212" s="104">
        <v>0</v>
      </c>
      <c r="AX212" s="104">
        <v>0</v>
      </c>
      <c r="AZ212" s="104">
        <f t="shared" si="12"/>
        <v>19991</v>
      </c>
      <c r="BA212" s="104">
        <f t="shared" si="13"/>
        <v>245</v>
      </c>
      <c r="BB212" s="96">
        <f t="shared" si="14"/>
        <v>0</v>
      </c>
      <c r="BC212" s="104">
        <f t="shared" si="15"/>
        <v>0</v>
      </c>
    </row>
    <row r="213" spans="1:55">
      <c r="A213" s="102" t="s">
        <v>309</v>
      </c>
      <c r="B213" s="24" t="s">
        <v>619</v>
      </c>
      <c r="C213" s="103" t="s">
        <v>299</v>
      </c>
      <c r="D213" s="104">
        <v>0</v>
      </c>
      <c r="E213" s="104">
        <v>77325</v>
      </c>
      <c r="F213" s="104">
        <v>1047</v>
      </c>
      <c r="G213" s="104">
        <v>0</v>
      </c>
      <c r="H213" s="104">
        <v>0</v>
      </c>
      <c r="I213" s="104">
        <v>0</v>
      </c>
      <c r="J213" s="104">
        <v>0</v>
      </c>
      <c r="K213" s="104">
        <v>30918</v>
      </c>
      <c r="L213" s="104">
        <v>417</v>
      </c>
      <c r="M213" s="104">
        <v>1364</v>
      </c>
      <c r="N213" s="104">
        <v>0</v>
      </c>
      <c r="O213" s="104">
        <v>0</v>
      </c>
      <c r="P213" s="104">
        <v>0</v>
      </c>
      <c r="Q213" s="104">
        <v>0</v>
      </c>
      <c r="R213" s="104">
        <v>0</v>
      </c>
      <c r="S213" s="104">
        <v>0</v>
      </c>
      <c r="T213" s="104">
        <v>0</v>
      </c>
      <c r="U213" s="104">
        <v>0</v>
      </c>
      <c r="V213" s="104">
        <v>0</v>
      </c>
      <c r="W213" s="104">
        <v>0</v>
      </c>
      <c r="X213" s="104">
        <v>0</v>
      </c>
      <c r="Y213" s="104">
        <v>0</v>
      </c>
      <c r="Z213" s="104">
        <v>0</v>
      </c>
      <c r="AA213" s="104">
        <v>0</v>
      </c>
      <c r="AB213" s="104">
        <v>0</v>
      </c>
      <c r="AC213" s="104">
        <v>0</v>
      </c>
      <c r="AD213" s="104">
        <v>0</v>
      </c>
      <c r="AE213" s="104">
        <v>0</v>
      </c>
      <c r="AF213" s="104">
        <v>0</v>
      </c>
      <c r="AG213" s="104">
        <v>0</v>
      </c>
      <c r="AH213" s="104">
        <v>0</v>
      </c>
      <c r="AI213" s="104">
        <v>0</v>
      </c>
      <c r="AJ213" s="104">
        <v>0</v>
      </c>
      <c r="AK213" s="104">
        <v>0</v>
      </c>
      <c r="AL213" s="104">
        <v>0</v>
      </c>
      <c r="AM213" s="104">
        <v>0</v>
      </c>
      <c r="AN213" s="104">
        <v>0</v>
      </c>
      <c r="AO213" s="104">
        <v>0</v>
      </c>
      <c r="AP213" s="104">
        <v>0</v>
      </c>
      <c r="AQ213" s="104">
        <v>0</v>
      </c>
      <c r="AR213" s="104">
        <v>0</v>
      </c>
      <c r="AS213" s="104">
        <v>0</v>
      </c>
      <c r="AT213" s="104">
        <v>0</v>
      </c>
      <c r="AU213" s="104">
        <v>0</v>
      </c>
      <c r="AV213" s="104">
        <v>0</v>
      </c>
      <c r="AW213" s="104">
        <v>0</v>
      </c>
      <c r="AX213" s="104">
        <v>0</v>
      </c>
      <c r="AZ213" s="104">
        <f t="shared" si="12"/>
        <v>108243</v>
      </c>
      <c r="BA213" s="104">
        <f t="shared" si="13"/>
        <v>1464</v>
      </c>
      <c r="BB213" s="96">
        <f t="shared" si="14"/>
        <v>1364</v>
      </c>
      <c r="BC213" s="104">
        <f t="shared" si="15"/>
        <v>0</v>
      </c>
    </row>
    <row r="214" spans="1:55">
      <c r="A214" s="102" t="s">
        <v>310</v>
      </c>
      <c r="B214" s="24" t="s">
        <v>296</v>
      </c>
      <c r="C214" s="103" t="s">
        <v>296</v>
      </c>
      <c r="D214" s="104">
        <v>302</v>
      </c>
      <c r="E214" s="104">
        <v>49097</v>
      </c>
      <c r="F214" s="104">
        <v>946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46012</v>
      </c>
      <c r="Y214" s="104">
        <v>859</v>
      </c>
      <c r="Z214" s="104">
        <v>0</v>
      </c>
      <c r="AA214" s="104">
        <v>0</v>
      </c>
      <c r="AB214" s="104">
        <v>0</v>
      </c>
      <c r="AC214" s="104">
        <v>0</v>
      </c>
      <c r="AD214" s="104">
        <v>0</v>
      </c>
      <c r="AE214" s="104">
        <v>0</v>
      </c>
      <c r="AF214" s="104">
        <v>0</v>
      </c>
      <c r="AG214" s="104">
        <v>0</v>
      </c>
      <c r="AH214" s="104">
        <v>0</v>
      </c>
      <c r="AI214" s="104">
        <v>0</v>
      </c>
      <c r="AJ214" s="104">
        <v>0</v>
      </c>
      <c r="AK214" s="104">
        <v>0</v>
      </c>
      <c r="AL214" s="104">
        <v>0</v>
      </c>
      <c r="AM214" s="104">
        <v>0</v>
      </c>
      <c r="AN214" s="104">
        <v>0</v>
      </c>
      <c r="AO214" s="104">
        <v>0</v>
      </c>
      <c r="AP214" s="104">
        <v>0</v>
      </c>
      <c r="AQ214" s="104">
        <v>0</v>
      </c>
      <c r="AR214" s="104">
        <v>0</v>
      </c>
      <c r="AS214" s="104">
        <v>0</v>
      </c>
      <c r="AT214" s="104">
        <v>0</v>
      </c>
      <c r="AU214" s="104">
        <v>0</v>
      </c>
      <c r="AV214" s="104">
        <v>0</v>
      </c>
      <c r="AW214" s="104">
        <v>0</v>
      </c>
      <c r="AX214" s="104">
        <v>112</v>
      </c>
      <c r="AZ214" s="104">
        <f t="shared" si="12"/>
        <v>95109</v>
      </c>
      <c r="BA214" s="104">
        <f t="shared" si="13"/>
        <v>1805</v>
      </c>
      <c r="BB214" s="96">
        <f t="shared" si="14"/>
        <v>0</v>
      </c>
      <c r="BC214" s="104">
        <f t="shared" si="15"/>
        <v>302</v>
      </c>
    </row>
    <row r="215" spans="1:55">
      <c r="A215" s="102" t="s">
        <v>311</v>
      </c>
      <c r="B215" s="24" t="s">
        <v>266</v>
      </c>
      <c r="C215" s="103" t="s">
        <v>266</v>
      </c>
      <c r="D215" s="104">
        <v>3186</v>
      </c>
      <c r="E215" s="104">
        <v>138890</v>
      </c>
      <c r="F215" s="104">
        <v>1410</v>
      </c>
      <c r="G215" s="104">
        <v>2383</v>
      </c>
      <c r="H215" s="104">
        <v>0</v>
      </c>
      <c r="I215" s="104">
        <v>0</v>
      </c>
      <c r="J215" s="104">
        <v>0</v>
      </c>
      <c r="K215" s="104">
        <v>37429</v>
      </c>
      <c r="L215" s="104">
        <v>380</v>
      </c>
      <c r="M215" s="104">
        <v>0</v>
      </c>
      <c r="N215" s="104">
        <v>637</v>
      </c>
      <c r="O215" s="104">
        <v>0</v>
      </c>
      <c r="P215" s="104">
        <v>0</v>
      </c>
      <c r="Q215" s="104">
        <v>0</v>
      </c>
      <c r="R215" s="104">
        <v>0</v>
      </c>
      <c r="S215" s="104">
        <v>0</v>
      </c>
      <c r="T215" s="104">
        <v>0</v>
      </c>
      <c r="U215" s="104">
        <v>0</v>
      </c>
      <c r="V215" s="104">
        <v>0</v>
      </c>
      <c r="W215" s="104">
        <v>0</v>
      </c>
      <c r="X215" s="104">
        <v>90623</v>
      </c>
      <c r="Y215" s="104">
        <v>920</v>
      </c>
      <c r="Z215" s="104">
        <v>2286</v>
      </c>
      <c r="AA215" s="104">
        <v>0</v>
      </c>
      <c r="AB215" s="104">
        <v>0</v>
      </c>
      <c r="AC215" s="104">
        <v>0</v>
      </c>
      <c r="AD215" s="104">
        <v>0</v>
      </c>
      <c r="AE215" s="104">
        <v>0</v>
      </c>
      <c r="AF215" s="104">
        <v>0</v>
      </c>
      <c r="AG215" s="104">
        <v>0</v>
      </c>
      <c r="AH215" s="104">
        <v>0</v>
      </c>
      <c r="AI215" s="104">
        <v>0</v>
      </c>
      <c r="AJ215" s="104">
        <v>0</v>
      </c>
      <c r="AK215" s="104">
        <v>0</v>
      </c>
      <c r="AL215" s="104">
        <v>0</v>
      </c>
      <c r="AM215" s="104">
        <v>0</v>
      </c>
      <c r="AN215" s="104">
        <v>0</v>
      </c>
      <c r="AO215" s="104">
        <v>0</v>
      </c>
      <c r="AP215" s="104">
        <v>0</v>
      </c>
      <c r="AQ215" s="104">
        <v>0</v>
      </c>
      <c r="AR215" s="104">
        <v>0</v>
      </c>
      <c r="AS215" s="104">
        <v>25681</v>
      </c>
      <c r="AT215" s="104">
        <v>261</v>
      </c>
      <c r="AU215" s="104">
        <v>429</v>
      </c>
      <c r="AV215" s="104">
        <v>6925</v>
      </c>
      <c r="AW215" s="104">
        <v>71</v>
      </c>
      <c r="AX215" s="104">
        <v>0</v>
      </c>
      <c r="AZ215" s="104">
        <f t="shared" si="12"/>
        <v>266942</v>
      </c>
      <c r="BA215" s="104">
        <f t="shared" si="13"/>
        <v>2710</v>
      </c>
      <c r="BB215" s="96">
        <f t="shared" si="14"/>
        <v>0</v>
      </c>
      <c r="BC215" s="104">
        <f t="shared" si="15"/>
        <v>8492</v>
      </c>
    </row>
    <row r="216" spans="1:55">
      <c r="A216" s="102" t="s">
        <v>312</v>
      </c>
      <c r="B216" s="24" t="s">
        <v>620</v>
      </c>
      <c r="C216" s="103" t="s">
        <v>296</v>
      </c>
      <c r="D216" s="104">
        <v>0</v>
      </c>
      <c r="E216" s="104">
        <v>87885</v>
      </c>
      <c r="F216" s="104">
        <v>1398</v>
      </c>
      <c r="G216" s="104">
        <v>0</v>
      </c>
      <c r="H216" s="104">
        <v>0</v>
      </c>
      <c r="I216" s="104">
        <v>0</v>
      </c>
      <c r="J216" s="104">
        <v>0</v>
      </c>
      <c r="K216" s="104">
        <v>4243</v>
      </c>
      <c r="L216" s="104">
        <v>69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21591</v>
      </c>
      <c r="Y216" s="104">
        <v>343</v>
      </c>
      <c r="Z216" s="104">
        <v>0</v>
      </c>
      <c r="AA216" s="104">
        <v>0</v>
      </c>
      <c r="AB216" s="104">
        <v>0</v>
      </c>
      <c r="AC216" s="104">
        <v>0</v>
      </c>
      <c r="AD216" s="104">
        <v>0</v>
      </c>
      <c r="AE216" s="104">
        <v>0</v>
      </c>
      <c r="AF216" s="104">
        <v>0</v>
      </c>
      <c r="AG216" s="104">
        <v>0</v>
      </c>
      <c r="AH216" s="104">
        <v>0</v>
      </c>
      <c r="AI216" s="104">
        <v>0</v>
      </c>
      <c r="AJ216" s="104">
        <v>0</v>
      </c>
      <c r="AK216" s="104">
        <v>0</v>
      </c>
      <c r="AL216" s="104">
        <v>0</v>
      </c>
      <c r="AM216" s="104">
        <v>0</v>
      </c>
      <c r="AN216" s="104">
        <v>0</v>
      </c>
      <c r="AO216" s="104">
        <v>0</v>
      </c>
      <c r="AP216" s="104">
        <v>0</v>
      </c>
      <c r="AQ216" s="104">
        <v>0</v>
      </c>
      <c r="AR216" s="104">
        <v>0</v>
      </c>
      <c r="AS216" s="104">
        <v>0</v>
      </c>
      <c r="AT216" s="104">
        <v>0</v>
      </c>
      <c r="AU216" s="104">
        <v>0</v>
      </c>
      <c r="AV216" s="104">
        <v>0</v>
      </c>
      <c r="AW216" s="104">
        <v>0</v>
      </c>
      <c r="AX216" s="104">
        <v>0</v>
      </c>
      <c r="AZ216" s="104">
        <f t="shared" si="12"/>
        <v>113719</v>
      </c>
      <c r="BA216" s="104">
        <f t="shared" si="13"/>
        <v>1810</v>
      </c>
      <c r="BB216" s="96">
        <f t="shared" si="14"/>
        <v>0</v>
      </c>
      <c r="BC216" s="104">
        <f t="shared" si="15"/>
        <v>0</v>
      </c>
    </row>
    <row r="217" spans="1:55">
      <c r="A217" s="102" t="s">
        <v>313</v>
      </c>
      <c r="B217" s="24" t="s">
        <v>621</v>
      </c>
      <c r="C217" s="103" t="s">
        <v>296</v>
      </c>
      <c r="D217" s="104">
        <v>0</v>
      </c>
      <c r="E217" s="104">
        <v>27317</v>
      </c>
      <c r="F217" s="104">
        <v>483</v>
      </c>
      <c r="G217" s="104">
        <v>0</v>
      </c>
      <c r="H217" s="104">
        <v>0</v>
      </c>
      <c r="I217" s="104">
        <v>0</v>
      </c>
      <c r="J217" s="104">
        <v>0</v>
      </c>
      <c r="K217" s="104">
        <v>5760</v>
      </c>
      <c r="L217" s="104">
        <v>102</v>
      </c>
      <c r="M217" s="104">
        <v>0</v>
      </c>
      <c r="N217" s="104">
        <v>0</v>
      </c>
      <c r="O217" s="104">
        <v>0</v>
      </c>
      <c r="P217" s="104">
        <v>0</v>
      </c>
      <c r="Q217" s="104">
        <v>0</v>
      </c>
      <c r="R217" s="104">
        <v>0</v>
      </c>
      <c r="S217" s="104">
        <v>0</v>
      </c>
      <c r="T217" s="104">
        <v>0</v>
      </c>
      <c r="U217" s="104">
        <v>0</v>
      </c>
      <c r="V217" s="104">
        <v>0</v>
      </c>
      <c r="W217" s="104">
        <v>0</v>
      </c>
      <c r="X217" s="104">
        <v>21390</v>
      </c>
      <c r="Y217" s="104">
        <v>377</v>
      </c>
      <c r="Z217" s="104">
        <v>0</v>
      </c>
      <c r="AA217" s="104">
        <v>0</v>
      </c>
      <c r="AB217" s="104">
        <v>0</v>
      </c>
      <c r="AC217" s="104">
        <v>0</v>
      </c>
      <c r="AD217" s="104">
        <v>0</v>
      </c>
      <c r="AE217" s="104">
        <v>0</v>
      </c>
      <c r="AF217" s="104">
        <v>0</v>
      </c>
      <c r="AG217" s="104">
        <v>0</v>
      </c>
      <c r="AH217" s="104">
        <v>0</v>
      </c>
      <c r="AI217" s="104">
        <v>0</v>
      </c>
      <c r="AJ217" s="104">
        <v>0</v>
      </c>
      <c r="AK217" s="104">
        <v>0</v>
      </c>
      <c r="AL217" s="104">
        <v>0</v>
      </c>
      <c r="AM217" s="104">
        <v>0</v>
      </c>
      <c r="AN217" s="104">
        <v>0</v>
      </c>
      <c r="AO217" s="104">
        <v>0</v>
      </c>
      <c r="AP217" s="104">
        <v>0</v>
      </c>
      <c r="AQ217" s="104">
        <v>0</v>
      </c>
      <c r="AR217" s="104">
        <v>0</v>
      </c>
      <c r="AS217" s="104">
        <v>2880</v>
      </c>
      <c r="AT217" s="104">
        <v>51</v>
      </c>
      <c r="AU217" s="104">
        <v>0</v>
      </c>
      <c r="AV217" s="104">
        <v>0</v>
      </c>
      <c r="AW217" s="104">
        <v>0</v>
      </c>
      <c r="AX217" s="104">
        <v>0</v>
      </c>
      <c r="AZ217" s="104">
        <f t="shared" si="12"/>
        <v>54467</v>
      </c>
      <c r="BA217" s="104">
        <f t="shared" si="13"/>
        <v>962</v>
      </c>
      <c r="BB217" s="96">
        <f t="shared" si="14"/>
        <v>0</v>
      </c>
      <c r="BC217" s="104">
        <f t="shared" si="15"/>
        <v>0</v>
      </c>
    </row>
    <row r="218" spans="1:55">
      <c r="A218" s="102" t="s">
        <v>314</v>
      </c>
      <c r="B218" s="24" t="s">
        <v>622</v>
      </c>
      <c r="C218" s="103" t="s">
        <v>315</v>
      </c>
      <c r="D218" s="104">
        <v>0</v>
      </c>
      <c r="E218" s="104">
        <v>22659</v>
      </c>
      <c r="F218" s="104">
        <v>393</v>
      </c>
      <c r="G218" s="104">
        <v>0</v>
      </c>
      <c r="H218" s="104">
        <v>0</v>
      </c>
      <c r="I218" s="104">
        <v>0</v>
      </c>
      <c r="J218" s="104">
        <v>0</v>
      </c>
      <c r="K218" s="104">
        <v>14144</v>
      </c>
      <c r="L218" s="104">
        <v>232</v>
      </c>
      <c r="M218" s="104">
        <v>0</v>
      </c>
      <c r="N218" s="104">
        <v>0</v>
      </c>
      <c r="O218" s="104">
        <v>0</v>
      </c>
      <c r="P218" s="104">
        <v>0</v>
      </c>
      <c r="Q218" s="104">
        <v>0</v>
      </c>
      <c r="R218" s="104">
        <v>0</v>
      </c>
      <c r="S218" s="104">
        <v>0</v>
      </c>
      <c r="T218" s="104">
        <v>0</v>
      </c>
      <c r="U218" s="104">
        <v>0</v>
      </c>
      <c r="V218" s="104">
        <v>0</v>
      </c>
      <c r="W218" s="104">
        <v>0</v>
      </c>
      <c r="X218" s="104">
        <v>0</v>
      </c>
      <c r="Y218" s="104">
        <v>0</v>
      </c>
      <c r="Z218" s="104">
        <v>0</v>
      </c>
      <c r="AA218" s="104">
        <v>0</v>
      </c>
      <c r="AB218" s="104">
        <v>0</v>
      </c>
      <c r="AC218" s="104">
        <v>0</v>
      </c>
      <c r="AD218" s="104">
        <v>0</v>
      </c>
      <c r="AE218" s="104">
        <v>0</v>
      </c>
      <c r="AF218" s="104">
        <v>0</v>
      </c>
      <c r="AG218" s="104">
        <v>0</v>
      </c>
      <c r="AH218" s="104">
        <v>0</v>
      </c>
      <c r="AI218" s="104">
        <v>0</v>
      </c>
      <c r="AJ218" s="104">
        <v>0</v>
      </c>
      <c r="AK218" s="104">
        <v>0</v>
      </c>
      <c r="AL218" s="104">
        <v>0</v>
      </c>
      <c r="AM218" s="104">
        <v>0</v>
      </c>
      <c r="AN218" s="104">
        <v>0</v>
      </c>
      <c r="AO218" s="104">
        <v>0</v>
      </c>
      <c r="AP218" s="104">
        <v>0</v>
      </c>
      <c r="AQ218" s="104">
        <v>0</v>
      </c>
      <c r="AR218" s="104">
        <v>0</v>
      </c>
      <c r="AS218" s="104">
        <v>0</v>
      </c>
      <c r="AT218" s="104">
        <v>0</v>
      </c>
      <c r="AU218" s="104">
        <v>0</v>
      </c>
      <c r="AV218" s="104">
        <v>0</v>
      </c>
      <c r="AW218" s="104">
        <v>0</v>
      </c>
      <c r="AX218" s="104">
        <v>296</v>
      </c>
      <c r="AZ218" s="104">
        <f t="shared" si="12"/>
        <v>36803</v>
      </c>
      <c r="BA218" s="104">
        <f t="shared" si="13"/>
        <v>625</v>
      </c>
      <c r="BB218" s="96">
        <f t="shared" si="14"/>
        <v>0</v>
      </c>
      <c r="BC218" s="104">
        <f t="shared" si="15"/>
        <v>0</v>
      </c>
    </row>
    <row r="219" spans="1:55">
      <c r="A219" s="102" t="s">
        <v>316</v>
      </c>
      <c r="B219" s="24" t="s">
        <v>623</v>
      </c>
      <c r="C219" s="103" t="s">
        <v>14</v>
      </c>
      <c r="D219" s="104">
        <v>12202</v>
      </c>
      <c r="E219" s="104">
        <v>186381</v>
      </c>
      <c r="F219" s="104">
        <v>2508</v>
      </c>
      <c r="G219" s="104">
        <v>9102</v>
      </c>
      <c r="H219" s="104">
        <v>0</v>
      </c>
      <c r="I219" s="104">
        <v>0</v>
      </c>
      <c r="J219" s="104">
        <v>0</v>
      </c>
      <c r="K219" s="104">
        <v>28074</v>
      </c>
      <c r="L219" s="104">
        <v>391</v>
      </c>
      <c r="M219" s="104">
        <v>0</v>
      </c>
      <c r="N219" s="104">
        <v>2433</v>
      </c>
      <c r="O219" s="104">
        <v>0</v>
      </c>
      <c r="P219" s="104">
        <v>0</v>
      </c>
      <c r="Q219" s="104">
        <v>0</v>
      </c>
      <c r="R219" s="104">
        <v>0</v>
      </c>
      <c r="S219" s="104">
        <v>0</v>
      </c>
      <c r="T219" s="104">
        <v>0</v>
      </c>
      <c r="U219" s="104">
        <v>0</v>
      </c>
      <c r="V219" s="104">
        <v>0</v>
      </c>
      <c r="W219" s="104">
        <v>0</v>
      </c>
      <c r="X219" s="104">
        <v>106142</v>
      </c>
      <c r="Y219" s="104">
        <v>1449</v>
      </c>
      <c r="Z219" s="104">
        <v>6807</v>
      </c>
      <c r="AA219" s="104">
        <v>0</v>
      </c>
      <c r="AB219" s="104">
        <v>0</v>
      </c>
      <c r="AC219" s="104">
        <v>0</v>
      </c>
      <c r="AD219" s="104">
        <v>0</v>
      </c>
      <c r="AE219" s="104">
        <v>0</v>
      </c>
      <c r="AF219" s="104">
        <v>0</v>
      </c>
      <c r="AG219" s="104">
        <v>0</v>
      </c>
      <c r="AH219" s="104">
        <v>0</v>
      </c>
      <c r="AI219" s="104">
        <v>0</v>
      </c>
      <c r="AJ219" s="104">
        <v>0</v>
      </c>
      <c r="AK219" s="104">
        <v>0</v>
      </c>
      <c r="AL219" s="104">
        <v>0</v>
      </c>
      <c r="AM219" s="104">
        <v>0</v>
      </c>
      <c r="AN219" s="104">
        <v>0</v>
      </c>
      <c r="AO219" s="104">
        <v>0</v>
      </c>
      <c r="AP219" s="104">
        <v>0</v>
      </c>
      <c r="AQ219" s="104">
        <v>0</v>
      </c>
      <c r="AR219" s="104">
        <v>0</v>
      </c>
      <c r="AS219" s="104">
        <v>30522</v>
      </c>
      <c r="AT219" s="104">
        <v>415</v>
      </c>
      <c r="AU219" s="104">
        <v>1824</v>
      </c>
      <c r="AV219" s="104">
        <v>3839</v>
      </c>
      <c r="AW219" s="104">
        <v>53</v>
      </c>
      <c r="AX219" s="104">
        <v>0</v>
      </c>
      <c r="AZ219" s="104">
        <f t="shared" si="12"/>
        <v>320597</v>
      </c>
      <c r="BA219" s="104">
        <f t="shared" si="13"/>
        <v>4348</v>
      </c>
      <c r="BB219" s="96">
        <f t="shared" si="14"/>
        <v>0</v>
      </c>
      <c r="BC219" s="104">
        <f t="shared" si="15"/>
        <v>30544</v>
      </c>
    </row>
    <row r="220" spans="1:55">
      <c r="A220" s="102" t="s">
        <v>317</v>
      </c>
      <c r="B220" s="24" t="s">
        <v>624</v>
      </c>
      <c r="C220" s="103" t="s">
        <v>318</v>
      </c>
      <c r="D220" s="104">
        <v>0</v>
      </c>
      <c r="E220" s="104">
        <v>68761</v>
      </c>
      <c r="F220" s="104">
        <v>1128</v>
      </c>
      <c r="G220" s="104">
        <v>0</v>
      </c>
      <c r="H220" s="104">
        <v>0</v>
      </c>
      <c r="I220" s="104">
        <v>0</v>
      </c>
      <c r="J220" s="104">
        <v>0</v>
      </c>
      <c r="K220" s="104">
        <v>24913</v>
      </c>
      <c r="L220" s="104">
        <v>473</v>
      </c>
      <c r="M220" s="104">
        <v>0</v>
      </c>
      <c r="N220" s="104">
        <v>0</v>
      </c>
      <c r="O220" s="104">
        <v>0</v>
      </c>
      <c r="P220" s="104">
        <v>0</v>
      </c>
      <c r="Q220" s="104">
        <v>0</v>
      </c>
      <c r="R220" s="104">
        <v>0</v>
      </c>
      <c r="S220" s="104">
        <v>0</v>
      </c>
      <c r="T220" s="104">
        <v>0</v>
      </c>
      <c r="U220" s="104">
        <v>0</v>
      </c>
      <c r="V220" s="104">
        <v>0</v>
      </c>
      <c r="W220" s="104">
        <v>0</v>
      </c>
      <c r="X220" s="104">
        <v>52318</v>
      </c>
      <c r="Y220" s="104">
        <v>994</v>
      </c>
      <c r="Z220" s="104">
        <v>0</v>
      </c>
      <c r="AA220" s="104">
        <v>0</v>
      </c>
      <c r="AB220" s="104">
        <v>0</v>
      </c>
      <c r="AC220" s="104">
        <v>0</v>
      </c>
      <c r="AD220" s="104">
        <v>0</v>
      </c>
      <c r="AE220" s="104">
        <v>0</v>
      </c>
      <c r="AF220" s="104">
        <v>0</v>
      </c>
      <c r="AG220" s="104">
        <v>0</v>
      </c>
      <c r="AH220" s="104">
        <v>0</v>
      </c>
      <c r="AI220" s="104">
        <v>0</v>
      </c>
      <c r="AJ220" s="104">
        <v>0</v>
      </c>
      <c r="AK220" s="104">
        <v>0</v>
      </c>
      <c r="AL220" s="104">
        <v>0</v>
      </c>
      <c r="AM220" s="104">
        <v>0</v>
      </c>
      <c r="AN220" s="104">
        <v>0</v>
      </c>
      <c r="AO220" s="104">
        <v>0</v>
      </c>
      <c r="AP220" s="104">
        <v>0</v>
      </c>
      <c r="AQ220" s="104">
        <v>0</v>
      </c>
      <c r="AR220" s="104">
        <v>0</v>
      </c>
      <c r="AS220" s="104">
        <v>0</v>
      </c>
      <c r="AT220" s="104">
        <v>0</v>
      </c>
      <c r="AU220" s="104">
        <v>0</v>
      </c>
      <c r="AV220" s="104">
        <v>0</v>
      </c>
      <c r="AW220" s="104">
        <v>0</v>
      </c>
      <c r="AX220" s="104">
        <v>0</v>
      </c>
      <c r="AZ220" s="104">
        <f t="shared" si="12"/>
        <v>145992</v>
      </c>
      <c r="BA220" s="104">
        <f t="shared" si="13"/>
        <v>2595</v>
      </c>
      <c r="BB220" s="96">
        <f t="shared" si="14"/>
        <v>0</v>
      </c>
      <c r="BC220" s="104">
        <f t="shared" si="15"/>
        <v>0</v>
      </c>
    </row>
    <row r="221" spans="1:55">
      <c r="A221" s="102" t="s">
        <v>319</v>
      </c>
      <c r="B221" s="24" t="s">
        <v>625</v>
      </c>
      <c r="C221" s="103" t="s">
        <v>253</v>
      </c>
      <c r="D221" s="104">
        <v>0</v>
      </c>
      <c r="E221" s="104">
        <v>229175</v>
      </c>
      <c r="F221" s="104">
        <v>4287</v>
      </c>
      <c r="G221" s="104">
        <v>0</v>
      </c>
      <c r="H221" s="104">
        <v>0</v>
      </c>
      <c r="I221" s="104">
        <v>0</v>
      </c>
      <c r="J221" s="104">
        <v>0</v>
      </c>
      <c r="K221" s="104">
        <v>31104</v>
      </c>
      <c r="L221" s="104">
        <v>548</v>
      </c>
      <c r="M221" s="104">
        <v>38</v>
      </c>
      <c r="N221" s="104">
        <v>0</v>
      </c>
      <c r="O221" s="104">
        <v>0</v>
      </c>
      <c r="P221" s="104">
        <v>0</v>
      </c>
      <c r="Q221" s="104">
        <v>0</v>
      </c>
      <c r="R221" s="104">
        <v>0</v>
      </c>
      <c r="S221" s="104">
        <v>0</v>
      </c>
      <c r="T221" s="104">
        <v>0</v>
      </c>
      <c r="U221" s="104">
        <v>0</v>
      </c>
      <c r="V221" s="104">
        <v>0</v>
      </c>
      <c r="W221" s="104">
        <v>0</v>
      </c>
      <c r="X221" s="104">
        <v>82534</v>
      </c>
      <c r="Y221" s="104">
        <v>1521</v>
      </c>
      <c r="Z221" s="104">
        <v>0</v>
      </c>
      <c r="AA221" s="104">
        <v>109095</v>
      </c>
      <c r="AB221" s="104">
        <v>2013</v>
      </c>
      <c r="AC221" s="104">
        <v>0</v>
      </c>
      <c r="AD221" s="104">
        <v>0</v>
      </c>
      <c r="AE221" s="104">
        <v>0</v>
      </c>
      <c r="AF221" s="104">
        <v>0</v>
      </c>
      <c r="AG221" s="104">
        <v>0</v>
      </c>
      <c r="AH221" s="104">
        <v>0</v>
      </c>
      <c r="AI221" s="104">
        <v>0</v>
      </c>
      <c r="AJ221" s="104">
        <v>0</v>
      </c>
      <c r="AK221" s="104">
        <v>0</v>
      </c>
      <c r="AL221" s="104">
        <v>0</v>
      </c>
      <c r="AM221" s="104">
        <v>0</v>
      </c>
      <c r="AN221" s="104">
        <v>0</v>
      </c>
      <c r="AO221" s="104">
        <v>0</v>
      </c>
      <c r="AP221" s="104">
        <v>0</v>
      </c>
      <c r="AQ221" s="104">
        <v>0</v>
      </c>
      <c r="AR221" s="104">
        <v>0</v>
      </c>
      <c r="AS221" s="104">
        <v>0</v>
      </c>
      <c r="AT221" s="104">
        <v>0</v>
      </c>
      <c r="AU221" s="104">
        <v>0</v>
      </c>
      <c r="AV221" s="104">
        <v>0</v>
      </c>
      <c r="AW221" s="104">
        <v>0</v>
      </c>
      <c r="AX221" s="104">
        <v>0</v>
      </c>
      <c r="AZ221" s="104">
        <f t="shared" si="12"/>
        <v>451908</v>
      </c>
      <c r="BA221" s="104">
        <f t="shared" si="13"/>
        <v>8369</v>
      </c>
      <c r="BB221" s="96">
        <f t="shared" si="14"/>
        <v>38</v>
      </c>
      <c r="BC221" s="104">
        <f t="shared" si="15"/>
        <v>0</v>
      </c>
    </row>
    <row r="222" spans="1:55">
      <c r="A222" s="102" t="s">
        <v>320</v>
      </c>
      <c r="B222" s="24" t="s">
        <v>626</v>
      </c>
      <c r="C222" s="103" t="s">
        <v>321</v>
      </c>
      <c r="D222" s="104">
        <v>0</v>
      </c>
      <c r="E222" s="104">
        <v>69923</v>
      </c>
      <c r="F222" s="104">
        <v>1620</v>
      </c>
      <c r="G222" s="104">
        <v>0</v>
      </c>
      <c r="H222" s="104">
        <v>0</v>
      </c>
      <c r="I222" s="104">
        <v>0</v>
      </c>
      <c r="J222" s="104">
        <v>0</v>
      </c>
      <c r="K222" s="104">
        <v>24984</v>
      </c>
      <c r="L222" s="104">
        <v>577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Z222" s="104">
        <v>0</v>
      </c>
      <c r="AA222" s="104">
        <v>0</v>
      </c>
      <c r="AB222" s="104">
        <v>0</v>
      </c>
      <c r="AC222" s="104">
        <v>0</v>
      </c>
      <c r="AD222" s="104">
        <v>0</v>
      </c>
      <c r="AE222" s="104">
        <v>0</v>
      </c>
      <c r="AF222" s="104">
        <v>0</v>
      </c>
      <c r="AG222" s="104">
        <v>0</v>
      </c>
      <c r="AH222" s="104">
        <v>0</v>
      </c>
      <c r="AI222" s="104">
        <v>0</v>
      </c>
      <c r="AJ222" s="104">
        <v>0</v>
      </c>
      <c r="AK222" s="104">
        <v>0</v>
      </c>
      <c r="AL222" s="104">
        <v>0</v>
      </c>
      <c r="AM222" s="104">
        <v>0</v>
      </c>
      <c r="AN222" s="104">
        <v>0</v>
      </c>
      <c r="AO222" s="104">
        <v>0</v>
      </c>
      <c r="AP222" s="104">
        <v>0</v>
      </c>
      <c r="AQ222" s="104">
        <v>0</v>
      </c>
      <c r="AR222" s="104">
        <v>0</v>
      </c>
      <c r="AS222" s="104">
        <v>0</v>
      </c>
      <c r="AT222" s="104">
        <v>0</v>
      </c>
      <c r="AU222" s="104">
        <v>0</v>
      </c>
      <c r="AV222" s="104">
        <v>0</v>
      </c>
      <c r="AW222" s="104">
        <v>0</v>
      </c>
      <c r="AX222" s="104">
        <v>0</v>
      </c>
      <c r="AZ222" s="104">
        <f t="shared" si="12"/>
        <v>94907</v>
      </c>
      <c r="BA222" s="104">
        <f t="shared" si="13"/>
        <v>2197</v>
      </c>
      <c r="BB222" s="96">
        <f t="shared" si="14"/>
        <v>0</v>
      </c>
      <c r="BC222" s="104">
        <f t="shared" si="15"/>
        <v>0</v>
      </c>
    </row>
    <row r="223" spans="1:55">
      <c r="A223" s="102" t="s">
        <v>322</v>
      </c>
      <c r="B223" s="24" t="s">
        <v>301</v>
      </c>
      <c r="C223" s="103" t="s">
        <v>301</v>
      </c>
      <c r="D223" s="104">
        <v>0</v>
      </c>
      <c r="E223" s="104">
        <v>308175</v>
      </c>
      <c r="F223" s="104">
        <v>5150</v>
      </c>
      <c r="G223" s="104">
        <v>0</v>
      </c>
      <c r="H223" s="104">
        <v>0</v>
      </c>
      <c r="I223" s="104">
        <v>0</v>
      </c>
      <c r="J223" s="104">
        <v>0</v>
      </c>
      <c r="K223" s="104">
        <v>54096</v>
      </c>
      <c r="L223" s="104">
        <v>903</v>
      </c>
      <c r="M223" s="104">
        <v>0</v>
      </c>
      <c r="N223" s="104">
        <v>0</v>
      </c>
      <c r="O223" s="104">
        <v>0</v>
      </c>
      <c r="P223" s="104">
        <v>0</v>
      </c>
      <c r="Q223" s="104">
        <v>0</v>
      </c>
      <c r="R223" s="104">
        <v>0</v>
      </c>
      <c r="S223" s="104">
        <v>0</v>
      </c>
      <c r="T223" s="104">
        <v>0</v>
      </c>
      <c r="U223" s="104">
        <v>0</v>
      </c>
      <c r="V223" s="104">
        <v>0</v>
      </c>
      <c r="W223" s="104">
        <v>0</v>
      </c>
      <c r="X223" s="104">
        <v>110200</v>
      </c>
      <c r="Y223" s="104">
        <v>1834</v>
      </c>
      <c r="Z223" s="104">
        <v>0</v>
      </c>
      <c r="AA223" s="104">
        <v>0</v>
      </c>
      <c r="AB223" s="104">
        <v>0</v>
      </c>
      <c r="AC223" s="104">
        <v>0</v>
      </c>
      <c r="AD223" s="104">
        <v>0</v>
      </c>
      <c r="AE223" s="104">
        <v>0</v>
      </c>
      <c r="AF223" s="104">
        <v>0</v>
      </c>
      <c r="AG223" s="104">
        <v>0</v>
      </c>
      <c r="AH223" s="104">
        <v>0</v>
      </c>
      <c r="AI223" s="104">
        <v>0</v>
      </c>
      <c r="AJ223" s="104">
        <v>0</v>
      </c>
      <c r="AK223" s="104">
        <v>0</v>
      </c>
      <c r="AL223" s="104">
        <v>0</v>
      </c>
      <c r="AM223" s="104">
        <v>0</v>
      </c>
      <c r="AN223" s="104">
        <v>0</v>
      </c>
      <c r="AO223" s="104">
        <v>0</v>
      </c>
      <c r="AP223" s="104">
        <v>0</v>
      </c>
      <c r="AQ223" s="104">
        <v>0</v>
      </c>
      <c r="AR223" s="104">
        <v>0</v>
      </c>
      <c r="AS223" s="104">
        <v>67070</v>
      </c>
      <c r="AT223" s="104">
        <v>1120</v>
      </c>
      <c r="AU223" s="104">
        <v>0</v>
      </c>
      <c r="AV223" s="104">
        <v>2952</v>
      </c>
      <c r="AW223" s="104">
        <v>49</v>
      </c>
      <c r="AX223" s="104">
        <v>0</v>
      </c>
      <c r="AZ223" s="104">
        <f t="shared" si="12"/>
        <v>472471</v>
      </c>
      <c r="BA223" s="104">
        <f t="shared" si="13"/>
        <v>7887</v>
      </c>
      <c r="BB223" s="96">
        <f t="shared" si="14"/>
        <v>0</v>
      </c>
      <c r="BC223" s="104">
        <f t="shared" si="15"/>
        <v>0</v>
      </c>
    </row>
    <row r="224" spans="1:55">
      <c r="A224" s="102" t="s">
        <v>323</v>
      </c>
      <c r="B224" s="24" t="s">
        <v>627</v>
      </c>
      <c r="C224" s="103" t="s">
        <v>301</v>
      </c>
      <c r="D224" s="104">
        <v>0</v>
      </c>
      <c r="E224" s="104">
        <v>41794</v>
      </c>
      <c r="F224" s="104">
        <v>1810</v>
      </c>
      <c r="G224" s="104">
        <v>0</v>
      </c>
      <c r="H224" s="104">
        <v>0</v>
      </c>
      <c r="I224" s="104">
        <v>0</v>
      </c>
      <c r="J224" s="104">
        <v>0</v>
      </c>
      <c r="K224" s="104">
        <v>2636</v>
      </c>
      <c r="L224" s="104">
        <v>62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37640</v>
      </c>
      <c r="Y224" s="104">
        <v>1685</v>
      </c>
      <c r="Z224" s="104">
        <v>0</v>
      </c>
      <c r="AA224" s="104">
        <v>0</v>
      </c>
      <c r="AB224" s="104">
        <v>0</v>
      </c>
      <c r="AC224" s="104">
        <v>0</v>
      </c>
      <c r="AD224" s="104">
        <v>0</v>
      </c>
      <c r="AE224" s="104">
        <v>0</v>
      </c>
      <c r="AF224" s="104">
        <v>0</v>
      </c>
      <c r="AG224" s="104">
        <v>0</v>
      </c>
      <c r="AH224" s="104">
        <v>0</v>
      </c>
      <c r="AI224" s="104">
        <v>0</v>
      </c>
      <c r="AJ224" s="104">
        <v>0</v>
      </c>
      <c r="AK224" s="104">
        <v>0</v>
      </c>
      <c r="AL224" s="104">
        <v>0</v>
      </c>
      <c r="AM224" s="104">
        <v>0</v>
      </c>
      <c r="AN224" s="104">
        <v>0</v>
      </c>
      <c r="AO224" s="104">
        <v>0</v>
      </c>
      <c r="AP224" s="104">
        <v>0</v>
      </c>
      <c r="AQ224" s="104">
        <v>0</v>
      </c>
      <c r="AR224" s="104">
        <v>0</v>
      </c>
      <c r="AS224" s="104">
        <v>0</v>
      </c>
      <c r="AT224" s="104">
        <v>0</v>
      </c>
      <c r="AU224" s="104">
        <v>0</v>
      </c>
      <c r="AV224" s="104">
        <v>0</v>
      </c>
      <c r="AW224" s="104">
        <v>0</v>
      </c>
      <c r="AX224" s="104">
        <v>0</v>
      </c>
      <c r="AZ224" s="104">
        <f t="shared" si="12"/>
        <v>82070</v>
      </c>
      <c r="BA224" s="104">
        <f t="shared" si="13"/>
        <v>3557</v>
      </c>
      <c r="BB224" s="96">
        <f t="shared" si="14"/>
        <v>0</v>
      </c>
      <c r="BC224" s="104">
        <f t="shared" si="15"/>
        <v>0</v>
      </c>
    </row>
    <row r="225" spans="1:55">
      <c r="A225" s="102" t="s">
        <v>324</v>
      </c>
      <c r="B225" s="24" t="s">
        <v>628</v>
      </c>
      <c r="C225" s="103" t="s">
        <v>325</v>
      </c>
      <c r="D225" s="104">
        <v>0</v>
      </c>
      <c r="E225" s="104">
        <v>0</v>
      </c>
      <c r="F225" s="104">
        <v>0</v>
      </c>
      <c r="G225" s="104">
        <v>0</v>
      </c>
      <c r="H225" s="104">
        <v>0</v>
      </c>
      <c r="I225" s="104">
        <v>0</v>
      </c>
      <c r="J225" s="104">
        <v>0</v>
      </c>
      <c r="K225" s="104">
        <v>14145</v>
      </c>
      <c r="L225" s="104">
        <v>0</v>
      </c>
      <c r="M225" s="104">
        <v>0</v>
      </c>
      <c r="N225" s="104">
        <v>0</v>
      </c>
      <c r="O225" s="104">
        <v>0</v>
      </c>
      <c r="P225" s="104">
        <v>0</v>
      </c>
      <c r="Q225" s="104">
        <v>0</v>
      </c>
      <c r="R225" s="104">
        <v>0</v>
      </c>
      <c r="S225" s="104">
        <v>0</v>
      </c>
      <c r="T225" s="104">
        <v>0</v>
      </c>
      <c r="U225" s="104">
        <v>0</v>
      </c>
      <c r="V225" s="104">
        <v>0</v>
      </c>
      <c r="W225" s="104">
        <v>0</v>
      </c>
      <c r="X225" s="104">
        <v>58529</v>
      </c>
      <c r="Y225" s="104">
        <v>1370</v>
      </c>
      <c r="Z225" s="104">
        <v>0</v>
      </c>
      <c r="AA225" s="104">
        <v>0</v>
      </c>
      <c r="AB225" s="104">
        <v>0</v>
      </c>
      <c r="AC225" s="104">
        <v>0</v>
      </c>
      <c r="AD225" s="104">
        <v>0</v>
      </c>
      <c r="AE225" s="104">
        <v>0</v>
      </c>
      <c r="AF225" s="104">
        <v>0</v>
      </c>
      <c r="AG225" s="104">
        <v>0</v>
      </c>
      <c r="AH225" s="104">
        <v>0</v>
      </c>
      <c r="AI225" s="104">
        <v>0</v>
      </c>
      <c r="AJ225" s="104">
        <v>0</v>
      </c>
      <c r="AK225" s="104">
        <v>0</v>
      </c>
      <c r="AL225" s="104">
        <v>0</v>
      </c>
      <c r="AM225" s="104">
        <v>0</v>
      </c>
      <c r="AN225" s="104">
        <v>0</v>
      </c>
      <c r="AO225" s="104">
        <v>0</v>
      </c>
      <c r="AP225" s="104">
        <v>0</v>
      </c>
      <c r="AQ225" s="104">
        <v>0</v>
      </c>
      <c r="AR225" s="104">
        <v>0</v>
      </c>
      <c r="AS225" s="104">
        <v>3443</v>
      </c>
      <c r="AT225" s="104">
        <v>81</v>
      </c>
      <c r="AU225" s="104">
        <v>0</v>
      </c>
      <c r="AV225" s="104">
        <v>0</v>
      </c>
      <c r="AW225" s="104">
        <v>0</v>
      </c>
      <c r="AX225" s="104">
        <v>0</v>
      </c>
      <c r="AZ225" s="104">
        <f t="shared" si="12"/>
        <v>72674</v>
      </c>
      <c r="BA225" s="104">
        <f t="shared" si="13"/>
        <v>1370</v>
      </c>
      <c r="BB225" s="96">
        <f t="shared" si="14"/>
        <v>0</v>
      </c>
      <c r="BC225" s="104">
        <f t="shared" si="15"/>
        <v>0</v>
      </c>
    </row>
    <row r="226" spans="1:55">
      <c r="A226" s="102" t="s">
        <v>326</v>
      </c>
      <c r="B226" s="24" t="s">
        <v>629</v>
      </c>
      <c r="C226" s="103" t="s">
        <v>325</v>
      </c>
      <c r="D226" s="104">
        <v>0</v>
      </c>
      <c r="E226" s="104">
        <v>9877</v>
      </c>
      <c r="F226" s="104">
        <v>373</v>
      </c>
      <c r="G226" s="104">
        <v>0</v>
      </c>
      <c r="H226" s="104">
        <v>0</v>
      </c>
      <c r="I226" s="104">
        <v>0</v>
      </c>
      <c r="J226" s="104">
        <v>0</v>
      </c>
      <c r="K226" s="104">
        <v>14610</v>
      </c>
      <c r="L226" s="104">
        <v>688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Z226" s="104">
        <v>0</v>
      </c>
      <c r="AA226" s="104">
        <v>0</v>
      </c>
      <c r="AB226" s="104">
        <v>0</v>
      </c>
      <c r="AC226" s="104">
        <v>0</v>
      </c>
      <c r="AD226" s="104">
        <v>0</v>
      </c>
      <c r="AE226" s="104">
        <v>0</v>
      </c>
      <c r="AF226" s="104">
        <v>0</v>
      </c>
      <c r="AG226" s="104">
        <v>0</v>
      </c>
      <c r="AH226" s="104">
        <v>0</v>
      </c>
      <c r="AI226" s="104">
        <v>0</v>
      </c>
      <c r="AJ226" s="104">
        <v>0</v>
      </c>
      <c r="AK226" s="104">
        <v>0</v>
      </c>
      <c r="AL226" s="104">
        <v>0</v>
      </c>
      <c r="AM226" s="104">
        <v>0</v>
      </c>
      <c r="AN226" s="104">
        <v>0</v>
      </c>
      <c r="AO226" s="104">
        <v>0</v>
      </c>
      <c r="AP226" s="104">
        <v>0</v>
      </c>
      <c r="AQ226" s="104">
        <v>0</v>
      </c>
      <c r="AR226" s="104">
        <v>0</v>
      </c>
      <c r="AS226" s="104">
        <v>3582</v>
      </c>
      <c r="AT226" s="104">
        <v>169</v>
      </c>
      <c r="AU226" s="104">
        <v>0</v>
      </c>
      <c r="AV226" s="104">
        <v>0</v>
      </c>
      <c r="AW226" s="104">
        <v>0</v>
      </c>
      <c r="AX226" s="104">
        <v>0</v>
      </c>
      <c r="AZ226" s="104">
        <f t="shared" si="12"/>
        <v>24487</v>
      </c>
      <c r="BA226" s="104">
        <f t="shared" si="13"/>
        <v>1061</v>
      </c>
      <c r="BB226" s="96">
        <f t="shared" si="14"/>
        <v>0</v>
      </c>
      <c r="BC226" s="104">
        <f t="shared" si="15"/>
        <v>0</v>
      </c>
    </row>
    <row r="227" spans="1:55">
      <c r="A227" s="102" t="s">
        <v>327</v>
      </c>
      <c r="B227" s="24" t="s">
        <v>630</v>
      </c>
      <c r="C227" s="103" t="s">
        <v>328</v>
      </c>
      <c r="D227" s="104">
        <v>0</v>
      </c>
      <c r="E227" s="104">
        <v>28318</v>
      </c>
      <c r="F227" s="104">
        <v>584</v>
      </c>
      <c r="G227" s="104">
        <v>0</v>
      </c>
      <c r="H227" s="104">
        <v>0</v>
      </c>
      <c r="I227" s="104">
        <v>0</v>
      </c>
      <c r="J227" s="104">
        <v>0</v>
      </c>
      <c r="K227" s="104">
        <v>9167</v>
      </c>
      <c r="L227" s="104">
        <v>188</v>
      </c>
      <c r="M227" s="104">
        <v>0</v>
      </c>
      <c r="N227" s="104">
        <v>0</v>
      </c>
      <c r="O227" s="104">
        <v>0</v>
      </c>
      <c r="P227" s="104">
        <v>0</v>
      </c>
      <c r="Q227" s="104">
        <v>0</v>
      </c>
      <c r="R227" s="104">
        <v>0</v>
      </c>
      <c r="S227" s="104">
        <v>0</v>
      </c>
      <c r="T227" s="104">
        <v>0</v>
      </c>
      <c r="U227" s="104">
        <v>0</v>
      </c>
      <c r="V227" s="104">
        <v>0</v>
      </c>
      <c r="W227" s="104">
        <v>0</v>
      </c>
      <c r="X227" s="104">
        <v>0</v>
      </c>
      <c r="Y227" s="104">
        <v>0</v>
      </c>
      <c r="Z227" s="104">
        <v>0</v>
      </c>
      <c r="AA227" s="104">
        <v>0</v>
      </c>
      <c r="AB227" s="104">
        <v>0</v>
      </c>
      <c r="AC227" s="104">
        <v>0</v>
      </c>
      <c r="AD227" s="104">
        <v>0</v>
      </c>
      <c r="AE227" s="104">
        <v>0</v>
      </c>
      <c r="AF227" s="104">
        <v>0</v>
      </c>
      <c r="AG227" s="104">
        <v>0</v>
      </c>
      <c r="AH227" s="104">
        <v>0</v>
      </c>
      <c r="AI227" s="104">
        <v>0</v>
      </c>
      <c r="AJ227" s="104">
        <v>0</v>
      </c>
      <c r="AK227" s="104">
        <v>0</v>
      </c>
      <c r="AL227" s="104">
        <v>0</v>
      </c>
      <c r="AM227" s="104">
        <v>0</v>
      </c>
      <c r="AN227" s="104">
        <v>0</v>
      </c>
      <c r="AO227" s="104">
        <v>0</v>
      </c>
      <c r="AP227" s="104">
        <v>0</v>
      </c>
      <c r="AQ227" s="104">
        <v>0</v>
      </c>
      <c r="AR227" s="104">
        <v>0</v>
      </c>
      <c r="AS227" s="104">
        <v>4564</v>
      </c>
      <c r="AT227" s="104">
        <v>94</v>
      </c>
      <c r="AU227" s="104">
        <v>0</v>
      </c>
      <c r="AV227" s="104">
        <v>0</v>
      </c>
      <c r="AW227" s="104">
        <v>0</v>
      </c>
      <c r="AX227" s="104">
        <v>0</v>
      </c>
      <c r="AZ227" s="104">
        <f t="shared" si="12"/>
        <v>37485</v>
      </c>
      <c r="BA227" s="104">
        <f t="shared" si="13"/>
        <v>772</v>
      </c>
      <c r="BB227" s="96">
        <f t="shared" si="14"/>
        <v>0</v>
      </c>
      <c r="BC227" s="104">
        <f t="shared" si="15"/>
        <v>0</v>
      </c>
    </row>
    <row r="228" spans="1:55">
      <c r="A228" s="102" t="s">
        <v>329</v>
      </c>
      <c r="B228" s="24" t="s">
        <v>631</v>
      </c>
      <c r="C228" s="103" t="s">
        <v>301</v>
      </c>
      <c r="D228" s="104">
        <v>0</v>
      </c>
      <c r="E228" s="104">
        <v>89703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18405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44619</v>
      </c>
      <c r="Y228" s="104">
        <v>0</v>
      </c>
      <c r="Z228" s="104">
        <v>0</v>
      </c>
      <c r="AA228" s="104">
        <v>0</v>
      </c>
      <c r="AB228" s="104">
        <v>0</v>
      </c>
      <c r="AC228" s="104">
        <v>0</v>
      </c>
      <c r="AD228" s="104">
        <v>0</v>
      </c>
      <c r="AE228" s="104">
        <v>0</v>
      </c>
      <c r="AF228" s="104">
        <v>0</v>
      </c>
      <c r="AG228" s="104">
        <v>0</v>
      </c>
      <c r="AH228" s="104">
        <v>0</v>
      </c>
      <c r="AI228" s="104">
        <v>0</v>
      </c>
      <c r="AJ228" s="104">
        <v>0</v>
      </c>
      <c r="AK228" s="104">
        <v>0</v>
      </c>
      <c r="AL228" s="104">
        <v>0</v>
      </c>
      <c r="AM228" s="104">
        <v>0</v>
      </c>
      <c r="AN228" s="104">
        <v>0</v>
      </c>
      <c r="AO228" s="104">
        <v>0</v>
      </c>
      <c r="AP228" s="104">
        <v>0</v>
      </c>
      <c r="AQ228" s="104">
        <v>0</v>
      </c>
      <c r="AR228" s="104">
        <v>0</v>
      </c>
      <c r="AS228" s="104">
        <v>9204</v>
      </c>
      <c r="AT228" s="104">
        <v>0</v>
      </c>
      <c r="AU228" s="104">
        <v>0</v>
      </c>
      <c r="AV228" s="104">
        <v>0</v>
      </c>
      <c r="AW228" s="104">
        <v>0</v>
      </c>
      <c r="AX228" s="104">
        <v>0</v>
      </c>
      <c r="AZ228" s="104">
        <f t="shared" si="12"/>
        <v>152727</v>
      </c>
      <c r="BA228" s="104">
        <f t="shared" si="13"/>
        <v>0</v>
      </c>
      <c r="BB228" s="96">
        <f t="shared" si="14"/>
        <v>0</v>
      </c>
      <c r="BC228" s="104">
        <f t="shared" si="15"/>
        <v>0</v>
      </c>
    </row>
    <row r="229" spans="1:55">
      <c r="A229" s="102" t="s">
        <v>330</v>
      </c>
      <c r="B229" s="24" t="s">
        <v>632</v>
      </c>
      <c r="C229" s="103" t="s">
        <v>328</v>
      </c>
      <c r="D229" s="104">
        <v>0</v>
      </c>
      <c r="E229" s="104">
        <v>7916</v>
      </c>
      <c r="F229" s="104">
        <v>132</v>
      </c>
      <c r="G229" s="104">
        <v>0</v>
      </c>
      <c r="H229" s="104">
        <v>0</v>
      </c>
      <c r="I229" s="104">
        <v>0</v>
      </c>
      <c r="J229" s="104">
        <v>0</v>
      </c>
      <c r="K229" s="104">
        <v>2416</v>
      </c>
      <c r="L229" s="104">
        <v>38</v>
      </c>
      <c r="M229" s="104">
        <v>0</v>
      </c>
      <c r="N229" s="104">
        <v>0</v>
      </c>
      <c r="O229" s="104">
        <v>0</v>
      </c>
      <c r="P229" s="104">
        <v>0</v>
      </c>
      <c r="Q229" s="104">
        <v>0</v>
      </c>
      <c r="R229" s="104">
        <v>0</v>
      </c>
      <c r="S229" s="104">
        <v>0</v>
      </c>
      <c r="T229" s="104">
        <v>0</v>
      </c>
      <c r="U229" s="104">
        <v>0</v>
      </c>
      <c r="V229" s="104">
        <v>0</v>
      </c>
      <c r="W229" s="104">
        <v>0</v>
      </c>
      <c r="X229" s="104">
        <v>0</v>
      </c>
      <c r="Y229" s="104">
        <v>0</v>
      </c>
      <c r="Z229" s="104">
        <v>0</v>
      </c>
      <c r="AA229" s="104">
        <v>0</v>
      </c>
      <c r="AB229" s="104">
        <v>0</v>
      </c>
      <c r="AC229" s="104">
        <v>0</v>
      </c>
      <c r="AD229" s="104">
        <v>0</v>
      </c>
      <c r="AE229" s="104">
        <v>0</v>
      </c>
      <c r="AF229" s="104">
        <v>0</v>
      </c>
      <c r="AG229" s="104">
        <v>0</v>
      </c>
      <c r="AH229" s="104">
        <v>0</v>
      </c>
      <c r="AI229" s="104">
        <v>0</v>
      </c>
      <c r="AJ229" s="104">
        <v>0</v>
      </c>
      <c r="AK229" s="104">
        <v>0</v>
      </c>
      <c r="AL229" s="104">
        <v>0</v>
      </c>
      <c r="AM229" s="104">
        <v>0</v>
      </c>
      <c r="AN229" s="104">
        <v>0</v>
      </c>
      <c r="AO229" s="104">
        <v>0</v>
      </c>
      <c r="AP229" s="104">
        <v>0</v>
      </c>
      <c r="AQ229" s="104">
        <v>0</v>
      </c>
      <c r="AR229" s="104">
        <v>0</v>
      </c>
      <c r="AS229" s="104">
        <v>1208</v>
      </c>
      <c r="AT229" s="104">
        <v>19</v>
      </c>
      <c r="AU229" s="104">
        <v>0</v>
      </c>
      <c r="AV229" s="104">
        <v>0</v>
      </c>
      <c r="AW229" s="104">
        <v>0</v>
      </c>
      <c r="AX229" s="104">
        <v>0</v>
      </c>
      <c r="AZ229" s="104">
        <f t="shared" si="12"/>
        <v>10332</v>
      </c>
      <c r="BA229" s="104">
        <f t="shared" si="13"/>
        <v>170</v>
      </c>
      <c r="BB229" s="96">
        <f t="shared" si="14"/>
        <v>0</v>
      </c>
      <c r="BC229" s="104">
        <f t="shared" si="15"/>
        <v>0</v>
      </c>
    </row>
    <row r="230" spans="1:55">
      <c r="A230" s="102" t="s">
        <v>331</v>
      </c>
      <c r="B230" s="25" t="s">
        <v>633</v>
      </c>
      <c r="C230" s="103" t="s">
        <v>34</v>
      </c>
      <c r="D230" s="104">
        <v>0</v>
      </c>
      <c r="E230" s="104">
        <v>16055</v>
      </c>
      <c r="F230" s="104">
        <v>508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X230" s="104">
        <v>0</v>
      </c>
      <c r="Y230" s="104">
        <v>0</v>
      </c>
      <c r="Z230" s="104">
        <v>0</v>
      </c>
      <c r="AA230" s="104">
        <v>0</v>
      </c>
      <c r="AB230" s="104">
        <v>0</v>
      </c>
      <c r="AC230" s="104">
        <v>0</v>
      </c>
      <c r="AD230" s="104">
        <v>0</v>
      </c>
      <c r="AE230" s="104">
        <v>0</v>
      </c>
      <c r="AF230" s="104">
        <v>0</v>
      </c>
      <c r="AG230" s="104">
        <v>0</v>
      </c>
      <c r="AH230" s="104">
        <v>0</v>
      </c>
      <c r="AI230" s="104">
        <v>0</v>
      </c>
      <c r="AJ230" s="104">
        <v>0</v>
      </c>
      <c r="AK230" s="104">
        <v>0</v>
      </c>
      <c r="AL230" s="104">
        <v>0</v>
      </c>
      <c r="AM230" s="104">
        <v>0</v>
      </c>
      <c r="AN230" s="104">
        <v>0</v>
      </c>
      <c r="AO230" s="104">
        <v>0</v>
      </c>
      <c r="AP230" s="104">
        <v>0</v>
      </c>
      <c r="AQ230" s="104">
        <v>0</v>
      </c>
      <c r="AR230" s="104">
        <v>0</v>
      </c>
      <c r="AS230" s="104">
        <v>0</v>
      </c>
      <c r="AT230" s="104">
        <v>0</v>
      </c>
      <c r="AU230" s="104">
        <v>0</v>
      </c>
      <c r="AV230" s="104">
        <v>0</v>
      </c>
      <c r="AW230" s="104">
        <v>0</v>
      </c>
      <c r="AX230" s="104">
        <v>0</v>
      </c>
      <c r="AZ230" s="104">
        <f t="shared" si="12"/>
        <v>16055</v>
      </c>
      <c r="BA230" s="104">
        <f t="shared" si="13"/>
        <v>508</v>
      </c>
      <c r="BB230" s="96">
        <f t="shared" si="14"/>
        <v>0</v>
      </c>
      <c r="BC230" s="104">
        <f t="shared" si="15"/>
        <v>0</v>
      </c>
    </row>
    <row r="231" spans="1:55">
      <c r="A231" s="102" t="s">
        <v>332</v>
      </c>
      <c r="B231" s="24" t="s">
        <v>634</v>
      </c>
      <c r="C231" s="103" t="s">
        <v>30</v>
      </c>
      <c r="D231" s="104">
        <v>0</v>
      </c>
      <c r="E231" s="104">
        <v>13484</v>
      </c>
      <c r="F231" s="104">
        <v>153</v>
      </c>
      <c r="G231" s="104">
        <v>0</v>
      </c>
      <c r="H231" s="104">
        <v>0</v>
      </c>
      <c r="I231" s="104">
        <v>0</v>
      </c>
      <c r="J231" s="104">
        <v>0</v>
      </c>
      <c r="K231" s="104">
        <v>3268</v>
      </c>
      <c r="L231" s="104">
        <v>0</v>
      </c>
      <c r="M231" s="104">
        <v>0</v>
      </c>
      <c r="N231" s="104">
        <v>0</v>
      </c>
      <c r="O231" s="104">
        <v>0</v>
      </c>
      <c r="P231" s="104">
        <v>0</v>
      </c>
      <c r="Q231" s="104">
        <v>0</v>
      </c>
      <c r="R231" s="104">
        <v>0</v>
      </c>
      <c r="S231" s="104">
        <v>0</v>
      </c>
      <c r="T231" s="104">
        <v>0</v>
      </c>
      <c r="U231" s="104">
        <v>0</v>
      </c>
      <c r="V231" s="104">
        <v>0</v>
      </c>
      <c r="W231" s="104">
        <v>0</v>
      </c>
      <c r="X231" s="104">
        <v>0</v>
      </c>
      <c r="Y231" s="104">
        <v>0</v>
      </c>
      <c r="Z231" s="104">
        <v>0</v>
      </c>
      <c r="AA231" s="104">
        <v>0</v>
      </c>
      <c r="AB231" s="104">
        <v>0</v>
      </c>
      <c r="AC231" s="104">
        <v>0</v>
      </c>
      <c r="AD231" s="104">
        <v>0</v>
      </c>
      <c r="AE231" s="104">
        <v>0</v>
      </c>
      <c r="AF231" s="104">
        <v>0</v>
      </c>
      <c r="AG231" s="104">
        <v>0</v>
      </c>
      <c r="AH231" s="104">
        <v>0</v>
      </c>
      <c r="AI231" s="104">
        <v>0</v>
      </c>
      <c r="AJ231" s="104">
        <v>0</v>
      </c>
      <c r="AK231" s="104">
        <v>0</v>
      </c>
      <c r="AL231" s="104">
        <v>0</v>
      </c>
      <c r="AM231" s="104">
        <v>0</v>
      </c>
      <c r="AN231" s="104">
        <v>0</v>
      </c>
      <c r="AO231" s="104">
        <v>0</v>
      </c>
      <c r="AP231" s="104">
        <v>0</v>
      </c>
      <c r="AQ231" s="104">
        <v>0</v>
      </c>
      <c r="AR231" s="104">
        <v>0</v>
      </c>
      <c r="AS231" s="104">
        <v>0</v>
      </c>
      <c r="AT231" s="104">
        <v>0</v>
      </c>
      <c r="AU231" s="104">
        <v>0</v>
      </c>
      <c r="AV231" s="104">
        <v>0</v>
      </c>
      <c r="AW231" s="104">
        <v>0</v>
      </c>
      <c r="AX231" s="104">
        <v>0</v>
      </c>
      <c r="AZ231" s="104">
        <f t="shared" si="12"/>
        <v>16752</v>
      </c>
      <c r="BA231" s="104">
        <f t="shared" si="13"/>
        <v>153</v>
      </c>
      <c r="BB231" s="96">
        <f t="shared" si="14"/>
        <v>0</v>
      </c>
      <c r="BC231" s="104">
        <f t="shared" si="15"/>
        <v>0</v>
      </c>
    </row>
    <row r="232" spans="1:55">
      <c r="A232" s="102" t="s">
        <v>333</v>
      </c>
      <c r="B232" s="25" t="s">
        <v>635</v>
      </c>
      <c r="C232" s="103" t="s">
        <v>30</v>
      </c>
      <c r="D232" s="104">
        <v>292</v>
      </c>
      <c r="E232" s="104">
        <v>43810</v>
      </c>
      <c r="F232" s="104">
        <v>576</v>
      </c>
      <c r="G232" s="104">
        <v>227</v>
      </c>
      <c r="H232" s="104">
        <v>0</v>
      </c>
      <c r="I232" s="104">
        <v>0</v>
      </c>
      <c r="J232" s="104">
        <v>0</v>
      </c>
      <c r="K232" s="104">
        <v>0</v>
      </c>
      <c r="L232" s="104">
        <v>0</v>
      </c>
      <c r="M232" s="104">
        <v>0</v>
      </c>
      <c r="N232" s="104">
        <v>0</v>
      </c>
      <c r="O232" s="104">
        <v>0</v>
      </c>
      <c r="P232" s="104">
        <v>0</v>
      </c>
      <c r="Q232" s="104">
        <v>0</v>
      </c>
      <c r="R232" s="104">
        <v>0</v>
      </c>
      <c r="S232" s="104">
        <v>0</v>
      </c>
      <c r="T232" s="104">
        <v>0</v>
      </c>
      <c r="U232" s="104">
        <v>0</v>
      </c>
      <c r="V232" s="104">
        <v>0</v>
      </c>
      <c r="W232" s="104">
        <v>0</v>
      </c>
      <c r="X232" s="104">
        <v>0</v>
      </c>
      <c r="Y232" s="104">
        <v>0</v>
      </c>
      <c r="Z232" s="104">
        <v>0</v>
      </c>
      <c r="AA232" s="104">
        <v>0</v>
      </c>
      <c r="AB232" s="104">
        <v>0</v>
      </c>
      <c r="AC232" s="104">
        <v>0</v>
      </c>
      <c r="AD232" s="104">
        <v>0</v>
      </c>
      <c r="AE232" s="104">
        <v>0</v>
      </c>
      <c r="AF232" s="104">
        <v>0</v>
      </c>
      <c r="AG232" s="104">
        <v>0</v>
      </c>
      <c r="AH232" s="104">
        <v>0</v>
      </c>
      <c r="AI232" s="104">
        <v>0</v>
      </c>
      <c r="AJ232" s="104">
        <v>0</v>
      </c>
      <c r="AK232" s="104">
        <v>0</v>
      </c>
      <c r="AL232" s="104">
        <v>0</v>
      </c>
      <c r="AM232" s="104">
        <v>0</v>
      </c>
      <c r="AN232" s="104">
        <v>0</v>
      </c>
      <c r="AO232" s="104">
        <v>0</v>
      </c>
      <c r="AP232" s="104">
        <v>0</v>
      </c>
      <c r="AQ232" s="104">
        <v>0</v>
      </c>
      <c r="AR232" s="104">
        <v>0</v>
      </c>
      <c r="AS232" s="104">
        <v>0</v>
      </c>
      <c r="AT232" s="104">
        <v>0</v>
      </c>
      <c r="AU232" s="104">
        <v>0</v>
      </c>
      <c r="AV232" s="104">
        <v>0</v>
      </c>
      <c r="AW232" s="104">
        <v>0</v>
      </c>
      <c r="AX232" s="104">
        <v>0</v>
      </c>
      <c r="AZ232" s="104">
        <f t="shared" si="12"/>
        <v>43810</v>
      </c>
      <c r="BA232" s="104">
        <f t="shared" si="13"/>
        <v>576</v>
      </c>
      <c r="BB232" s="96">
        <f t="shared" si="14"/>
        <v>0</v>
      </c>
      <c r="BC232" s="104">
        <f t="shared" si="15"/>
        <v>519</v>
      </c>
    </row>
    <row r="233" spans="1:55">
      <c r="A233" s="102" t="s">
        <v>334</v>
      </c>
      <c r="B233" s="24" t="s">
        <v>636</v>
      </c>
      <c r="C233" s="103" t="s">
        <v>234</v>
      </c>
      <c r="D233" s="104">
        <v>479</v>
      </c>
      <c r="E233" s="104">
        <v>245403</v>
      </c>
      <c r="F233" s="104">
        <v>4234</v>
      </c>
      <c r="G233" s="104">
        <v>375</v>
      </c>
      <c r="H233" s="104">
        <v>0</v>
      </c>
      <c r="I233" s="104">
        <v>0</v>
      </c>
      <c r="J233" s="104">
        <v>0</v>
      </c>
      <c r="K233" s="104">
        <v>65309</v>
      </c>
      <c r="L233" s="104">
        <v>1127</v>
      </c>
      <c r="M233" s="104">
        <v>0</v>
      </c>
      <c r="N233" s="104">
        <v>96</v>
      </c>
      <c r="O233" s="104">
        <v>0</v>
      </c>
      <c r="P233" s="104">
        <v>0</v>
      </c>
      <c r="Q233" s="104">
        <v>0</v>
      </c>
      <c r="R233" s="104">
        <v>0</v>
      </c>
      <c r="S233" s="104">
        <v>0</v>
      </c>
      <c r="T233" s="104">
        <v>0</v>
      </c>
      <c r="U233" s="104">
        <v>0</v>
      </c>
      <c r="V233" s="104">
        <v>0</v>
      </c>
      <c r="W233" s="104">
        <v>0</v>
      </c>
      <c r="X233" s="104">
        <v>154518</v>
      </c>
      <c r="Y233" s="104">
        <v>2667</v>
      </c>
      <c r="Z233" s="104">
        <v>219</v>
      </c>
      <c r="AA233" s="104">
        <v>0</v>
      </c>
      <c r="AB233" s="104">
        <v>0</v>
      </c>
      <c r="AC233" s="104">
        <v>0</v>
      </c>
      <c r="AD233" s="104">
        <v>0</v>
      </c>
      <c r="AE233" s="104">
        <v>0</v>
      </c>
      <c r="AF233" s="104">
        <v>0</v>
      </c>
      <c r="AG233" s="104">
        <v>0</v>
      </c>
      <c r="AH233" s="104">
        <v>0</v>
      </c>
      <c r="AI233" s="104">
        <v>0</v>
      </c>
      <c r="AJ233" s="104">
        <v>0</v>
      </c>
      <c r="AK233" s="104">
        <v>0</v>
      </c>
      <c r="AL233" s="104">
        <v>0</v>
      </c>
      <c r="AM233" s="104">
        <v>0</v>
      </c>
      <c r="AN233" s="104">
        <v>0</v>
      </c>
      <c r="AO233" s="104">
        <v>0</v>
      </c>
      <c r="AP233" s="104">
        <v>0</v>
      </c>
      <c r="AQ233" s="104">
        <v>0</v>
      </c>
      <c r="AR233" s="104">
        <v>0</v>
      </c>
      <c r="AS233" s="104">
        <v>0</v>
      </c>
      <c r="AT233" s="104">
        <v>0</v>
      </c>
      <c r="AU233" s="104">
        <v>0</v>
      </c>
      <c r="AV233" s="104">
        <v>0</v>
      </c>
      <c r="AW233" s="104">
        <v>0</v>
      </c>
      <c r="AX233" s="104">
        <v>0</v>
      </c>
      <c r="AZ233" s="104">
        <f t="shared" si="12"/>
        <v>465230</v>
      </c>
      <c r="BA233" s="104">
        <f t="shared" si="13"/>
        <v>8028</v>
      </c>
      <c r="BB233" s="96">
        <f t="shared" si="14"/>
        <v>0</v>
      </c>
      <c r="BC233" s="104">
        <f t="shared" si="15"/>
        <v>1169</v>
      </c>
    </row>
    <row r="234" spans="1:55">
      <c r="A234" s="102" t="s">
        <v>335</v>
      </c>
      <c r="B234" s="24" t="s">
        <v>637</v>
      </c>
      <c r="C234" s="103" t="s">
        <v>34</v>
      </c>
      <c r="D234" s="104">
        <v>0</v>
      </c>
      <c r="E234" s="104">
        <v>17317</v>
      </c>
      <c r="F234" s="104">
        <v>6562</v>
      </c>
      <c r="G234" s="104">
        <v>0</v>
      </c>
      <c r="H234" s="104">
        <v>0</v>
      </c>
      <c r="I234" s="104">
        <v>0</v>
      </c>
      <c r="J234" s="104">
        <v>0</v>
      </c>
      <c r="K234" s="104">
        <v>0</v>
      </c>
      <c r="L234" s="104">
        <v>0</v>
      </c>
      <c r="M234" s="104">
        <v>0</v>
      </c>
      <c r="N234" s="104">
        <v>0</v>
      </c>
      <c r="O234" s="104">
        <v>0</v>
      </c>
      <c r="P234" s="104">
        <v>0</v>
      </c>
      <c r="Q234" s="104">
        <v>0</v>
      </c>
      <c r="R234" s="104">
        <v>0</v>
      </c>
      <c r="S234" s="104">
        <v>0</v>
      </c>
      <c r="T234" s="104">
        <v>0</v>
      </c>
      <c r="U234" s="104">
        <v>0</v>
      </c>
      <c r="V234" s="104">
        <v>0</v>
      </c>
      <c r="W234" s="104">
        <v>0</v>
      </c>
      <c r="X234" s="104">
        <v>0</v>
      </c>
      <c r="Y234" s="104">
        <v>0</v>
      </c>
      <c r="Z234" s="104">
        <v>0</v>
      </c>
      <c r="AA234" s="104">
        <v>0</v>
      </c>
      <c r="AB234" s="104">
        <v>0</v>
      </c>
      <c r="AC234" s="104">
        <v>0</v>
      </c>
      <c r="AD234" s="104">
        <v>0</v>
      </c>
      <c r="AE234" s="104">
        <v>0</v>
      </c>
      <c r="AF234" s="104">
        <v>0</v>
      </c>
      <c r="AG234" s="104">
        <v>0</v>
      </c>
      <c r="AH234" s="104">
        <v>0</v>
      </c>
      <c r="AI234" s="104">
        <v>0</v>
      </c>
      <c r="AJ234" s="104">
        <v>0</v>
      </c>
      <c r="AK234" s="104">
        <v>0</v>
      </c>
      <c r="AL234" s="104">
        <v>0</v>
      </c>
      <c r="AM234" s="104">
        <v>0</v>
      </c>
      <c r="AN234" s="104">
        <v>0</v>
      </c>
      <c r="AO234" s="104">
        <v>0</v>
      </c>
      <c r="AP234" s="104">
        <v>0</v>
      </c>
      <c r="AQ234" s="104">
        <v>0</v>
      </c>
      <c r="AR234" s="104">
        <v>0</v>
      </c>
      <c r="AS234" s="104">
        <v>4397</v>
      </c>
      <c r="AT234" s="104">
        <v>76</v>
      </c>
      <c r="AU234" s="104">
        <v>0</v>
      </c>
      <c r="AV234" s="104">
        <v>0</v>
      </c>
      <c r="AW234" s="104">
        <v>0</v>
      </c>
      <c r="AX234" s="104">
        <v>0</v>
      </c>
      <c r="AZ234" s="104">
        <f t="shared" si="12"/>
        <v>17317</v>
      </c>
      <c r="BA234" s="104">
        <f t="shared" si="13"/>
        <v>6562</v>
      </c>
      <c r="BB234" s="96">
        <f t="shared" si="14"/>
        <v>0</v>
      </c>
      <c r="BC234" s="104">
        <f t="shared" si="15"/>
        <v>0</v>
      </c>
    </row>
    <row r="235" spans="1:55">
      <c r="A235" s="102" t="s">
        <v>336</v>
      </c>
      <c r="B235" s="24" t="s">
        <v>638</v>
      </c>
      <c r="C235" s="103" t="s">
        <v>318</v>
      </c>
      <c r="D235" s="104">
        <v>909</v>
      </c>
      <c r="E235" s="104">
        <v>39538</v>
      </c>
      <c r="F235" s="104">
        <v>620</v>
      </c>
      <c r="G235" s="104">
        <v>466</v>
      </c>
      <c r="H235" s="104">
        <v>0</v>
      </c>
      <c r="I235" s="104">
        <v>0</v>
      </c>
      <c r="J235" s="104">
        <v>0</v>
      </c>
      <c r="K235" s="104">
        <v>9832</v>
      </c>
      <c r="L235" s="104">
        <v>154</v>
      </c>
      <c r="M235" s="104">
        <v>0</v>
      </c>
      <c r="N235" s="104">
        <v>182</v>
      </c>
      <c r="O235" s="104">
        <v>0</v>
      </c>
      <c r="P235" s="104">
        <v>0</v>
      </c>
      <c r="Q235" s="104">
        <v>0</v>
      </c>
      <c r="R235" s="104">
        <v>0</v>
      </c>
      <c r="S235" s="104">
        <v>0</v>
      </c>
      <c r="T235" s="104">
        <v>0</v>
      </c>
      <c r="U235" s="104">
        <v>0</v>
      </c>
      <c r="V235" s="104">
        <v>0</v>
      </c>
      <c r="W235" s="104">
        <v>0</v>
      </c>
      <c r="X235" s="104">
        <v>36907</v>
      </c>
      <c r="Y235" s="104">
        <v>580</v>
      </c>
      <c r="Z235" s="104">
        <v>929</v>
      </c>
      <c r="AA235" s="104">
        <v>0</v>
      </c>
      <c r="AB235" s="104">
        <v>0</v>
      </c>
      <c r="AC235" s="104">
        <v>0</v>
      </c>
      <c r="AD235" s="104">
        <v>0</v>
      </c>
      <c r="AE235" s="104">
        <v>0</v>
      </c>
      <c r="AF235" s="104">
        <v>0</v>
      </c>
      <c r="AG235" s="104">
        <v>0</v>
      </c>
      <c r="AH235" s="104">
        <v>0</v>
      </c>
      <c r="AI235" s="104">
        <v>0</v>
      </c>
      <c r="AJ235" s="104">
        <v>0</v>
      </c>
      <c r="AK235" s="104">
        <v>0</v>
      </c>
      <c r="AL235" s="104">
        <v>0</v>
      </c>
      <c r="AM235" s="104">
        <v>0</v>
      </c>
      <c r="AN235" s="104">
        <v>0</v>
      </c>
      <c r="AO235" s="104">
        <v>0</v>
      </c>
      <c r="AP235" s="104">
        <v>0</v>
      </c>
      <c r="AQ235" s="104">
        <v>0</v>
      </c>
      <c r="AR235" s="104">
        <v>0</v>
      </c>
      <c r="AS235" s="104">
        <v>0</v>
      </c>
      <c r="AT235" s="104">
        <v>0</v>
      </c>
      <c r="AU235" s="104">
        <v>0</v>
      </c>
      <c r="AV235" s="104">
        <v>0</v>
      </c>
      <c r="AW235" s="104">
        <v>0</v>
      </c>
      <c r="AX235" s="104">
        <v>0</v>
      </c>
      <c r="AZ235" s="104">
        <f t="shared" si="12"/>
        <v>86277</v>
      </c>
      <c r="BA235" s="104">
        <f t="shared" si="13"/>
        <v>1354</v>
      </c>
      <c r="BB235" s="96">
        <f t="shared" si="14"/>
        <v>0</v>
      </c>
      <c r="BC235" s="104">
        <f t="shared" si="15"/>
        <v>2486</v>
      </c>
    </row>
    <row r="236" spans="1:55">
      <c r="A236" s="102" t="s">
        <v>337</v>
      </c>
      <c r="B236" s="24" t="s">
        <v>639</v>
      </c>
      <c r="C236" s="103" t="s">
        <v>234</v>
      </c>
      <c r="D236" s="104">
        <v>0</v>
      </c>
      <c r="E236" s="104">
        <v>38087</v>
      </c>
      <c r="F236" s="104">
        <v>8451</v>
      </c>
      <c r="G236" s="104">
        <v>0</v>
      </c>
      <c r="H236" s="104">
        <v>0</v>
      </c>
      <c r="I236" s="104">
        <v>0</v>
      </c>
      <c r="J236" s="104">
        <v>0</v>
      </c>
      <c r="K236" s="104">
        <v>0</v>
      </c>
      <c r="L236" s="104">
        <v>0</v>
      </c>
      <c r="M236" s="104">
        <v>0</v>
      </c>
      <c r="N236" s="104">
        <v>0</v>
      </c>
      <c r="O236" s="104">
        <v>0</v>
      </c>
      <c r="P236" s="104">
        <v>0</v>
      </c>
      <c r="Q236" s="104">
        <v>0</v>
      </c>
      <c r="R236" s="104">
        <v>0</v>
      </c>
      <c r="S236" s="104">
        <v>0</v>
      </c>
      <c r="T236" s="104">
        <v>0</v>
      </c>
      <c r="U236" s="104">
        <v>0</v>
      </c>
      <c r="V236" s="104">
        <v>0</v>
      </c>
      <c r="W236" s="104">
        <v>0</v>
      </c>
      <c r="X236" s="104">
        <v>86640</v>
      </c>
      <c r="Y236" s="104">
        <v>0</v>
      </c>
      <c r="Z236" s="104">
        <v>0</v>
      </c>
      <c r="AA236" s="104">
        <v>0</v>
      </c>
      <c r="AB236" s="104">
        <v>0</v>
      </c>
      <c r="AC236" s="104">
        <v>0</v>
      </c>
      <c r="AD236" s="104">
        <v>0</v>
      </c>
      <c r="AE236" s="104">
        <v>0</v>
      </c>
      <c r="AF236" s="104">
        <v>0</v>
      </c>
      <c r="AG236" s="104">
        <v>0</v>
      </c>
      <c r="AH236" s="104">
        <v>0</v>
      </c>
      <c r="AI236" s="104">
        <v>0</v>
      </c>
      <c r="AJ236" s="104">
        <v>0</v>
      </c>
      <c r="AK236" s="104">
        <v>0</v>
      </c>
      <c r="AL236" s="104">
        <v>0</v>
      </c>
      <c r="AM236" s="104">
        <v>0</v>
      </c>
      <c r="AN236" s="104">
        <v>0</v>
      </c>
      <c r="AO236" s="104">
        <v>0</v>
      </c>
      <c r="AP236" s="104">
        <v>0</v>
      </c>
      <c r="AQ236" s="104">
        <v>0</v>
      </c>
      <c r="AR236" s="104">
        <v>0</v>
      </c>
      <c r="AS236" s="104">
        <v>0</v>
      </c>
      <c r="AT236" s="104">
        <v>0</v>
      </c>
      <c r="AU236" s="104">
        <v>0</v>
      </c>
      <c r="AV236" s="104">
        <v>0</v>
      </c>
      <c r="AW236" s="104">
        <v>0</v>
      </c>
      <c r="AX236" s="104">
        <v>0</v>
      </c>
      <c r="AZ236" s="104">
        <f t="shared" si="12"/>
        <v>124727</v>
      </c>
      <c r="BA236" s="104">
        <f t="shared" si="13"/>
        <v>8451</v>
      </c>
      <c r="BB236" s="96">
        <f t="shared" si="14"/>
        <v>0</v>
      </c>
      <c r="BC236" s="104">
        <f t="shared" si="15"/>
        <v>0</v>
      </c>
    </row>
    <row r="237" spans="1:55">
      <c r="A237" s="102" t="s">
        <v>338</v>
      </c>
      <c r="B237" s="24" t="s">
        <v>640</v>
      </c>
      <c r="C237" s="103" t="s">
        <v>284</v>
      </c>
      <c r="D237" s="104">
        <v>0</v>
      </c>
      <c r="E237" s="104">
        <v>46936</v>
      </c>
      <c r="F237" s="104">
        <v>958</v>
      </c>
      <c r="G237" s="104">
        <v>0</v>
      </c>
      <c r="H237" s="104">
        <v>0</v>
      </c>
      <c r="I237" s="104">
        <v>0</v>
      </c>
      <c r="J237" s="104">
        <v>0</v>
      </c>
      <c r="K237" s="104">
        <v>9719</v>
      </c>
      <c r="L237" s="104">
        <v>202</v>
      </c>
      <c r="M237" s="104">
        <v>0</v>
      </c>
      <c r="N237" s="104">
        <v>0</v>
      </c>
      <c r="O237" s="104">
        <v>0</v>
      </c>
      <c r="P237" s="104">
        <v>0</v>
      </c>
      <c r="Q237" s="104">
        <v>0</v>
      </c>
      <c r="R237" s="104">
        <v>0</v>
      </c>
      <c r="S237" s="104">
        <v>0</v>
      </c>
      <c r="T237" s="104">
        <v>0</v>
      </c>
      <c r="U237" s="104">
        <v>0</v>
      </c>
      <c r="V237" s="104">
        <v>0</v>
      </c>
      <c r="W237" s="104">
        <v>0</v>
      </c>
      <c r="X237" s="104">
        <v>0</v>
      </c>
      <c r="Y237" s="104">
        <v>0</v>
      </c>
      <c r="Z237" s="104">
        <v>0</v>
      </c>
      <c r="AA237" s="104">
        <v>0</v>
      </c>
      <c r="AB237" s="104">
        <v>0</v>
      </c>
      <c r="AC237" s="104">
        <v>0</v>
      </c>
      <c r="AD237" s="104">
        <v>0</v>
      </c>
      <c r="AE237" s="104">
        <v>0</v>
      </c>
      <c r="AF237" s="104">
        <v>0</v>
      </c>
      <c r="AG237" s="104">
        <v>0</v>
      </c>
      <c r="AH237" s="104">
        <v>0</v>
      </c>
      <c r="AI237" s="104">
        <v>0</v>
      </c>
      <c r="AJ237" s="104">
        <v>0</v>
      </c>
      <c r="AK237" s="104">
        <v>0</v>
      </c>
      <c r="AL237" s="104">
        <v>0</v>
      </c>
      <c r="AM237" s="104">
        <v>0</v>
      </c>
      <c r="AN237" s="104">
        <v>0</v>
      </c>
      <c r="AO237" s="104">
        <v>0</v>
      </c>
      <c r="AP237" s="104">
        <v>0</v>
      </c>
      <c r="AQ237" s="104">
        <v>0</v>
      </c>
      <c r="AR237" s="104">
        <v>0</v>
      </c>
      <c r="AS237" s="104">
        <v>2430</v>
      </c>
      <c r="AT237" s="104">
        <v>50</v>
      </c>
      <c r="AU237" s="104">
        <v>0</v>
      </c>
      <c r="AV237" s="104">
        <v>0</v>
      </c>
      <c r="AW237" s="104">
        <v>0</v>
      </c>
      <c r="AX237" s="104">
        <v>0</v>
      </c>
      <c r="AZ237" s="104">
        <f t="shared" si="12"/>
        <v>56655</v>
      </c>
      <c r="BA237" s="104">
        <f t="shared" si="13"/>
        <v>1160</v>
      </c>
      <c r="BB237" s="96">
        <f t="shared" si="14"/>
        <v>0</v>
      </c>
      <c r="BC237" s="104">
        <f t="shared" si="15"/>
        <v>0</v>
      </c>
    </row>
    <row r="238" spans="1:55">
      <c r="A238" s="102" t="s">
        <v>339</v>
      </c>
      <c r="B238" s="25" t="s">
        <v>641</v>
      </c>
      <c r="C238" s="103" t="s">
        <v>34</v>
      </c>
      <c r="D238" s="104">
        <v>0</v>
      </c>
      <c r="E238" s="104">
        <v>0</v>
      </c>
      <c r="F238" s="104">
        <v>0</v>
      </c>
      <c r="G238" s="104">
        <v>0</v>
      </c>
      <c r="H238" s="104">
        <v>0</v>
      </c>
      <c r="I238" s="104">
        <v>0</v>
      </c>
      <c r="J238" s="104">
        <v>0</v>
      </c>
      <c r="K238" s="104">
        <v>0</v>
      </c>
      <c r="L238" s="104">
        <v>0</v>
      </c>
      <c r="M238" s="104">
        <v>0</v>
      </c>
      <c r="N238" s="104">
        <v>0</v>
      </c>
      <c r="O238" s="104">
        <v>0</v>
      </c>
      <c r="P238" s="104">
        <v>0</v>
      </c>
      <c r="Q238" s="104">
        <v>0</v>
      </c>
      <c r="R238" s="104">
        <v>0</v>
      </c>
      <c r="S238" s="104">
        <v>0</v>
      </c>
      <c r="T238" s="104">
        <v>0</v>
      </c>
      <c r="U238" s="104">
        <v>0</v>
      </c>
      <c r="V238" s="104">
        <v>0</v>
      </c>
      <c r="W238" s="104">
        <v>0</v>
      </c>
      <c r="X238" s="104">
        <v>0</v>
      </c>
      <c r="Y238" s="104">
        <v>0</v>
      </c>
      <c r="Z238" s="104">
        <v>0</v>
      </c>
      <c r="AA238" s="104">
        <v>0</v>
      </c>
      <c r="AB238" s="104">
        <v>0</v>
      </c>
      <c r="AC238" s="104">
        <v>0</v>
      </c>
      <c r="AD238" s="104">
        <v>0</v>
      </c>
      <c r="AE238" s="104">
        <v>0</v>
      </c>
      <c r="AF238" s="104">
        <v>0</v>
      </c>
      <c r="AG238" s="104">
        <v>0</v>
      </c>
      <c r="AH238" s="104">
        <v>0</v>
      </c>
      <c r="AI238" s="104">
        <v>0</v>
      </c>
      <c r="AJ238" s="104">
        <v>0</v>
      </c>
      <c r="AK238" s="104">
        <v>0</v>
      </c>
      <c r="AL238" s="104">
        <v>0</v>
      </c>
      <c r="AM238" s="104">
        <v>0</v>
      </c>
      <c r="AN238" s="104">
        <v>0</v>
      </c>
      <c r="AO238" s="104">
        <v>0</v>
      </c>
      <c r="AP238" s="104">
        <v>0</v>
      </c>
      <c r="AQ238" s="104">
        <v>0</v>
      </c>
      <c r="AR238" s="104">
        <v>0</v>
      </c>
      <c r="AS238" s="104">
        <v>0</v>
      </c>
      <c r="AT238" s="104">
        <v>0</v>
      </c>
      <c r="AU238" s="104">
        <v>0</v>
      </c>
      <c r="AV238" s="104">
        <v>0</v>
      </c>
      <c r="AW238" s="104">
        <v>0</v>
      </c>
      <c r="AX238" s="104">
        <v>0</v>
      </c>
      <c r="AZ238" s="104">
        <f t="shared" si="12"/>
        <v>0</v>
      </c>
      <c r="BA238" s="104">
        <f t="shared" si="13"/>
        <v>0</v>
      </c>
      <c r="BB238" s="96">
        <f t="shared" si="14"/>
        <v>0</v>
      </c>
      <c r="BC238" s="104">
        <f t="shared" si="15"/>
        <v>0</v>
      </c>
    </row>
    <row r="239" spans="1:55">
      <c r="A239" s="102" t="s">
        <v>340</v>
      </c>
      <c r="B239" s="24" t="s">
        <v>642</v>
      </c>
      <c r="C239" s="103" t="s">
        <v>325</v>
      </c>
      <c r="D239" s="104">
        <v>0</v>
      </c>
      <c r="E239" s="104">
        <v>114313</v>
      </c>
      <c r="F239" s="104">
        <v>4083</v>
      </c>
      <c r="G239" s="104">
        <v>0</v>
      </c>
      <c r="H239" s="104">
        <v>0</v>
      </c>
      <c r="I239" s="104">
        <v>0</v>
      </c>
      <c r="J239" s="104">
        <v>0</v>
      </c>
      <c r="K239" s="104">
        <v>25962</v>
      </c>
      <c r="L239" s="104">
        <v>918</v>
      </c>
      <c r="M239" s="104">
        <v>0</v>
      </c>
      <c r="N239" s="104">
        <v>0</v>
      </c>
      <c r="O239" s="104">
        <v>0</v>
      </c>
      <c r="P239" s="104">
        <v>0</v>
      </c>
      <c r="Q239" s="104">
        <v>0</v>
      </c>
      <c r="R239" s="104">
        <v>0</v>
      </c>
      <c r="S239" s="104">
        <v>0</v>
      </c>
      <c r="T239" s="104">
        <v>0</v>
      </c>
      <c r="U239" s="104">
        <v>0</v>
      </c>
      <c r="V239" s="104">
        <v>0</v>
      </c>
      <c r="W239" s="104">
        <v>0</v>
      </c>
      <c r="X239" s="104">
        <v>57772</v>
      </c>
      <c r="Y239" s="104">
        <v>2026</v>
      </c>
      <c r="Z239" s="104">
        <v>0</v>
      </c>
      <c r="AA239" s="104">
        <v>0</v>
      </c>
      <c r="AB239" s="104">
        <v>0</v>
      </c>
      <c r="AC239" s="104">
        <v>0</v>
      </c>
      <c r="AD239" s="104">
        <v>0</v>
      </c>
      <c r="AE239" s="104">
        <v>0</v>
      </c>
      <c r="AF239" s="104">
        <v>0</v>
      </c>
      <c r="AG239" s="104">
        <v>0</v>
      </c>
      <c r="AH239" s="104">
        <v>0</v>
      </c>
      <c r="AI239" s="104">
        <v>0</v>
      </c>
      <c r="AJ239" s="104">
        <v>0</v>
      </c>
      <c r="AK239" s="104">
        <v>0</v>
      </c>
      <c r="AL239" s="104">
        <v>0</v>
      </c>
      <c r="AM239" s="104">
        <v>0</v>
      </c>
      <c r="AN239" s="104">
        <v>0</v>
      </c>
      <c r="AO239" s="104">
        <v>0</v>
      </c>
      <c r="AP239" s="104">
        <v>0</v>
      </c>
      <c r="AQ239" s="104">
        <v>0</v>
      </c>
      <c r="AR239" s="104">
        <v>0</v>
      </c>
      <c r="AS239" s="104">
        <v>0</v>
      </c>
      <c r="AT239" s="104">
        <v>0</v>
      </c>
      <c r="AU239" s="104">
        <v>0</v>
      </c>
      <c r="AV239" s="104">
        <v>0</v>
      </c>
      <c r="AW239" s="104">
        <v>0</v>
      </c>
      <c r="AX239" s="104">
        <v>0</v>
      </c>
      <c r="AZ239" s="104">
        <f t="shared" si="12"/>
        <v>198047</v>
      </c>
      <c r="BA239" s="104">
        <f t="shared" si="13"/>
        <v>7027</v>
      </c>
      <c r="BB239" s="96">
        <f t="shared" si="14"/>
        <v>0</v>
      </c>
      <c r="BC239" s="104">
        <f t="shared" si="15"/>
        <v>0</v>
      </c>
    </row>
    <row r="240" spans="1:55">
      <c r="A240" s="102" t="s">
        <v>341</v>
      </c>
      <c r="B240" s="24" t="s">
        <v>643</v>
      </c>
      <c r="C240" s="103" t="s">
        <v>290</v>
      </c>
      <c r="D240" s="104">
        <v>0</v>
      </c>
      <c r="E240" s="104">
        <v>121117</v>
      </c>
      <c r="F240" s="104">
        <v>1966</v>
      </c>
      <c r="G240" s="104">
        <v>0</v>
      </c>
      <c r="H240" s="104">
        <v>0</v>
      </c>
      <c r="I240" s="104">
        <v>0</v>
      </c>
      <c r="J240" s="104">
        <v>0</v>
      </c>
      <c r="K240" s="104">
        <v>39487</v>
      </c>
      <c r="L240" s="104">
        <v>213</v>
      </c>
      <c r="M240" s="104">
        <v>0</v>
      </c>
      <c r="N240" s="104">
        <v>0</v>
      </c>
      <c r="O240" s="104">
        <v>0</v>
      </c>
      <c r="P240" s="104">
        <v>0</v>
      </c>
      <c r="Q240" s="104">
        <v>0</v>
      </c>
      <c r="R240" s="104">
        <v>0</v>
      </c>
      <c r="S240" s="104">
        <v>0</v>
      </c>
      <c r="T240" s="104">
        <v>0</v>
      </c>
      <c r="U240" s="104">
        <v>0</v>
      </c>
      <c r="V240" s="104">
        <v>0</v>
      </c>
      <c r="W240" s="104">
        <v>0</v>
      </c>
      <c r="X240" s="104">
        <v>44787</v>
      </c>
      <c r="Y240" s="104">
        <v>907</v>
      </c>
      <c r="Z240" s="104">
        <v>0</v>
      </c>
      <c r="AA240" s="104">
        <v>0</v>
      </c>
      <c r="AB240" s="104">
        <v>0</v>
      </c>
      <c r="AC240" s="104">
        <v>0</v>
      </c>
      <c r="AD240" s="104">
        <v>0</v>
      </c>
      <c r="AE240" s="104">
        <v>0</v>
      </c>
      <c r="AF240" s="104">
        <v>0</v>
      </c>
      <c r="AG240" s="104">
        <v>0</v>
      </c>
      <c r="AH240" s="104">
        <v>0</v>
      </c>
      <c r="AI240" s="104">
        <v>0</v>
      </c>
      <c r="AJ240" s="104">
        <v>0</v>
      </c>
      <c r="AK240" s="104">
        <v>0</v>
      </c>
      <c r="AL240" s="104">
        <v>0</v>
      </c>
      <c r="AM240" s="104">
        <v>0</v>
      </c>
      <c r="AN240" s="104">
        <v>0</v>
      </c>
      <c r="AO240" s="104">
        <v>0</v>
      </c>
      <c r="AP240" s="104">
        <v>0</v>
      </c>
      <c r="AQ240" s="104">
        <v>0</v>
      </c>
      <c r="AR240" s="104">
        <v>0</v>
      </c>
      <c r="AS240" s="104">
        <v>19449</v>
      </c>
      <c r="AT240" s="104">
        <v>402</v>
      </c>
      <c r="AU240" s="104">
        <v>0</v>
      </c>
      <c r="AV240" s="104">
        <v>9730</v>
      </c>
      <c r="AW240" s="104">
        <v>201</v>
      </c>
      <c r="AX240" s="104">
        <v>0</v>
      </c>
      <c r="AZ240" s="104">
        <f t="shared" si="12"/>
        <v>205391</v>
      </c>
      <c r="BA240" s="104">
        <f t="shared" si="13"/>
        <v>3086</v>
      </c>
      <c r="BB240" s="96">
        <f t="shared" si="14"/>
        <v>0</v>
      </c>
      <c r="BC240" s="104">
        <f t="shared" si="15"/>
        <v>0</v>
      </c>
    </row>
    <row r="241" spans="1:55">
      <c r="A241" s="102" t="s">
        <v>342</v>
      </c>
      <c r="B241" s="24" t="s">
        <v>644</v>
      </c>
      <c r="C241" s="103" t="s">
        <v>343</v>
      </c>
      <c r="D241" s="104">
        <v>0</v>
      </c>
      <c r="E241" s="104">
        <v>41913</v>
      </c>
      <c r="F241" s="104">
        <v>844</v>
      </c>
      <c r="G241" s="104">
        <v>0</v>
      </c>
      <c r="H241" s="104">
        <v>0</v>
      </c>
      <c r="I241" s="104">
        <v>0</v>
      </c>
      <c r="J241" s="104">
        <v>0</v>
      </c>
      <c r="K241" s="104">
        <v>0</v>
      </c>
      <c r="L241" s="104">
        <v>0</v>
      </c>
      <c r="M241" s="104">
        <v>0</v>
      </c>
      <c r="N241" s="104">
        <v>0</v>
      </c>
      <c r="O241" s="104">
        <v>0</v>
      </c>
      <c r="P241" s="104">
        <v>0</v>
      </c>
      <c r="Q241" s="104">
        <v>0</v>
      </c>
      <c r="R241" s="104">
        <v>0</v>
      </c>
      <c r="S241" s="104">
        <v>0</v>
      </c>
      <c r="T241" s="104">
        <v>0</v>
      </c>
      <c r="U241" s="104">
        <v>0</v>
      </c>
      <c r="V241" s="104">
        <v>0</v>
      </c>
      <c r="W241" s="104">
        <v>0</v>
      </c>
      <c r="X241" s="104">
        <v>0</v>
      </c>
      <c r="Y241" s="104">
        <v>0</v>
      </c>
      <c r="Z241" s="104">
        <v>0</v>
      </c>
      <c r="AA241" s="104">
        <v>0</v>
      </c>
      <c r="AB241" s="104">
        <v>0</v>
      </c>
      <c r="AC241" s="104">
        <v>0</v>
      </c>
      <c r="AD241" s="104">
        <v>0</v>
      </c>
      <c r="AE241" s="104">
        <v>0</v>
      </c>
      <c r="AF241" s="104">
        <v>0</v>
      </c>
      <c r="AG241" s="104">
        <v>0</v>
      </c>
      <c r="AH241" s="104">
        <v>0</v>
      </c>
      <c r="AI241" s="104">
        <v>0</v>
      </c>
      <c r="AJ241" s="104">
        <v>0</v>
      </c>
      <c r="AK241" s="104">
        <v>0</v>
      </c>
      <c r="AL241" s="104">
        <v>0</v>
      </c>
      <c r="AM241" s="104">
        <v>0</v>
      </c>
      <c r="AN241" s="104">
        <v>0</v>
      </c>
      <c r="AO241" s="104">
        <v>0</v>
      </c>
      <c r="AP241" s="104">
        <v>0</v>
      </c>
      <c r="AQ241" s="104">
        <v>0</v>
      </c>
      <c r="AR241" s="104">
        <v>0</v>
      </c>
      <c r="AS241" s="104">
        <v>8126</v>
      </c>
      <c r="AT241" s="104">
        <v>162</v>
      </c>
      <c r="AU241" s="104">
        <v>0</v>
      </c>
      <c r="AV241" s="104">
        <v>738</v>
      </c>
      <c r="AW241" s="104">
        <v>15</v>
      </c>
      <c r="AX241" s="104">
        <v>0</v>
      </c>
      <c r="AZ241" s="104">
        <f t="shared" si="12"/>
        <v>41913</v>
      </c>
      <c r="BA241" s="104">
        <f t="shared" si="13"/>
        <v>844</v>
      </c>
      <c r="BB241" s="96">
        <f t="shared" si="14"/>
        <v>0</v>
      </c>
      <c r="BC241" s="104">
        <f t="shared" si="15"/>
        <v>0</v>
      </c>
    </row>
    <row r="242" spans="1:55">
      <c r="A242" s="102" t="s">
        <v>344</v>
      </c>
      <c r="B242" s="24" t="s">
        <v>645</v>
      </c>
      <c r="C242" s="103" t="s">
        <v>219</v>
      </c>
      <c r="D242" s="104">
        <v>68714</v>
      </c>
      <c r="E242" s="104">
        <v>695672</v>
      </c>
      <c r="F242" s="104">
        <v>5374</v>
      </c>
      <c r="G242" s="104">
        <v>39397</v>
      </c>
      <c r="H242" s="104">
        <v>0</v>
      </c>
      <c r="I242" s="104">
        <v>0</v>
      </c>
      <c r="J242" s="104">
        <v>0</v>
      </c>
      <c r="K242" s="104">
        <v>207705</v>
      </c>
      <c r="L242" s="104">
        <v>1603</v>
      </c>
      <c r="M242" s="104">
        <v>0</v>
      </c>
      <c r="N242" s="104">
        <v>20614</v>
      </c>
      <c r="O242" s="104">
        <v>0</v>
      </c>
      <c r="P242" s="104">
        <v>0</v>
      </c>
      <c r="Q242" s="104">
        <v>0</v>
      </c>
      <c r="R242" s="104">
        <v>0</v>
      </c>
      <c r="S242" s="104">
        <v>0</v>
      </c>
      <c r="T242" s="104">
        <v>0</v>
      </c>
      <c r="U242" s="104">
        <v>0</v>
      </c>
      <c r="V242" s="104">
        <v>0</v>
      </c>
      <c r="W242" s="104">
        <v>0</v>
      </c>
      <c r="X242" s="104">
        <v>558269</v>
      </c>
      <c r="Y242" s="104">
        <v>4321</v>
      </c>
      <c r="Z242" s="104">
        <v>44736</v>
      </c>
      <c r="AA242" s="104">
        <v>0</v>
      </c>
      <c r="AB242" s="104">
        <v>0</v>
      </c>
      <c r="AC242" s="104">
        <v>0</v>
      </c>
      <c r="AD242" s="104">
        <v>0</v>
      </c>
      <c r="AE242" s="104">
        <v>0</v>
      </c>
      <c r="AF242" s="104">
        <v>0</v>
      </c>
      <c r="AG242" s="104">
        <v>0</v>
      </c>
      <c r="AH242" s="104">
        <v>0</v>
      </c>
      <c r="AI242" s="104">
        <v>0</v>
      </c>
      <c r="AJ242" s="104">
        <v>0</v>
      </c>
      <c r="AK242" s="104">
        <v>0</v>
      </c>
      <c r="AL242" s="104">
        <v>0</v>
      </c>
      <c r="AM242" s="104">
        <v>0</v>
      </c>
      <c r="AN242" s="104">
        <v>0</v>
      </c>
      <c r="AO242" s="104">
        <v>0</v>
      </c>
      <c r="AP242" s="104">
        <v>0</v>
      </c>
      <c r="AQ242" s="104">
        <v>0</v>
      </c>
      <c r="AR242" s="104">
        <v>0</v>
      </c>
      <c r="AS242" s="104">
        <v>0</v>
      </c>
      <c r="AT242" s="104">
        <v>0</v>
      </c>
      <c r="AU242" s="104">
        <v>0</v>
      </c>
      <c r="AV242" s="104">
        <v>0</v>
      </c>
      <c r="AW242" s="104">
        <v>0</v>
      </c>
      <c r="AX242" s="104">
        <v>0</v>
      </c>
      <c r="AZ242" s="104">
        <f t="shared" si="12"/>
        <v>1461646</v>
      </c>
      <c r="BA242" s="104">
        <f t="shared" si="13"/>
        <v>11298</v>
      </c>
      <c r="BB242" s="96">
        <f t="shared" si="14"/>
        <v>0</v>
      </c>
      <c r="BC242" s="104">
        <f t="shared" si="15"/>
        <v>173461</v>
      </c>
    </row>
    <row r="243" spans="1:55">
      <c r="A243" s="102" t="s">
        <v>345</v>
      </c>
      <c r="B243" s="24" t="s">
        <v>646</v>
      </c>
      <c r="C243" s="103" t="s">
        <v>275</v>
      </c>
      <c r="D243" s="104">
        <v>0</v>
      </c>
      <c r="E243" s="104">
        <v>17753</v>
      </c>
      <c r="F243" s="104">
        <v>278</v>
      </c>
      <c r="G243" s="104">
        <v>0</v>
      </c>
      <c r="H243" s="104">
        <v>0</v>
      </c>
      <c r="I243" s="104">
        <v>0</v>
      </c>
      <c r="J243" s="104">
        <v>0</v>
      </c>
      <c r="K243" s="104">
        <v>0</v>
      </c>
      <c r="L243" s="104">
        <v>0</v>
      </c>
      <c r="M243" s="104">
        <v>0</v>
      </c>
      <c r="N243" s="104">
        <v>0</v>
      </c>
      <c r="O243" s="104">
        <v>0</v>
      </c>
      <c r="P243" s="104">
        <v>0</v>
      </c>
      <c r="Q243" s="104">
        <v>0</v>
      </c>
      <c r="R243" s="104">
        <v>0</v>
      </c>
      <c r="S243" s="104">
        <v>0</v>
      </c>
      <c r="T243" s="104">
        <v>0</v>
      </c>
      <c r="U243" s="104">
        <v>0</v>
      </c>
      <c r="V243" s="104">
        <v>0</v>
      </c>
      <c r="W243" s="104">
        <v>0</v>
      </c>
      <c r="X243" s="104">
        <v>0</v>
      </c>
      <c r="Y243" s="104">
        <v>0</v>
      </c>
      <c r="Z243" s="104">
        <v>0</v>
      </c>
      <c r="AA243" s="104">
        <v>0</v>
      </c>
      <c r="AB243" s="104">
        <v>0</v>
      </c>
      <c r="AC243" s="104">
        <v>0</v>
      </c>
      <c r="AD243" s="104">
        <v>0</v>
      </c>
      <c r="AE243" s="104">
        <v>0</v>
      </c>
      <c r="AF243" s="104">
        <v>0</v>
      </c>
      <c r="AG243" s="104">
        <v>0</v>
      </c>
      <c r="AH243" s="104">
        <v>0</v>
      </c>
      <c r="AI243" s="104">
        <v>0</v>
      </c>
      <c r="AJ243" s="104">
        <v>0</v>
      </c>
      <c r="AK243" s="104">
        <v>0</v>
      </c>
      <c r="AL243" s="104">
        <v>0</v>
      </c>
      <c r="AM243" s="104">
        <v>0</v>
      </c>
      <c r="AN243" s="104">
        <v>0</v>
      </c>
      <c r="AO243" s="104">
        <v>0</v>
      </c>
      <c r="AP243" s="104">
        <v>0</v>
      </c>
      <c r="AQ243" s="104">
        <v>0</v>
      </c>
      <c r="AR243" s="104">
        <v>0</v>
      </c>
      <c r="AS243" s="104">
        <v>0</v>
      </c>
      <c r="AT243" s="104">
        <v>0</v>
      </c>
      <c r="AU243" s="104">
        <v>0</v>
      </c>
      <c r="AV243" s="104">
        <v>0</v>
      </c>
      <c r="AW243" s="104">
        <v>0</v>
      </c>
      <c r="AX243" s="104">
        <v>0</v>
      </c>
      <c r="AZ243" s="104">
        <f t="shared" si="12"/>
        <v>17753</v>
      </c>
      <c r="BA243" s="104">
        <f t="shared" si="13"/>
        <v>278</v>
      </c>
      <c r="BB243" s="96">
        <f t="shared" si="14"/>
        <v>0</v>
      </c>
      <c r="BC243" s="104">
        <f t="shared" si="15"/>
        <v>0</v>
      </c>
    </row>
    <row r="244" spans="1:55">
      <c r="A244" s="102" t="s">
        <v>346</v>
      </c>
      <c r="B244" s="24" t="s">
        <v>116</v>
      </c>
      <c r="C244" s="103" t="s">
        <v>256</v>
      </c>
      <c r="D244" s="104">
        <v>0</v>
      </c>
      <c r="E244" s="104">
        <v>11332</v>
      </c>
      <c r="F244" s="104">
        <v>337</v>
      </c>
      <c r="G244" s="104">
        <v>0</v>
      </c>
      <c r="H244" s="104">
        <v>0</v>
      </c>
      <c r="I244" s="104">
        <v>0</v>
      </c>
      <c r="J244" s="104">
        <v>0</v>
      </c>
      <c r="K244" s="104">
        <v>9542</v>
      </c>
      <c r="L244" s="104">
        <v>289</v>
      </c>
      <c r="M244" s="104">
        <v>0</v>
      </c>
      <c r="N244" s="104">
        <v>0</v>
      </c>
      <c r="O244" s="104">
        <v>0</v>
      </c>
      <c r="P244" s="104">
        <v>0</v>
      </c>
      <c r="Q244" s="104">
        <v>0</v>
      </c>
      <c r="R244" s="104">
        <v>0</v>
      </c>
      <c r="S244" s="104">
        <v>0</v>
      </c>
      <c r="T244" s="104">
        <v>0</v>
      </c>
      <c r="U244" s="104">
        <v>0</v>
      </c>
      <c r="V244" s="104">
        <v>0</v>
      </c>
      <c r="W244" s="104">
        <v>0</v>
      </c>
      <c r="X244" s="104">
        <v>33531</v>
      </c>
      <c r="Y244" s="104">
        <v>1034</v>
      </c>
      <c r="Z244" s="104">
        <v>0</v>
      </c>
      <c r="AA244" s="104">
        <v>0</v>
      </c>
      <c r="AB244" s="104">
        <v>0</v>
      </c>
      <c r="AC244" s="104">
        <v>0</v>
      </c>
      <c r="AD244" s="104">
        <v>0</v>
      </c>
      <c r="AE244" s="104">
        <v>0</v>
      </c>
      <c r="AF244" s="104">
        <v>0</v>
      </c>
      <c r="AG244" s="104">
        <v>0</v>
      </c>
      <c r="AH244" s="104">
        <v>0</v>
      </c>
      <c r="AI244" s="104">
        <v>0</v>
      </c>
      <c r="AJ244" s="104">
        <v>0</v>
      </c>
      <c r="AK244" s="104">
        <v>0</v>
      </c>
      <c r="AL244" s="104">
        <v>0</v>
      </c>
      <c r="AM244" s="104">
        <v>0</v>
      </c>
      <c r="AN244" s="104">
        <v>0</v>
      </c>
      <c r="AO244" s="104">
        <v>0</v>
      </c>
      <c r="AP244" s="104">
        <v>0</v>
      </c>
      <c r="AQ244" s="104">
        <v>0</v>
      </c>
      <c r="AR244" s="104">
        <v>0</v>
      </c>
      <c r="AS244" s="104">
        <v>3896</v>
      </c>
      <c r="AT244" s="104">
        <v>118</v>
      </c>
      <c r="AU244" s="104">
        <v>0</v>
      </c>
      <c r="AV244" s="104">
        <v>0</v>
      </c>
      <c r="AW244" s="104">
        <v>0</v>
      </c>
      <c r="AX244" s="104">
        <v>0</v>
      </c>
      <c r="AZ244" s="104">
        <f t="shared" si="12"/>
        <v>54405</v>
      </c>
      <c r="BA244" s="104">
        <f t="shared" si="13"/>
        <v>1660</v>
      </c>
      <c r="BB244" s="96">
        <f t="shared" si="14"/>
        <v>0</v>
      </c>
      <c r="BC244" s="104">
        <f t="shared" si="15"/>
        <v>0</v>
      </c>
    </row>
    <row r="245" spans="1:55">
      <c r="A245" s="102" t="s">
        <v>347</v>
      </c>
      <c r="B245" s="24" t="s">
        <v>647</v>
      </c>
      <c r="C245" s="103" t="s">
        <v>256</v>
      </c>
      <c r="D245" s="104">
        <v>0</v>
      </c>
      <c r="E245" s="104">
        <v>78195</v>
      </c>
      <c r="F245" s="104">
        <v>1856</v>
      </c>
      <c r="G245" s="104">
        <v>0</v>
      </c>
      <c r="H245" s="104">
        <v>0</v>
      </c>
      <c r="I245" s="104">
        <v>0</v>
      </c>
      <c r="J245" s="104">
        <v>0</v>
      </c>
      <c r="K245" s="104">
        <v>22020</v>
      </c>
      <c r="L245" s="104">
        <v>530</v>
      </c>
      <c r="M245" s="104">
        <v>0</v>
      </c>
      <c r="N245" s="104">
        <v>0</v>
      </c>
      <c r="O245" s="104">
        <v>0</v>
      </c>
      <c r="P245" s="104">
        <v>0</v>
      </c>
      <c r="Q245" s="104">
        <v>0</v>
      </c>
      <c r="R245" s="104">
        <v>0</v>
      </c>
      <c r="S245" s="104">
        <v>0</v>
      </c>
      <c r="T245" s="104">
        <v>0</v>
      </c>
      <c r="U245" s="104">
        <v>0</v>
      </c>
      <c r="V245" s="104">
        <v>0</v>
      </c>
      <c r="W245" s="104">
        <v>0</v>
      </c>
      <c r="X245" s="104">
        <v>0</v>
      </c>
      <c r="Y245" s="104">
        <v>0</v>
      </c>
      <c r="Z245" s="104">
        <v>0</v>
      </c>
      <c r="AA245" s="104">
        <v>0</v>
      </c>
      <c r="AB245" s="104">
        <v>0</v>
      </c>
      <c r="AC245" s="104">
        <v>0</v>
      </c>
      <c r="AD245" s="104">
        <v>0</v>
      </c>
      <c r="AE245" s="104">
        <v>0</v>
      </c>
      <c r="AF245" s="104">
        <v>0</v>
      </c>
      <c r="AG245" s="104">
        <v>0</v>
      </c>
      <c r="AH245" s="104">
        <v>0</v>
      </c>
      <c r="AI245" s="104">
        <v>0</v>
      </c>
      <c r="AJ245" s="104">
        <v>0</v>
      </c>
      <c r="AK245" s="104">
        <v>0</v>
      </c>
      <c r="AL245" s="104">
        <v>0</v>
      </c>
      <c r="AM245" s="104">
        <v>0</v>
      </c>
      <c r="AN245" s="104">
        <v>0</v>
      </c>
      <c r="AO245" s="104">
        <v>0</v>
      </c>
      <c r="AP245" s="104">
        <v>0</v>
      </c>
      <c r="AQ245" s="104">
        <v>0</v>
      </c>
      <c r="AR245" s="104">
        <v>0</v>
      </c>
      <c r="AS245" s="104">
        <v>0</v>
      </c>
      <c r="AT245" s="104">
        <v>0</v>
      </c>
      <c r="AU245" s="104">
        <v>0</v>
      </c>
      <c r="AV245" s="104">
        <v>0</v>
      </c>
      <c r="AW245" s="104">
        <v>0</v>
      </c>
      <c r="AX245" s="104">
        <v>0</v>
      </c>
      <c r="AZ245" s="104">
        <f t="shared" si="12"/>
        <v>100215</v>
      </c>
      <c r="BA245" s="104">
        <f t="shared" si="13"/>
        <v>2386</v>
      </c>
      <c r="BB245" s="96">
        <f t="shared" si="14"/>
        <v>0</v>
      </c>
      <c r="BC245" s="104">
        <f t="shared" si="15"/>
        <v>0</v>
      </c>
    </row>
    <row r="246" spans="1:55">
      <c r="A246" s="102" t="s">
        <v>348</v>
      </c>
      <c r="B246" s="24" t="s">
        <v>648</v>
      </c>
      <c r="C246" s="103" t="s">
        <v>349</v>
      </c>
      <c r="D246" s="104">
        <v>0</v>
      </c>
      <c r="E246" s="104">
        <v>84390</v>
      </c>
      <c r="F246" s="104">
        <v>872</v>
      </c>
      <c r="G246" s="104">
        <v>0</v>
      </c>
      <c r="H246" s="104">
        <v>0</v>
      </c>
      <c r="I246" s="104">
        <v>0</v>
      </c>
      <c r="J246" s="104">
        <v>0</v>
      </c>
      <c r="K246" s="104">
        <v>17455</v>
      </c>
      <c r="L246" s="104">
        <v>174</v>
      </c>
      <c r="M246" s="104">
        <v>7</v>
      </c>
      <c r="N246" s="104">
        <v>0</v>
      </c>
      <c r="O246" s="104">
        <v>0</v>
      </c>
      <c r="P246" s="104">
        <v>0</v>
      </c>
      <c r="Q246" s="104">
        <v>0</v>
      </c>
      <c r="R246" s="104">
        <v>0</v>
      </c>
      <c r="S246" s="104">
        <v>0</v>
      </c>
      <c r="T246" s="104">
        <v>0</v>
      </c>
      <c r="U246" s="104">
        <v>0</v>
      </c>
      <c r="V246" s="104">
        <v>0</v>
      </c>
      <c r="W246" s="104">
        <v>0</v>
      </c>
      <c r="X246" s="104">
        <v>51545</v>
      </c>
      <c r="Y246" s="104">
        <v>518</v>
      </c>
      <c r="Z246" s="104">
        <v>0</v>
      </c>
      <c r="AA246" s="104">
        <v>0</v>
      </c>
      <c r="AB246" s="104">
        <v>0</v>
      </c>
      <c r="AC246" s="104">
        <v>0</v>
      </c>
      <c r="AD246" s="104">
        <v>0</v>
      </c>
      <c r="AE246" s="104">
        <v>0</v>
      </c>
      <c r="AF246" s="104">
        <v>0</v>
      </c>
      <c r="AG246" s="104">
        <v>0</v>
      </c>
      <c r="AH246" s="104">
        <v>0</v>
      </c>
      <c r="AI246" s="104">
        <v>0</v>
      </c>
      <c r="AJ246" s="104">
        <v>0</v>
      </c>
      <c r="AK246" s="104">
        <v>0</v>
      </c>
      <c r="AL246" s="104">
        <v>0</v>
      </c>
      <c r="AM246" s="104">
        <v>0</v>
      </c>
      <c r="AN246" s="104">
        <v>0</v>
      </c>
      <c r="AO246" s="104">
        <v>0</v>
      </c>
      <c r="AP246" s="104">
        <v>0</v>
      </c>
      <c r="AQ246" s="104">
        <v>0</v>
      </c>
      <c r="AR246" s="104">
        <v>0</v>
      </c>
      <c r="AS246" s="104">
        <v>0</v>
      </c>
      <c r="AT246" s="104">
        <v>0</v>
      </c>
      <c r="AU246" s="104">
        <v>0</v>
      </c>
      <c r="AV246" s="104">
        <v>0</v>
      </c>
      <c r="AW246" s="104">
        <v>0</v>
      </c>
      <c r="AX246" s="104">
        <v>0</v>
      </c>
      <c r="AZ246" s="104">
        <f t="shared" si="12"/>
        <v>153390</v>
      </c>
      <c r="BA246" s="104">
        <f t="shared" si="13"/>
        <v>1564</v>
      </c>
      <c r="BB246" s="96">
        <f t="shared" si="14"/>
        <v>7</v>
      </c>
      <c r="BC246" s="104">
        <f t="shared" si="15"/>
        <v>0</v>
      </c>
    </row>
    <row r="247" spans="1:55">
      <c r="A247" s="102" t="s">
        <v>350</v>
      </c>
      <c r="B247" s="24" t="s">
        <v>649</v>
      </c>
      <c r="C247" s="103" t="s">
        <v>349</v>
      </c>
      <c r="D247" s="104">
        <v>0</v>
      </c>
      <c r="E247" s="104">
        <v>36613</v>
      </c>
      <c r="F247" s="104">
        <v>509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Z247" s="104">
        <v>0</v>
      </c>
      <c r="AA247" s="104">
        <v>0</v>
      </c>
      <c r="AB247" s="104">
        <v>0</v>
      </c>
      <c r="AC247" s="104">
        <v>0</v>
      </c>
      <c r="AD247" s="104">
        <v>0</v>
      </c>
      <c r="AE247" s="104">
        <v>0</v>
      </c>
      <c r="AF247" s="104">
        <v>0</v>
      </c>
      <c r="AG247" s="104">
        <v>0</v>
      </c>
      <c r="AH247" s="104">
        <v>0</v>
      </c>
      <c r="AI247" s="104">
        <v>0</v>
      </c>
      <c r="AJ247" s="104">
        <v>0</v>
      </c>
      <c r="AK247" s="104">
        <v>0</v>
      </c>
      <c r="AL247" s="104">
        <v>0</v>
      </c>
      <c r="AM247" s="104">
        <v>0</v>
      </c>
      <c r="AN247" s="104">
        <v>0</v>
      </c>
      <c r="AO247" s="104">
        <v>0</v>
      </c>
      <c r="AP247" s="104">
        <v>0</v>
      </c>
      <c r="AQ247" s="104">
        <v>0</v>
      </c>
      <c r="AR247" s="104">
        <v>0</v>
      </c>
      <c r="AS247" s="104">
        <v>0</v>
      </c>
      <c r="AT247" s="104">
        <v>0</v>
      </c>
      <c r="AU247" s="104">
        <v>0</v>
      </c>
      <c r="AV247" s="104">
        <v>0</v>
      </c>
      <c r="AW247" s="104">
        <v>0</v>
      </c>
      <c r="AX247" s="104">
        <v>0</v>
      </c>
      <c r="AZ247" s="104">
        <f t="shared" si="12"/>
        <v>36613</v>
      </c>
      <c r="BA247" s="104">
        <f t="shared" si="13"/>
        <v>509</v>
      </c>
      <c r="BB247" s="96">
        <f t="shared" si="14"/>
        <v>0</v>
      </c>
      <c r="BC247" s="104">
        <f t="shared" si="15"/>
        <v>0</v>
      </c>
    </row>
    <row r="248" spans="1:55">
      <c r="A248" s="102" t="s">
        <v>351</v>
      </c>
      <c r="B248" s="24" t="s">
        <v>650</v>
      </c>
      <c r="C248" s="103" t="s">
        <v>273</v>
      </c>
      <c r="D248" s="104">
        <v>73521</v>
      </c>
      <c r="E248" s="104">
        <v>386159</v>
      </c>
      <c r="F248" s="104">
        <v>4774</v>
      </c>
      <c r="G248" s="104">
        <v>69735</v>
      </c>
      <c r="H248" s="104">
        <v>0</v>
      </c>
      <c r="I248" s="104">
        <v>0</v>
      </c>
      <c r="J248" s="104">
        <v>0</v>
      </c>
      <c r="K248" s="104">
        <v>70852</v>
      </c>
      <c r="L248" s="104">
        <v>979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X248" s="104">
        <v>367335</v>
      </c>
      <c r="Y248" s="104">
        <v>4371</v>
      </c>
      <c r="Z248" s="104">
        <v>54622</v>
      </c>
      <c r="AA248" s="104">
        <v>0</v>
      </c>
      <c r="AB248" s="104">
        <v>0</v>
      </c>
      <c r="AC248" s="104">
        <v>0</v>
      </c>
      <c r="AD248" s="104">
        <v>0</v>
      </c>
      <c r="AE248" s="104">
        <v>0</v>
      </c>
      <c r="AF248" s="104">
        <v>0</v>
      </c>
      <c r="AG248" s="104">
        <v>14771</v>
      </c>
      <c r="AH248" s="104">
        <v>169</v>
      </c>
      <c r="AI248" s="104">
        <v>0</v>
      </c>
      <c r="AJ248" s="104">
        <v>0</v>
      </c>
      <c r="AK248" s="104">
        <v>0</v>
      </c>
      <c r="AL248" s="104">
        <v>0</v>
      </c>
      <c r="AM248" s="104">
        <v>0</v>
      </c>
      <c r="AN248" s="104">
        <v>0</v>
      </c>
      <c r="AO248" s="104">
        <v>0</v>
      </c>
      <c r="AP248" s="104">
        <v>0</v>
      </c>
      <c r="AQ248" s="104">
        <v>0</v>
      </c>
      <c r="AR248" s="104">
        <v>0</v>
      </c>
      <c r="AS248" s="104">
        <v>0</v>
      </c>
      <c r="AT248" s="104">
        <v>0</v>
      </c>
      <c r="AU248" s="104">
        <v>0</v>
      </c>
      <c r="AV248" s="104">
        <v>0</v>
      </c>
      <c r="AW248" s="104">
        <v>0</v>
      </c>
      <c r="AX248" s="104">
        <v>0</v>
      </c>
      <c r="AZ248" s="104">
        <f t="shared" si="12"/>
        <v>824346</v>
      </c>
      <c r="BA248" s="104">
        <f t="shared" si="13"/>
        <v>10124</v>
      </c>
      <c r="BB248" s="96">
        <f t="shared" si="14"/>
        <v>0</v>
      </c>
      <c r="BC248" s="104">
        <f t="shared" si="15"/>
        <v>197878</v>
      </c>
    </row>
    <row r="249" spans="1:55">
      <c r="A249" s="102" t="s">
        <v>352</v>
      </c>
      <c r="B249" s="24" t="s">
        <v>651</v>
      </c>
      <c r="C249" s="103" t="s">
        <v>264</v>
      </c>
      <c r="D249" s="104">
        <v>0</v>
      </c>
      <c r="E249" s="104">
        <v>22550</v>
      </c>
      <c r="F249" s="104">
        <v>491</v>
      </c>
      <c r="G249" s="104">
        <v>0</v>
      </c>
      <c r="H249" s="104">
        <v>0</v>
      </c>
      <c r="I249" s="104">
        <v>0</v>
      </c>
      <c r="J249" s="104">
        <v>0</v>
      </c>
      <c r="K249" s="104">
        <v>7423</v>
      </c>
      <c r="L249" s="104">
        <v>161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12894</v>
      </c>
      <c r="Y249" s="104">
        <v>278</v>
      </c>
      <c r="Z249" s="104">
        <v>0</v>
      </c>
      <c r="AA249" s="104">
        <v>0</v>
      </c>
      <c r="AB249" s="104">
        <v>0</v>
      </c>
      <c r="AC249" s="104">
        <v>0</v>
      </c>
      <c r="AD249" s="104">
        <v>0</v>
      </c>
      <c r="AE249" s="104">
        <v>0</v>
      </c>
      <c r="AF249" s="104">
        <v>0</v>
      </c>
      <c r="AG249" s="104">
        <v>0</v>
      </c>
      <c r="AH249" s="104">
        <v>0</v>
      </c>
      <c r="AI249" s="104">
        <v>0</v>
      </c>
      <c r="AJ249" s="104">
        <v>0</v>
      </c>
      <c r="AK249" s="104">
        <v>0</v>
      </c>
      <c r="AL249" s="104">
        <v>0</v>
      </c>
      <c r="AM249" s="104">
        <v>0</v>
      </c>
      <c r="AN249" s="104">
        <v>0</v>
      </c>
      <c r="AO249" s="104">
        <v>0</v>
      </c>
      <c r="AP249" s="104">
        <v>0</v>
      </c>
      <c r="AQ249" s="104">
        <v>0</v>
      </c>
      <c r="AR249" s="104">
        <v>0</v>
      </c>
      <c r="AS249" s="104">
        <v>1541</v>
      </c>
      <c r="AT249" s="104">
        <v>33</v>
      </c>
      <c r="AU249" s="104">
        <v>0</v>
      </c>
      <c r="AV249" s="104">
        <v>0</v>
      </c>
      <c r="AW249" s="104">
        <v>0</v>
      </c>
      <c r="AX249" s="104">
        <v>347</v>
      </c>
      <c r="AZ249" s="104">
        <f t="shared" si="12"/>
        <v>42867</v>
      </c>
      <c r="BA249" s="104">
        <f t="shared" si="13"/>
        <v>930</v>
      </c>
      <c r="BB249" s="96">
        <f t="shared" si="14"/>
        <v>0</v>
      </c>
      <c r="BC249" s="104">
        <f t="shared" si="15"/>
        <v>0</v>
      </c>
    </row>
    <row r="250" spans="1:55">
      <c r="A250" s="102" t="s">
        <v>353</v>
      </c>
      <c r="B250" s="24" t="s">
        <v>652</v>
      </c>
      <c r="C250" s="103" t="s">
        <v>343</v>
      </c>
      <c r="D250" s="104">
        <v>11717</v>
      </c>
      <c r="E250" s="104">
        <v>234341</v>
      </c>
      <c r="F250" s="104">
        <v>3142</v>
      </c>
      <c r="G250" s="104">
        <v>7231</v>
      </c>
      <c r="H250" s="104">
        <v>0</v>
      </c>
      <c r="I250" s="104">
        <v>0</v>
      </c>
      <c r="J250" s="104">
        <v>0</v>
      </c>
      <c r="K250" s="104">
        <v>32436</v>
      </c>
      <c r="L250" s="104">
        <v>402</v>
      </c>
      <c r="M250" s="104">
        <v>0</v>
      </c>
      <c r="N250" s="104">
        <v>1583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12975</v>
      </c>
      <c r="Y250" s="104">
        <v>202</v>
      </c>
      <c r="Z250" s="104">
        <v>5381</v>
      </c>
      <c r="AA250" s="104">
        <v>0</v>
      </c>
      <c r="AB250" s="104">
        <v>0</v>
      </c>
      <c r="AC250" s="104">
        <v>0</v>
      </c>
      <c r="AD250" s="104">
        <v>0</v>
      </c>
      <c r="AE250" s="104">
        <v>0</v>
      </c>
      <c r="AF250" s="104">
        <v>0</v>
      </c>
      <c r="AG250" s="104">
        <v>0</v>
      </c>
      <c r="AH250" s="104">
        <v>0</v>
      </c>
      <c r="AI250" s="104">
        <v>0</v>
      </c>
      <c r="AJ250" s="104">
        <v>0</v>
      </c>
      <c r="AK250" s="104">
        <v>0</v>
      </c>
      <c r="AL250" s="104">
        <v>0</v>
      </c>
      <c r="AM250" s="104">
        <v>0</v>
      </c>
      <c r="AN250" s="104">
        <v>0</v>
      </c>
      <c r="AO250" s="104">
        <v>0</v>
      </c>
      <c r="AP250" s="104">
        <v>0</v>
      </c>
      <c r="AQ250" s="104">
        <v>0</v>
      </c>
      <c r="AR250" s="104">
        <v>0</v>
      </c>
      <c r="AS250" s="104">
        <v>45327</v>
      </c>
      <c r="AT250" s="104">
        <v>603</v>
      </c>
      <c r="AU250" s="104">
        <v>2345</v>
      </c>
      <c r="AV250" s="104">
        <v>6015</v>
      </c>
      <c r="AW250" s="104">
        <v>80</v>
      </c>
      <c r="AX250" s="104">
        <v>0</v>
      </c>
      <c r="AZ250" s="104">
        <f t="shared" si="12"/>
        <v>279752</v>
      </c>
      <c r="BA250" s="104">
        <f t="shared" si="13"/>
        <v>3746</v>
      </c>
      <c r="BB250" s="96">
        <f t="shared" si="14"/>
        <v>0</v>
      </c>
      <c r="BC250" s="104">
        <f t="shared" si="15"/>
        <v>25912</v>
      </c>
    </row>
    <row r="251" spans="1:55">
      <c r="A251" s="102" t="s">
        <v>354</v>
      </c>
      <c r="B251" s="24" t="s">
        <v>653</v>
      </c>
      <c r="C251" s="103" t="s">
        <v>343</v>
      </c>
      <c r="D251" s="104">
        <v>0</v>
      </c>
      <c r="E251" s="104">
        <v>207481</v>
      </c>
      <c r="F251" s="104">
        <v>7171</v>
      </c>
      <c r="G251" s="104">
        <v>0</v>
      </c>
      <c r="H251" s="104">
        <v>0</v>
      </c>
      <c r="I251" s="104">
        <v>0</v>
      </c>
      <c r="J251" s="104">
        <v>0</v>
      </c>
      <c r="K251" s="104">
        <v>37401</v>
      </c>
      <c r="L251" s="104">
        <v>1345</v>
      </c>
      <c r="M251" s="104">
        <v>0</v>
      </c>
      <c r="N251" s="104">
        <v>0</v>
      </c>
      <c r="O251" s="104">
        <v>0</v>
      </c>
      <c r="P251" s="104">
        <v>0</v>
      </c>
      <c r="Q251" s="104">
        <v>0</v>
      </c>
      <c r="R251" s="104">
        <v>0</v>
      </c>
      <c r="S251" s="104">
        <v>0</v>
      </c>
      <c r="T251" s="104">
        <v>0</v>
      </c>
      <c r="U251" s="104">
        <v>0</v>
      </c>
      <c r="V251" s="104">
        <v>0</v>
      </c>
      <c r="W251" s="104">
        <v>0</v>
      </c>
      <c r="X251" s="104">
        <v>36639</v>
      </c>
      <c r="Y251" s="104">
        <v>1619</v>
      </c>
      <c r="Z251" s="104">
        <v>0</v>
      </c>
      <c r="AA251" s="104">
        <v>0</v>
      </c>
      <c r="AB251" s="104">
        <v>0</v>
      </c>
      <c r="AC251" s="104">
        <v>0</v>
      </c>
      <c r="AD251" s="104">
        <v>0</v>
      </c>
      <c r="AE251" s="104">
        <v>0</v>
      </c>
      <c r="AF251" s="104">
        <v>0</v>
      </c>
      <c r="AG251" s="104">
        <v>0</v>
      </c>
      <c r="AH251" s="104">
        <v>8</v>
      </c>
      <c r="AI251" s="104">
        <v>0</v>
      </c>
      <c r="AJ251" s="104">
        <v>0</v>
      </c>
      <c r="AK251" s="104">
        <v>0</v>
      </c>
      <c r="AL251" s="104">
        <v>0</v>
      </c>
      <c r="AM251" s="104">
        <v>0</v>
      </c>
      <c r="AN251" s="104">
        <v>0</v>
      </c>
      <c r="AO251" s="104">
        <v>0</v>
      </c>
      <c r="AP251" s="104">
        <v>0</v>
      </c>
      <c r="AQ251" s="104">
        <v>0</v>
      </c>
      <c r="AR251" s="104">
        <v>0</v>
      </c>
      <c r="AS251" s="104">
        <v>37029</v>
      </c>
      <c r="AT251" s="104">
        <v>1330</v>
      </c>
      <c r="AU251" s="104">
        <v>0</v>
      </c>
      <c r="AV251" s="104">
        <v>8349</v>
      </c>
      <c r="AW251" s="104">
        <v>279</v>
      </c>
      <c r="AX251" s="104">
        <v>0</v>
      </c>
      <c r="AZ251" s="104">
        <f t="shared" si="12"/>
        <v>281521</v>
      </c>
      <c r="BA251" s="104">
        <f t="shared" si="13"/>
        <v>10135</v>
      </c>
      <c r="BB251" s="96">
        <f t="shared" si="14"/>
        <v>0</v>
      </c>
      <c r="BC251" s="104">
        <f t="shared" si="15"/>
        <v>0</v>
      </c>
    </row>
    <row r="252" spans="1:55">
      <c r="A252" s="102" t="s">
        <v>355</v>
      </c>
      <c r="B252" s="24" t="s">
        <v>654</v>
      </c>
      <c r="C252" s="103" t="s">
        <v>343</v>
      </c>
      <c r="D252" s="104">
        <v>0</v>
      </c>
      <c r="E252" s="104">
        <v>29798</v>
      </c>
      <c r="F252" s="104">
        <v>264</v>
      </c>
      <c r="G252" s="104">
        <v>0</v>
      </c>
      <c r="H252" s="104">
        <v>0</v>
      </c>
      <c r="I252" s="104">
        <v>0</v>
      </c>
      <c r="J252" s="104">
        <v>0</v>
      </c>
      <c r="K252" s="104">
        <v>0</v>
      </c>
      <c r="L252" s="104">
        <v>0</v>
      </c>
      <c r="M252" s="104">
        <v>0</v>
      </c>
      <c r="N252" s="104">
        <v>0</v>
      </c>
      <c r="O252" s="104">
        <v>0</v>
      </c>
      <c r="P252" s="104">
        <v>0</v>
      </c>
      <c r="Q252" s="104">
        <v>0</v>
      </c>
      <c r="R252" s="104">
        <v>0</v>
      </c>
      <c r="S252" s="104">
        <v>0</v>
      </c>
      <c r="T252" s="104">
        <v>0</v>
      </c>
      <c r="U252" s="104">
        <v>0</v>
      </c>
      <c r="V252" s="104">
        <v>0</v>
      </c>
      <c r="W252" s="104">
        <v>0</v>
      </c>
      <c r="X252" s="104">
        <v>27182</v>
      </c>
      <c r="Y252" s="104">
        <v>285</v>
      </c>
      <c r="Z252" s="104">
        <v>0</v>
      </c>
      <c r="AA252" s="104">
        <v>0</v>
      </c>
      <c r="AB252" s="104">
        <v>0</v>
      </c>
      <c r="AC252" s="104">
        <v>0</v>
      </c>
      <c r="AD252" s="104">
        <v>0</v>
      </c>
      <c r="AE252" s="104">
        <v>0</v>
      </c>
      <c r="AF252" s="104">
        <v>0</v>
      </c>
      <c r="AG252" s="104">
        <v>0</v>
      </c>
      <c r="AH252" s="104">
        <v>0</v>
      </c>
      <c r="AI252" s="104">
        <v>0</v>
      </c>
      <c r="AJ252" s="104">
        <v>0</v>
      </c>
      <c r="AK252" s="104">
        <v>0</v>
      </c>
      <c r="AL252" s="104">
        <v>0</v>
      </c>
      <c r="AM252" s="104">
        <v>0</v>
      </c>
      <c r="AN252" s="104">
        <v>0</v>
      </c>
      <c r="AO252" s="104">
        <v>0</v>
      </c>
      <c r="AP252" s="104">
        <v>0</v>
      </c>
      <c r="AQ252" s="104">
        <v>0</v>
      </c>
      <c r="AR252" s="104">
        <v>0</v>
      </c>
      <c r="AS252" s="104">
        <v>4664</v>
      </c>
      <c r="AT252" s="104">
        <v>49</v>
      </c>
      <c r="AU252" s="104">
        <v>0</v>
      </c>
      <c r="AV252" s="104">
        <v>127</v>
      </c>
      <c r="AW252" s="104">
        <v>1</v>
      </c>
      <c r="AX252" s="104">
        <v>0</v>
      </c>
      <c r="AZ252" s="104">
        <f t="shared" si="12"/>
        <v>56980</v>
      </c>
      <c r="BA252" s="104">
        <f t="shared" si="13"/>
        <v>549</v>
      </c>
      <c r="BB252" s="96">
        <f t="shared" si="14"/>
        <v>0</v>
      </c>
      <c r="BC252" s="104">
        <f t="shared" si="15"/>
        <v>0</v>
      </c>
    </row>
    <row r="253" spans="1:55">
      <c r="A253" s="102" t="s">
        <v>356</v>
      </c>
      <c r="B253" s="24" t="s">
        <v>655</v>
      </c>
      <c r="C253" s="103" t="s">
        <v>301</v>
      </c>
      <c r="D253" s="104">
        <v>0</v>
      </c>
      <c r="E253" s="104">
        <v>31567</v>
      </c>
      <c r="F253" s="104">
        <v>1554</v>
      </c>
      <c r="G253" s="104">
        <v>0</v>
      </c>
      <c r="H253" s="104">
        <v>0</v>
      </c>
      <c r="I253" s="104">
        <v>0</v>
      </c>
      <c r="J253" s="104">
        <v>0</v>
      </c>
      <c r="K253" s="104">
        <v>0</v>
      </c>
      <c r="L253" s="104">
        <v>0</v>
      </c>
      <c r="M253" s="104">
        <v>0</v>
      </c>
      <c r="N253" s="104">
        <v>0</v>
      </c>
      <c r="O253" s="104">
        <v>0</v>
      </c>
      <c r="P253" s="104">
        <v>0</v>
      </c>
      <c r="Q253" s="104">
        <v>0</v>
      </c>
      <c r="R253" s="104">
        <v>0</v>
      </c>
      <c r="S253" s="104">
        <v>0</v>
      </c>
      <c r="T253" s="104">
        <v>0</v>
      </c>
      <c r="U253" s="104">
        <v>0</v>
      </c>
      <c r="V253" s="104">
        <v>0</v>
      </c>
      <c r="W253" s="104">
        <v>0</v>
      </c>
      <c r="X253" s="104">
        <v>41662</v>
      </c>
      <c r="Y253" s="104">
        <v>2219</v>
      </c>
      <c r="Z253" s="104">
        <v>0</v>
      </c>
      <c r="AA253" s="104">
        <v>0</v>
      </c>
      <c r="AB253" s="104">
        <v>0</v>
      </c>
      <c r="AC253" s="104">
        <v>0</v>
      </c>
      <c r="AD253" s="104">
        <v>0</v>
      </c>
      <c r="AE253" s="104">
        <v>0</v>
      </c>
      <c r="AF253" s="104">
        <v>0</v>
      </c>
      <c r="AG253" s="104">
        <v>0</v>
      </c>
      <c r="AH253" s="104">
        <v>0</v>
      </c>
      <c r="AI253" s="104">
        <v>0</v>
      </c>
      <c r="AJ253" s="104">
        <v>0</v>
      </c>
      <c r="AK253" s="104">
        <v>0</v>
      </c>
      <c r="AL253" s="104">
        <v>0</v>
      </c>
      <c r="AM253" s="104">
        <v>0</v>
      </c>
      <c r="AN253" s="104">
        <v>0</v>
      </c>
      <c r="AO253" s="104">
        <v>0</v>
      </c>
      <c r="AP253" s="104">
        <v>0</v>
      </c>
      <c r="AQ253" s="104">
        <v>0</v>
      </c>
      <c r="AR253" s="104">
        <v>0</v>
      </c>
      <c r="AS253" s="104">
        <v>1770</v>
      </c>
      <c r="AT253" s="104">
        <v>96</v>
      </c>
      <c r="AU253" s="104">
        <v>0</v>
      </c>
      <c r="AV253" s="104">
        <v>0</v>
      </c>
      <c r="AW253" s="104">
        <v>0</v>
      </c>
      <c r="AX253" s="104">
        <v>0</v>
      </c>
      <c r="AZ253" s="104">
        <f t="shared" si="12"/>
        <v>73229</v>
      </c>
      <c r="BA253" s="104">
        <f t="shared" si="13"/>
        <v>3773</v>
      </c>
      <c r="BB253" s="96">
        <f t="shared" si="14"/>
        <v>0</v>
      </c>
      <c r="BC253" s="104">
        <f t="shared" si="15"/>
        <v>0</v>
      </c>
    </row>
    <row r="254" spans="1:55">
      <c r="A254" s="102" t="s">
        <v>357</v>
      </c>
      <c r="B254" s="24" t="s">
        <v>656</v>
      </c>
      <c r="C254" s="103" t="s">
        <v>45</v>
      </c>
      <c r="D254" s="104">
        <v>0</v>
      </c>
      <c r="E254" s="104">
        <v>93542</v>
      </c>
      <c r="F254" s="104">
        <v>8057</v>
      </c>
      <c r="G254" s="104">
        <v>0</v>
      </c>
      <c r="H254" s="104">
        <v>0</v>
      </c>
      <c r="I254" s="104">
        <v>0</v>
      </c>
      <c r="J254" s="104">
        <v>0</v>
      </c>
      <c r="K254" s="104">
        <v>28270</v>
      </c>
      <c r="L254" s="104">
        <v>2534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X254" s="104">
        <v>42389</v>
      </c>
      <c r="Y254" s="104">
        <v>2694</v>
      </c>
      <c r="Z254" s="104">
        <v>0</v>
      </c>
      <c r="AA254" s="104">
        <v>0</v>
      </c>
      <c r="AB254" s="104">
        <v>0</v>
      </c>
      <c r="AC254" s="104">
        <v>0</v>
      </c>
      <c r="AD254" s="104">
        <v>0</v>
      </c>
      <c r="AE254" s="104">
        <v>0</v>
      </c>
      <c r="AF254" s="104">
        <v>0</v>
      </c>
      <c r="AG254" s="104">
        <v>0</v>
      </c>
      <c r="AH254" s="104">
        <v>0</v>
      </c>
      <c r="AI254" s="104">
        <v>0</v>
      </c>
      <c r="AJ254" s="104">
        <v>0</v>
      </c>
      <c r="AK254" s="104">
        <v>0</v>
      </c>
      <c r="AL254" s="104">
        <v>0</v>
      </c>
      <c r="AM254" s="104">
        <v>0</v>
      </c>
      <c r="AN254" s="104">
        <v>0</v>
      </c>
      <c r="AO254" s="104">
        <v>0</v>
      </c>
      <c r="AP254" s="104">
        <v>0</v>
      </c>
      <c r="AQ254" s="104">
        <v>0</v>
      </c>
      <c r="AR254" s="104">
        <v>0</v>
      </c>
      <c r="AS254" s="104">
        <v>0</v>
      </c>
      <c r="AT254" s="104">
        <v>0</v>
      </c>
      <c r="AU254" s="104">
        <v>0</v>
      </c>
      <c r="AV254" s="104">
        <v>0</v>
      </c>
      <c r="AW254" s="104">
        <v>0</v>
      </c>
      <c r="AX254" s="104">
        <v>0</v>
      </c>
      <c r="AZ254" s="104">
        <f t="shared" si="12"/>
        <v>164201</v>
      </c>
      <c r="BA254" s="104">
        <f t="shared" si="13"/>
        <v>13285</v>
      </c>
      <c r="BB254" s="96">
        <f t="shared" si="14"/>
        <v>0</v>
      </c>
      <c r="BC254" s="104">
        <f t="shared" si="15"/>
        <v>0</v>
      </c>
    </row>
    <row r="255" spans="1:55">
      <c r="A255" s="102" t="s">
        <v>358</v>
      </c>
      <c r="B255" s="24" t="s">
        <v>657</v>
      </c>
      <c r="C255" s="103" t="s">
        <v>219</v>
      </c>
      <c r="D255" s="104">
        <v>0</v>
      </c>
      <c r="E255" s="104">
        <v>496493</v>
      </c>
      <c r="F255" s="104">
        <v>8449</v>
      </c>
      <c r="G255" s="104">
        <v>0</v>
      </c>
      <c r="H255" s="104">
        <v>0</v>
      </c>
      <c r="I255" s="104">
        <v>0</v>
      </c>
      <c r="J255" s="104">
        <v>0</v>
      </c>
      <c r="K255" s="104">
        <v>100398</v>
      </c>
      <c r="L255" s="104">
        <v>1708</v>
      </c>
      <c r="M255" s="104">
        <v>149</v>
      </c>
      <c r="N255" s="104">
        <v>0</v>
      </c>
      <c r="O255" s="104">
        <v>0</v>
      </c>
      <c r="P255" s="104">
        <v>0</v>
      </c>
      <c r="Q255" s="104">
        <v>0</v>
      </c>
      <c r="R255" s="104">
        <v>0</v>
      </c>
      <c r="S255" s="104">
        <v>0</v>
      </c>
      <c r="T255" s="104">
        <v>0</v>
      </c>
      <c r="U255" s="104">
        <v>0</v>
      </c>
      <c r="V255" s="104">
        <v>0</v>
      </c>
      <c r="W255" s="104">
        <v>0</v>
      </c>
      <c r="X255" s="104">
        <v>169664</v>
      </c>
      <c r="Y255" s="104">
        <v>2937</v>
      </c>
      <c r="Z255" s="104">
        <v>0</v>
      </c>
      <c r="AA255" s="104">
        <v>0</v>
      </c>
      <c r="AB255" s="104">
        <v>0</v>
      </c>
      <c r="AC255" s="104">
        <v>0</v>
      </c>
      <c r="AD255" s="104">
        <v>0</v>
      </c>
      <c r="AE255" s="104">
        <v>0</v>
      </c>
      <c r="AF255" s="104">
        <v>0</v>
      </c>
      <c r="AG255" s="104">
        <v>0</v>
      </c>
      <c r="AH255" s="104">
        <v>0</v>
      </c>
      <c r="AI255" s="104">
        <v>0</v>
      </c>
      <c r="AJ255" s="104">
        <v>0</v>
      </c>
      <c r="AK255" s="104">
        <v>0</v>
      </c>
      <c r="AL255" s="104">
        <v>0</v>
      </c>
      <c r="AM255" s="104">
        <v>0</v>
      </c>
      <c r="AN255" s="104">
        <v>0</v>
      </c>
      <c r="AO255" s="104">
        <v>0</v>
      </c>
      <c r="AP255" s="104">
        <v>0</v>
      </c>
      <c r="AQ255" s="104">
        <v>0</v>
      </c>
      <c r="AR255" s="104">
        <v>0</v>
      </c>
      <c r="AS255" s="104">
        <v>0</v>
      </c>
      <c r="AT255" s="104">
        <v>0</v>
      </c>
      <c r="AU255" s="104">
        <v>0</v>
      </c>
      <c r="AV255" s="104">
        <v>0</v>
      </c>
      <c r="AW255" s="104">
        <v>0</v>
      </c>
      <c r="AX255" s="104">
        <v>0</v>
      </c>
      <c r="AZ255" s="104">
        <f t="shared" si="12"/>
        <v>766555</v>
      </c>
      <c r="BA255" s="104">
        <f t="shared" si="13"/>
        <v>13094</v>
      </c>
      <c r="BB255" s="96">
        <f t="shared" si="14"/>
        <v>149</v>
      </c>
      <c r="BC255" s="104">
        <f t="shared" si="15"/>
        <v>0</v>
      </c>
    </row>
    <row r="256" spans="1:55">
      <c r="A256" s="102" t="s">
        <v>359</v>
      </c>
      <c r="B256" s="24" t="s">
        <v>360</v>
      </c>
      <c r="C256" s="103" t="s">
        <v>349</v>
      </c>
      <c r="D256" s="104">
        <v>0</v>
      </c>
      <c r="E256" s="104">
        <v>12113</v>
      </c>
      <c r="F256" s="104">
        <v>117</v>
      </c>
      <c r="G256" s="104">
        <v>0</v>
      </c>
      <c r="H256" s="104">
        <v>0</v>
      </c>
      <c r="I256" s="104">
        <v>0</v>
      </c>
      <c r="J256" s="104">
        <v>0</v>
      </c>
      <c r="K256" s="104">
        <v>0</v>
      </c>
      <c r="L256" s="104">
        <v>0</v>
      </c>
      <c r="M256" s="104">
        <v>0</v>
      </c>
      <c r="N256" s="104">
        <v>0</v>
      </c>
      <c r="O256" s="104">
        <v>0</v>
      </c>
      <c r="P256" s="104">
        <v>0</v>
      </c>
      <c r="Q256" s="104">
        <v>0</v>
      </c>
      <c r="R256" s="104">
        <v>0</v>
      </c>
      <c r="S256" s="104">
        <v>0</v>
      </c>
      <c r="T256" s="104">
        <v>0</v>
      </c>
      <c r="U256" s="104">
        <v>0</v>
      </c>
      <c r="V256" s="104">
        <v>0</v>
      </c>
      <c r="W256" s="104">
        <v>0</v>
      </c>
      <c r="X256" s="104">
        <v>0</v>
      </c>
      <c r="Y256" s="104">
        <v>0</v>
      </c>
      <c r="Z256" s="104">
        <v>0</v>
      </c>
      <c r="AA256" s="104">
        <v>0</v>
      </c>
      <c r="AB256" s="104">
        <v>0</v>
      </c>
      <c r="AC256" s="104">
        <v>0</v>
      </c>
      <c r="AD256" s="104">
        <v>0</v>
      </c>
      <c r="AE256" s="104">
        <v>0</v>
      </c>
      <c r="AF256" s="104">
        <v>0</v>
      </c>
      <c r="AG256" s="104">
        <v>0</v>
      </c>
      <c r="AH256" s="104">
        <v>0</v>
      </c>
      <c r="AI256" s="104">
        <v>0</v>
      </c>
      <c r="AJ256" s="104">
        <v>0</v>
      </c>
      <c r="AK256" s="104">
        <v>0</v>
      </c>
      <c r="AL256" s="104">
        <v>0</v>
      </c>
      <c r="AM256" s="104">
        <v>0</v>
      </c>
      <c r="AN256" s="104">
        <v>0</v>
      </c>
      <c r="AO256" s="104">
        <v>0</v>
      </c>
      <c r="AP256" s="104">
        <v>0</v>
      </c>
      <c r="AQ256" s="104">
        <v>0</v>
      </c>
      <c r="AR256" s="104">
        <v>0</v>
      </c>
      <c r="AS256" s="104">
        <v>0</v>
      </c>
      <c r="AT256" s="104">
        <v>0</v>
      </c>
      <c r="AU256" s="104">
        <v>0</v>
      </c>
      <c r="AV256" s="104">
        <v>0</v>
      </c>
      <c r="AW256" s="104">
        <v>0</v>
      </c>
      <c r="AX256" s="104">
        <v>0</v>
      </c>
      <c r="AZ256" s="104">
        <f t="shared" si="12"/>
        <v>12113</v>
      </c>
      <c r="BA256" s="104">
        <f t="shared" si="13"/>
        <v>117</v>
      </c>
      <c r="BB256" s="96">
        <f t="shared" si="14"/>
        <v>0</v>
      </c>
      <c r="BC256" s="104">
        <f t="shared" si="15"/>
        <v>0</v>
      </c>
    </row>
    <row r="257" spans="1:55">
      <c r="A257" s="102" t="s">
        <v>361</v>
      </c>
      <c r="B257" s="24" t="s">
        <v>658</v>
      </c>
      <c r="C257" s="103" t="s">
        <v>362</v>
      </c>
      <c r="D257" s="104">
        <v>0</v>
      </c>
      <c r="E257" s="104">
        <v>9481</v>
      </c>
      <c r="F257" s="104">
        <v>232</v>
      </c>
      <c r="G257" s="104">
        <v>0</v>
      </c>
      <c r="H257" s="104">
        <v>0</v>
      </c>
      <c r="I257" s="104">
        <v>0</v>
      </c>
      <c r="J257" s="104">
        <v>0</v>
      </c>
      <c r="K257" s="104">
        <v>12029</v>
      </c>
      <c r="L257" s="104">
        <v>296</v>
      </c>
      <c r="M257" s="104">
        <v>0</v>
      </c>
      <c r="N257" s="104">
        <v>0</v>
      </c>
      <c r="O257" s="104">
        <v>0</v>
      </c>
      <c r="P257" s="104">
        <v>0</v>
      </c>
      <c r="Q257" s="104">
        <v>0</v>
      </c>
      <c r="R257" s="104">
        <v>0</v>
      </c>
      <c r="S257" s="104">
        <v>0</v>
      </c>
      <c r="T257" s="104">
        <v>0</v>
      </c>
      <c r="U257" s="104">
        <v>0</v>
      </c>
      <c r="V257" s="104">
        <v>0</v>
      </c>
      <c r="W257" s="104">
        <v>0</v>
      </c>
      <c r="X257" s="104">
        <v>0</v>
      </c>
      <c r="Y257" s="104">
        <v>0</v>
      </c>
      <c r="Z257" s="104">
        <v>0</v>
      </c>
      <c r="AA257" s="104">
        <v>0</v>
      </c>
      <c r="AB257" s="104">
        <v>0</v>
      </c>
      <c r="AC257" s="104">
        <v>0</v>
      </c>
      <c r="AD257" s="104">
        <v>0</v>
      </c>
      <c r="AE257" s="104">
        <v>0</v>
      </c>
      <c r="AF257" s="104">
        <v>0</v>
      </c>
      <c r="AG257" s="104">
        <v>0</v>
      </c>
      <c r="AH257" s="104">
        <v>0</v>
      </c>
      <c r="AI257" s="104">
        <v>0</v>
      </c>
      <c r="AJ257" s="104">
        <v>0</v>
      </c>
      <c r="AK257" s="104">
        <v>0</v>
      </c>
      <c r="AL257" s="104">
        <v>0</v>
      </c>
      <c r="AM257" s="104">
        <v>0</v>
      </c>
      <c r="AN257" s="104">
        <v>0</v>
      </c>
      <c r="AO257" s="104">
        <v>0</v>
      </c>
      <c r="AP257" s="104">
        <v>0</v>
      </c>
      <c r="AQ257" s="104">
        <v>0</v>
      </c>
      <c r="AR257" s="104">
        <v>0</v>
      </c>
      <c r="AS257" s="104">
        <v>4862</v>
      </c>
      <c r="AT257" s="104">
        <v>119</v>
      </c>
      <c r="AU257" s="104">
        <v>0</v>
      </c>
      <c r="AV257" s="104">
        <v>587</v>
      </c>
      <c r="AW257" s="104">
        <v>14</v>
      </c>
      <c r="AX257" s="104">
        <v>0</v>
      </c>
      <c r="AZ257" s="104">
        <f t="shared" si="12"/>
        <v>21510</v>
      </c>
      <c r="BA257" s="104">
        <f t="shared" si="13"/>
        <v>528</v>
      </c>
      <c r="BB257" s="96">
        <f t="shared" si="14"/>
        <v>0</v>
      </c>
      <c r="BC257" s="104">
        <f t="shared" si="15"/>
        <v>0</v>
      </c>
    </row>
    <row r="258" spans="1:55">
      <c r="A258" s="102" t="s">
        <v>363</v>
      </c>
      <c r="B258" s="24" t="s">
        <v>45</v>
      </c>
      <c r="C258" s="103" t="s">
        <v>45</v>
      </c>
      <c r="D258" s="104">
        <v>11409</v>
      </c>
      <c r="E258" s="104">
        <v>383896</v>
      </c>
      <c r="F258" s="104">
        <v>3238</v>
      </c>
      <c r="G258" s="104">
        <v>1570</v>
      </c>
      <c r="H258" s="104">
        <v>0</v>
      </c>
      <c r="I258" s="104">
        <v>0</v>
      </c>
      <c r="J258" s="104">
        <v>0</v>
      </c>
      <c r="K258" s="104">
        <v>84338</v>
      </c>
      <c r="L258" s="104">
        <v>709</v>
      </c>
      <c r="M258" s="104">
        <v>0</v>
      </c>
      <c r="N258" s="104">
        <v>870</v>
      </c>
      <c r="O258" s="104">
        <v>0</v>
      </c>
      <c r="P258" s="104">
        <v>0</v>
      </c>
      <c r="Q258" s="104">
        <v>0</v>
      </c>
      <c r="R258" s="104">
        <v>0</v>
      </c>
      <c r="S258" s="104">
        <v>0</v>
      </c>
      <c r="T258" s="104">
        <v>0</v>
      </c>
      <c r="U258" s="104">
        <v>0</v>
      </c>
      <c r="V258" s="104">
        <v>0</v>
      </c>
      <c r="W258" s="104">
        <v>0</v>
      </c>
      <c r="X258" s="104">
        <v>155910</v>
      </c>
      <c r="Y258" s="104">
        <v>1316</v>
      </c>
      <c r="Z258" s="104">
        <v>842</v>
      </c>
      <c r="AA258" s="104">
        <v>0</v>
      </c>
      <c r="AB258" s="104">
        <v>0</v>
      </c>
      <c r="AC258" s="104">
        <v>0</v>
      </c>
      <c r="AD258" s="104">
        <v>0</v>
      </c>
      <c r="AE258" s="104">
        <v>0</v>
      </c>
      <c r="AF258" s="104">
        <v>0</v>
      </c>
      <c r="AG258" s="104">
        <v>24003</v>
      </c>
      <c r="AH258" s="104">
        <v>200</v>
      </c>
      <c r="AI258" s="104">
        <v>106</v>
      </c>
      <c r="AJ258" s="104">
        <v>0</v>
      </c>
      <c r="AK258" s="104">
        <v>0</v>
      </c>
      <c r="AL258" s="104">
        <v>0</v>
      </c>
      <c r="AM258" s="104">
        <v>0</v>
      </c>
      <c r="AN258" s="104">
        <v>0</v>
      </c>
      <c r="AO258" s="104">
        <v>0</v>
      </c>
      <c r="AP258" s="104">
        <v>0</v>
      </c>
      <c r="AQ258" s="104">
        <v>0</v>
      </c>
      <c r="AR258" s="104">
        <v>0</v>
      </c>
      <c r="AS258" s="104">
        <v>0</v>
      </c>
      <c r="AT258" s="104">
        <v>0</v>
      </c>
      <c r="AU258" s="104">
        <v>0</v>
      </c>
      <c r="AV258" s="104">
        <v>0</v>
      </c>
      <c r="AW258" s="104">
        <v>0</v>
      </c>
      <c r="AX258" s="104">
        <v>0</v>
      </c>
      <c r="AZ258" s="104">
        <f t="shared" si="12"/>
        <v>624144</v>
      </c>
      <c r="BA258" s="104">
        <f t="shared" si="13"/>
        <v>5263</v>
      </c>
      <c r="BB258" s="96">
        <f t="shared" si="14"/>
        <v>0</v>
      </c>
      <c r="BC258" s="104">
        <f t="shared" si="15"/>
        <v>14691</v>
      </c>
    </row>
    <row r="259" spans="1:55">
      <c r="A259" s="102" t="s">
        <v>364</v>
      </c>
      <c r="B259" s="24" t="s">
        <v>659</v>
      </c>
      <c r="C259" s="103" t="s">
        <v>325</v>
      </c>
      <c r="D259" s="104">
        <v>0</v>
      </c>
      <c r="E259" s="104">
        <v>11858</v>
      </c>
      <c r="F259" s="104">
        <v>419</v>
      </c>
      <c r="G259" s="104">
        <v>0</v>
      </c>
      <c r="H259" s="104">
        <v>0</v>
      </c>
      <c r="I259" s="104">
        <v>0</v>
      </c>
      <c r="J259" s="104">
        <v>0</v>
      </c>
      <c r="K259" s="104">
        <v>5319</v>
      </c>
      <c r="L259" s="104">
        <v>188</v>
      </c>
      <c r="M259" s="104">
        <v>0</v>
      </c>
      <c r="N259" s="104">
        <v>0</v>
      </c>
      <c r="O259" s="104">
        <v>0</v>
      </c>
      <c r="P259" s="104">
        <v>0</v>
      </c>
      <c r="Q259" s="104">
        <v>0</v>
      </c>
      <c r="R259" s="104">
        <v>0</v>
      </c>
      <c r="S259" s="104">
        <v>0</v>
      </c>
      <c r="T259" s="104">
        <v>0</v>
      </c>
      <c r="U259" s="104">
        <v>0</v>
      </c>
      <c r="V259" s="104">
        <v>0</v>
      </c>
      <c r="W259" s="104">
        <v>0</v>
      </c>
      <c r="X259" s="104">
        <v>29539</v>
      </c>
      <c r="Y259" s="104">
        <v>1043</v>
      </c>
      <c r="Z259" s="104">
        <v>0</v>
      </c>
      <c r="AA259" s="104">
        <v>0</v>
      </c>
      <c r="AB259" s="104">
        <v>0</v>
      </c>
      <c r="AC259" s="104">
        <v>0</v>
      </c>
      <c r="AD259" s="104">
        <v>0</v>
      </c>
      <c r="AE259" s="104">
        <v>0</v>
      </c>
      <c r="AF259" s="104">
        <v>0</v>
      </c>
      <c r="AG259" s="104">
        <v>0</v>
      </c>
      <c r="AH259" s="104">
        <v>0</v>
      </c>
      <c r="AI259" s="104">
        <v>0</v>
      </c>
      <c r="AJ259" s="104">
        <v>0</v>
      </c>
      <c r="AK259" s="104">
        <v>0</v>
      </c>
      <c r="AL259" s="104">
        <v>0</v>
      </c>
      <c r="AM259" s="104">
        <v>0</v>
      </c>
      <c r="AN259" s="104">
        <v>0</v>
      </c>
      <c r="AO259" s="104">
        <v>0</v>
      </c>
      <c r="AP259" s="104">
        <v>0</v>
      </c>
      <c r="AQ259" s="104">
        <v>0</v>
      </c>
      <c r="AR259" s="104">
        <v>0</v>
      </c>
      <c r="AS259" s="104">
        <v>3039</v>
      </c>
      <c r="AT259" s="104">
        <v>107</v>
      </c>
      <c r="AU259" s="104">
        <v>0</v>
      </c>
      <c r="AV259" s="104">
        <v>0</v>
      </c>
      <c r="AW259" s="104">
        <v>0</v>
      </c>
      <c r="AX259" s="104">
        <v>0</v>
      </c>
      <c r="AZ259" s="104">
        <f t="shared" si="12"/>
        <v>46716</v>
      </c>
      <c r="BA259" s="104">
        <f t="shared" si="13"/>
        <v>1650</v>
      </c>
      <c r="BB259" s="96">
        <f t="shared" si="14"/>
        <v>0</v>
      </c>
      <c r="BC259" s="104">
        <f t="shared" si="15"/>
        <v>0</v>
      </c>
    </row>
    <row r="260" spans="1:55">
      <c r="A260" s="102" t="s">
        <v>365</v>
      </c>
      <c r="B260" s="25" t="s">
        <v>660</v>
      </c>
      <c r="C260" s="103" t="s">
        <v>30</v>
      </c>
      <c r="D260" s="104">
        <v>0</v>
      </c>
      <c r="E260" s="104">
        <v>6386</v>
      </c>
      <c r="F260" s="104">
        <v>1550</v>
      </c>
      <c r="G260" s="104">
        <v>0</v>
      </c>
      <c r="H260" s="104">
        <v>0</v>
      </c>
      <c r="I260" s="104">
        <v>0</v>
      </c>
      <c r="J260" s="104">
        <v>0</v>
      </c>
      <c r="K260" s="104">
        <v>0</v>
      </c>
      <c r="L260" s="104">
        <v>0</v>
      </c>
      <c r="M260" s="104">
        <v>0</v>
      </c>
      <c r="N260" s="104">
        <v>0</v>
      </c>
      <c r="O260" s="104">
        <v>0</v>
      </c>
      <c r="P260" s="104">
        <v>0</v>
      </c>
      <c r="Q260" s="104">
        <v>0</v>
      </c>
      <c r="R260" s="104">
        <v>0</v>
      </c>
      <c r="S260" s="104">
        <v>0</v>
      </c>
      <c r="T260" s="104">
        <v>0</v>
      </c>
      <c r="U260" s="104">
        <v>0</v>
      </c>
      <c r="V260" s="104">
        <v>0</v>
      </c>
      <c r="W260" s="104">
        <v>0</v>
      </c>
      <c r="X260" s="104">
        <v>5461</v>
      </c>
      <c r="Y260" s="104">
        <v>120</v>
      </c>
      <c r="Z260" s="104">
        <v>0</v>
      </c>
      <c r="AA260" s="104">
        <v>0</v>
      </c>
      <c r="AB260" s="104">
        <v>0</v>
      </c>
      <c r="AC260" s="104">
        <v>0</v>
      </c>
      <c r="AD260" s="104">
        <v>0</v>
      </c>
      <c r="AE260" s="104">
        <v>0</v>
      </c>
      <c r="AF260" s="104">
        <v>0</v>
      </c>
      <c r="AG260" s="104">
        <v>0</v>
      </c>
      <c r="AH260" s="104">
        <v>0</v>
      </c>
      <c r="AI260" s="104">
        <v>0</v>
      </c>
      <c r="AJ260" s="104">
        <v>0</v>
      </c>
      <c r="AK260" s="104">
        <v>0</v>
      </c>
      <c r="AL260" s="104">
        <v>0</v>
      </c>
      <c r="AM260" s="104">
        <v>0</v>
      </c>
      <c r="AN260" s="104">
        <v>0</v>
      </c>
      <c r="AO260" s="104">
        <v>0</v>
      </c>
      <c r="AP260" s="104">
        <v>0</v>
      </c>
      <c r="AQ260" s="104">
        <v>0</v>
      </c>
      <c r="AR260" s="104">
        <v>0</v>
      </c>
      <c r="AS260" s="104">
        <v>0</v>
      </c>
      <c r="AT260" s="104">
        <v>0</v>
      </c>
      <c r="AU260" s="104">
        <v>0</v>
      </c>
      <c r="AV260" s="104">
        <v>0</v>
      </c>
      <c r="AW260" s="104">
        <v>0</v>
      </c>
      <c r="AX260" s="104">
        <v>0</v>
      </c>
      <c r="AZ260" s="104">
        <f t="shared" si="12"/>
        <v>11847</v>
      </c>
      <c r="BA260" s="104">
        <f t="shared" si="13"/>
        <v>1670</v>
      </c>
      <c r="BB260" s="96">
        <f t="shared" si="14"/>
        <v>0</v>
      </c>
      <c r="BC260" s="104">
        <f t="shared" si="15"/>
        <v>0</v>
      </c>
    </row>
    <row r="261" spans="1:55">
      <c r="A261" s="102" t="s">
        <v>366</v>
      </c>
      <c r="B261" s="24" t="s">
        <v>661</v>
      </c>
      <c r="C261" s="103" t="s">
        <v>325</v>
      </c>
      <c r="D261" s="104">
        <v>0</v>
      </c>
      <c r="E261" s="104">
        <v>22982</v>
      </c>
      <c r="F261" s="104">
        <v>808</v>
      </c>
      <c r="G261" s="104">
        <v>0</v>
      </c>
      <c r="H261" s="104">
        <v>0</v>
      </c>
      <c r="I261" s="104">
        <v>0</v>
      </c>
      <c r="J261" s="104">
        <v>0</v>
      </c>
      <c r="K261" s="104">
        <v>6789</v>
      </c>
      <c r="L261" s="104">
        <v>239</v>
      </c>
      <c r="M261" s="104">
        <v>0</v>
      </c>
      <c r="N261" s="104">
        <v>0</v>
      </c>
      <c r="O261" s="104">
        <v>0</v>
      </c>
      <c r="P261" s="104">
        <v>0</v>
      </c>
      <c r="Q261" s="104">
        <v>0</v>
      </c>
      <c r="R261" s="104">
        <v>0</v>
      </c>
      <c r="S261" s="104">
        <v>0</v>
      </c>
      <c r="T261" s="104">
        <v>0</v>
      </c>
      <c r="U261" s="104">
        <v>0</v>
      </c>
      <c r="V261" s="104">
        <v>0</v>
      </c>
      <c r="W261" s="104">
        <v>0</v>
      </c>
      <c r="X261" s="104">
        <v>0</v>
      </c>
      <c r="Y261" s="104">
        <v>0</v>
      </c>
      <c r="Z261" s="104">
        <v>0</v>
      </c>
      <c r="AA261" s="104">
        <v>0</v>
      </c>
      <c r="AB261" s="104">
        <v>0</v>
      </c>
      <c r="AC261" s="104">
        <v>0</v>
      </c>
      <c r="AD261" s="104">
        <v>0</v>
      </c>
      <c r="AE261" s="104">
        <v>0</v>
      </c>
      <c r="AF261" s="104">
        <v>0</v>
      </c>
      <c r="AG261" s="104">
        <v>0</v>
      </c>
      <c r="AH261" s="104">
        <v>0</v>
      </c>
      <c r="AI261" s="104">
        <v>0</v>
      </c>
      <c r="AJ261" s="104">
        <v>0</v>
      </c>
      <c r="AK261" s="104">
        <v>0</v>
      </c>
      <c r="AL261" s="104">
        <v>0</v>
      </c>
      <c r="AM261" s="104">
        <v>0</v>
      </c>
      <c r="AN261" s="104">
        <v>0</v>
      </c>
      <c r="AO261" s="104">
        <v>0</v>
      </c>
      <c r="AP261" s="104">
        <v>0</v>
      </c>
      <c r="AQ261" s="104">
        <v>0</v>
      </c>
      <c r="AR261" s="104">
        <v>0</v>
      </c>
      <c r="AS261" s="104">
        <v>1753</v>
      </c>
      <c r="AT261" s="104">
        <v>355</v>
      </c>
      <c r="AU261" s="104">
        <v>0</v>
      </c>
      <c r="AV261" s="104">
        <v>0</v>
      </c>
      <c r="AW261" s="104">
        <v>0</v>
      </c>
      <c r="AX261" s="104">
        <v>0</v>
      </c>
      <c r="AZ261" s="104">
        <f t="shared" si="12"/>
        <v>29771</v>
      </c>
      <c r="BA261" s="104">
        <f t="shared" si="13"/>
        <v>1047</v>
      </c>
      <c r="BB261" s="96">
        <f t="shared" si="14"/>
        <v>0</v>
      </c>
      <c r="BC261" s="104">
        <f t="shared" si="15"/>
        <v>0</v>
      </c>
    </row>
    <row r="262" spans="1:55">
      <c r="A262" s="102" t="s">
        <v>367</v>
      </c>
      <c r="B262" s="24" t="s">
        <v>662</v>
      </c>
      <c r="C262" s="103" t="s">
        <v>245</v>
      </c>
      <c r="D262" s="104">
        <v>49872</v>
      </c>
      <c r="E262" s="104">
        <v>484224</v>
      </c>
      <c r="F262" s="104">
        <v>6659</v>
      </c>
      <c r="G262" s="104">
        <v>9400</v>
      </c>
      <c r="H262" s="104">
        <v>0</v>
      </c>
      <c r="I262" s="104">
        <v>0</v>
      </c>
      <c r="J262" s="104">
        <v>0</v>
      </c>
      <c r="K262" s="104">
        <v>129317</v>
      </c>
      <c r="L262" s="104">
        <v>1783</v>
      </c>
      <c r="M262" s="104">
        <v>0</v>
      </c>
      <c r="N262" s="104">
        <v>2821</v>
      </c>
      <c r="O262" s="104">
        <v>0</v>
      </c>
      <c r="P262" s="104">
        <v>0</v>
      </c>
      <c r="Q262" s="104">
        <v>0</v>
      </c>
      <c r="R262" s="104">
        <v>0</v>
      </c>
      <c r="S262" s="104">
        <v>0</v>
      </c>
      <c r="T262" s="104">
        <v>0</v>
      </c>
      <c r="U262" s="104">
        <v>0</v>
      </c>
      <c r="V262" s="104">
        <v>0</v>
      </c>
      <c r="W262" s="104">
        <v>0</v>
      </c>
      <c r="X262" s="104">
        <v>191296</v>
      </c>
      <c r="Y262" s="104">
        <v>2655</v>
      </c>
      <c r="Z262" s="104">
        <v>4507</v>
      </c>
      <c r="AA262" s="104">
        <v>0</v>
      </c>
      <c r="AB262" s="104">
        <v>0</v>
      </c>
      <c r="AC262" s="104">
        <v>0</v>
      </c>
      <c r="AD262" s="104">
        <v>0</v>
      </c>
      <c r="AE262" s="104">
        <v>0</v>
      </c>
      <c r="AF262" s="104">
        <v>0</v>
      </c>
      <c r="AG262" s="104">
        <v>0</v>
      </c>
      <c r="AH262" s="104">
        <v>0</v>
      </c>
      <c r="AI262" s="104">
        <v>0</v>
      </c>
      <c r="AJ262" s="104">
        <v>0</v>
      </c>
      <c r="AK262" s="104">
        <v>0</v>
      </c>
      <c r="AL262" s="104">
        <v>0</v>
      </c>
      <c r="AM262" s="104">
        <v>0</v>
      </c>
      <c r="AN262" s="104">
        <v>0</v>
      </c>
      <c r="AO262" s="104">
        <v>0</v>
      </c>
      <c r="AP262" s="104">
        <v>0</v>
      </c>
      <c r="AQ262" s="104">
        <v>0</v>
      </c>
      <c r="AR262" s="104">
        <v>0</v>
      </c>
      <c r="AS262" s="104">
        <v>0</v>
      </c>
      <c r="AT262" s="104">
        <v>0</v>
      </c>
      <c r="AU262" s="104">
        <v>0</v>
      </c>
      <c r="AV262" s="104">
        <v>0</v>
      </c>
      <c r="AW262" s="104">
        <v>0</v>
      </c>
      <c r="AX262" s="104">
        <v>0</v>
      </c>
      <c r="AZ262" s="104">
        <f t="shared" si="12"/>
        <v>804837</v>
      </c>
      <c r="BA262" s="104">
        <f t="shared" si="13"/>
        <v>11097</v>
      </c>
      <c r="BB262" s="96">
        <f t="shared" si="14"/>
        <v>0</v>
      </c>
      <c r="BC262" s="104">
        <f t="shared" si="15"/>
        <v>66600</v>
      </c>
    </row>
    <row r="263" spans="1:55">
      <c r="A263" s="102" t="s">
        <v>368</v>
      </c>
      <c r="B263" s="24" t="s">
        <v>663</v>
      </c>
      <c r="C263" s="103" t="s">
        <v>45</v>
      </c>
      <c r="D263" s="104">
        <v>83</v>
      </c>
      <c r="E263" s="104">
        <v>338397</v>
      </c>
      <c r="F263" s="104">
        <v>4978</v>
      </c>
      <c r="G263" s="104">
        <v>50</v>
      </c>
      <c r="H263" s="104">
        <v>0</v>
      </c>
      <c r="I263" s="104">
        <v>0</v>
      </c>
      <c r="J263" s="104">
        <v>0</v>
      </c>
      <c r="K263" s="104">
        <v>73901</v>
      </c>
      <c r="L263" s="104">
        <v>1099</v>
      </c>
      <c r="M263" s="104">
        <v>0</v>
      </c>
      <c r="N263" s="104">
        <v>16</v>
      </c>
      <c r="O263" s="104">
        <v>0</v>
      </c>
      <c r="P263" s="104">
        <v>0</v>
      </c>
      <c r="Q263" s="104">
        <v>0</v>
      </c>
      <c r="R263" s="104">
        <v>0</v>
      </c>
      <c r="S263" s="104">
        <v>0</v>
      </c>
      <c r="T263" s="104">
        <v>0</v>
      </c>
      <c r="U263" s="104">
        <v>0</v>
      </c>
      <c r="V263" s="104">
        <v>0</v>
      </c>
      <c r="W263" s="104">
        <v>0</v>
      </c>
      <c r="X263" s="104">
        <v>169737</v>
      </c>
      <c r="Y263" s="104">
        <v>2508</v>
      </c>
      <c r="Z263" s="104">
        <v>38</v>
      </c>
      <c r="AA263" s="104">
        <v>0</v>
      </c>
      <c r="AB263" s="104">
        <v>0</v>
      </c>
      <c r="AC263" s="104">
        <v>0</v>
      </c>
      <c r="AD263" s="104">
        <v>0</v>
      </c>
      <c r="AE263" s="104">
        <v>0</v>
      </c>
      <c r="AF263" s="104">
        <v>0</v>
      </c>
      <c r="AG263" s="104">
        <v>0</v>
      </c>
      <c r="AH263" s="104">
        <v>0</v>
      </c>
      <c r="AI263" s="104">
        <v>0</v>
      </c>
      <c r="AJ263" s="104">
        <v>0</v>
      </c>
      <c r="AK263" s="104">
        <v>0</v>
      </c>
      <c r="AL263" s="104">
        <v>0</v>
      </c>
      <c r="AM263" s="104">
        <v>0</v>
      </c>
      <c r="AN263" s="104">
        <v>0</v>
      </c>
      <c r="AO263" s="104">
        <v>0</v>
      </c>
      <c r="AP263" s="104">
        <v>0</v>
      </c>
      <c r="AQ263" s="104">
        <v>0</v>
      </c>
      <c r="AR263" s="104">
        <v>0</v>
      </c>
      <c r="AS263" s="104">
        <v>0</v>
      </c>
      <c r="AT263" s="104">
        <v>0</v>
      </c>
      <c r="AU263" s="104">
        <v>0</v>
      </c>
      <c r="AV263" s="104">
        <v>0</v>
      </c>
      <c r="AW263" s="104">
        <v>0</v>
      </c>
      <c r="AX263" s="104">
        <v>0</v>
      </c>
      <c r="AZ263" s="104">
        <f t="shared" ref="AZ263:AZ313" si="16">E263+H263+K263+O263+R263+U263+X263+AA263</f>
        <v>582035</v>
      </c>
      <c r="BA263" s="104">
        <f t="shared" ref="BA263:BA313" si="17">F263+I263+L263+P263+S263+V263+Y263+AB263</f>
        <v>8585</v>
      </c>
      <c r="BB263" s="96">
        <f t="shared" ref="BB263:BB313" si="18">M263</f>
        <v>0</v>
      </c>
      <c r="BC263" s="104">
        <f t="shared" ref="BC263:BC313" si="19">D263+G263+J263+N263+Q263+T263+W263+Z263+AC263</f>
        <v>187</v>
      </c>
    </row>
    <row r="264" spans="1:55">
      <c r="A264" s="102" t="s">
        <v>369</v>
      </c>
      <c r="B264" s="24" t="s">
        <v>664</v>
      </c>
      <c r="C264" s="103" t="s">
        <v>273</v>
      </c>
      <c r="D264" s="104">
        <v>0</v>
      </c>
      <c r="E264" s="104">
        <v>18040</v>
      </c>
      <c r="F264" s="104">
        <v>178</v>
      </c>
      <c r="G264" s="104">
        <v>0</v>
      </c>
      <c r="H264" s="104">
        <v>0</v>
      </c>
      <c r="I264" s="104">
        <v>0</v>
      </c>
      <c r="J264" s="104">
        <v>0</v>
      </c>
      <c r="K264" s="104">
        <v>7461</v>
      </c>
      <c r="L264" s="104">
        <v>74</v>
      </c>
      <c r="M264" s="104">
        <v>0</v>
      </c>
      <c r="N264" s="104">
        <v>0</v>
      </c>
      <c r="O264" s="104">
        <v>0</v>
      </c>
      <c r="P264" s="104">
        <v>0</v>
      </c>
      <c r="Q264" s="104">
        <v>0</v>
      </c>
      <c r="R264" s="104">
        <v>0</v>
      </c>
      <c r="S264" s="104">
        <v>0</v>
      </c>
      <c r="T264" s="104">
        <v>0</v>
      </c>
      <c r="U264" s="104">
        <v>0</v>
      </c>
      <c r="V264" s="104">
        <v>0</v>
      </c>
      <c r="W264" s="104">
        <v>0</v>
      </c>
      <c r="X264" s="104">
        <v>42</v>
      </c>
      <c r="Y264" s="104">
        <v>0</v>
      </c>
      <c r="Z264" s="104">
        <v>0</v>
      </c>
      <c r="AA264" s="104">
        <v>0</v>
      </c>
      <c r="AB264" s="104">
        <v>0</v>
      </c>
      <c r="AC264" s="104">
        <v>0</v>
      </c>
      <c r="AD264" s="104">
        <v>0</v>
      </c>
      <c r="AE264" s="104">
        <v>0</v>
      </c>
      <c r="AF264" s="104">
        <v>0</v>
      </c>
      <c r="AG264" s="104">
        <v>0</v>
      </c>
      <c r="AH264" s="104">
        <v>0</v>
      </c>
      <c r="AI264" s="104">
        <v>0</v>
      </c>
      <c r="AJ264" s="104">
        <v>0</v>
      </c>
      <c r="AK264" s="104">
        <v>0</v>
      </c>
      <c r="AL264" s="104">
        <v>0</v>
      </c>
      <c r="AM264" s="104">
        <v>0</v>
      </c>
      <c r="AN264" s="104">
        <v>0</v>
      </c>
      <c r="AO264" s="104">
        <v>0</v>
      </c>
      <c r="AP264" s="104">
        <v>0</v>
      </c>
      <c r="AQ264" s="104">
        <v>0</v>
      </c>
      <c r="AR264" s="104">
        <v>0</v>
      </c>
      <c r="AS264" s="104">
        <v>3320</v>
      </c>
      <c r="AT264" s="104">
        <v>33</v>
      </c>
      <c r="AU264" s="104">
        <v>0</v>
      </c>
      <c r="AV264" s="104">
        <v>0</v>
      </c>
      <c r="AW264" s="104">
        <v>0</v>
      </c>
      <c r="AX264" s="104">
        <v>0</v>
      </c>
      <c r="AZ264" s="104">
        <f t="shared" si="16"/>
        <v>25543</v>
      </c>
      <c r="BA264" s="104">
        <f t="shared" si="17"/>
        <v>252</v>
      </c>
      <c r="BB264" s="96">
        <f t="shared" si="18"/>
        <v>0</v>
      </c>
      <c r="BC264" s="104">
        <f t="shared" si="19"/>
        <v>0</v>
      </c>
    </row>
    <row r="265" spans="1:55">
      <c r="A265" s="102" t="s">
        <v>370</v>
      </c>
      <c r="B265" s="24" t="s">
        <v>665</v>
      </c>
      <c r="C265" s="103" t="s">
        <v>256</v>
      </c>
      <c r="D265" s="104">
        <v>0</v>
      </c>
      <c r="E265" s="104">
        <v>81651</v>
      </c>
      <c r="F265" s="104">
        <v>1191</v>
      </c>
      <c r="G265" s="104">
        <v>0</v>
      </c>
      <c r="H265" s="104">
        <v>0</v>
      </c>
      <c r="I265" s="104">
        <v>0</v>
      </c>
      <c r="J265" s="104">
        <v>0</v>
      </c>
      <c r="K265" s="104">
        <v>21255</v>
      </c>
      <c r="L265" s="104">
        <v>310</v>
      </c>
      <c r="M265" s="104">
        <v>0</v>
      </c>
      <c r="N265" s="104">
        <v>0</v>
      </c>
      <c r="O265" s="104">
        <v>0</v>
      </c>
      <c r="P265" s="104">
        <v>0</v>
      </c>
      <c r="Q265" s="104">
        <v>0</v>
      </c>
      <c r="R265" s="104">
        <v>0</v>
      </c>
      <c r="S265" s="104">
        <v>0</v>
      </c>
      <c r="T265" s="104">
        <v>0</v>
      </c>
      <c r="U265" s="104">
        <v>0</v>
      </c>
      <c r="V265" s="104">
        <v>0</v>
      </c>
      <c r="W265" s="104">
        <v>0</v>
      </c>
      <c r="X265" s="104">
        <v>50843</v>
      </c>
      <c r="Y265" s="104">
        <v>744</v>
      </c>
      <c r="Z265" s="104">
        <v>0</v>
      </c>
      <c r="AA265" s="104">
        <v>0</v>
      </c>
      <c r="AB265" s="104">
        <v>0</v>
      </c>
      <c r="AC265" s="104">
        <v>0</v>
      </c>
      <c r="AD265" s="104">
        <v>0</v>
      </c>
      <c r="AE265" s="104">
        <v>0</v>
      </c>
      <c r="AF265" s="104">
        <v>0</v>
      </c>
      <c r="AG265" s="104">
        <v>0</v>
      </c>
      <c r="AH265" s="104">
        <v>0</v>
      </c>
      <c r="AI265" s="104">
        <v>0</v>
      </c>
      <c r="AJ265" s="104">
        <v>0</v>
      </c>
      <c r="AK265" s="104">
        <v>0</v>
      </c>
      <c r="AL265" s="104">
        <v>0</v>
      </c>
      <c r="AM265" s="104">
        <v>0</v>
      </c>
      <c r="AN265" s="104">
        <v>0</v>
      </c>
      <c r="AO265" s="104">
        <v>0</v>
      </c>
      <c r="AP265" s="104">
        <v>0</v>
      </c>
      <c r="AQ265" s="104">
        <v>0</v>
      </c>
      <c r="AR265" s="104">
        <v>0</v>
      </c>
      <c r="AS265" s="104">
        <v>12169</v>
      </c>
      <c r="AT265" s="104">
        <v>171</v>
      </c>
      <c r="AU265" s="104">
        <v>0</v>
      </c>
      <c r="AV265" s="104">
        <v>1589</v>
      </c>
      <c r="AW265" s="104">
        <v>23</v>
      </c>
      <c r="AX265" s="104">
        <v>0</v>
      </c>
      <c r="AZ265" s="104">
        <f t="shared" si="16"/>
        <v>153749</v>
      </c>
      <c r="BA265" s="104">
        <f t="shared" si="17"/>
        <v>2245</v>
      </c>
      <c r="BB265" s="96">
        <f t="shared" si="18"/>
        <v>0</v>
      </c>
      <c r="BC265" s="104">
        <f t="shared" si="19"/>
        <v>0</v>
      </c>
    </row>
    <row r="266" spans="1:55">
      <c r="A266" s="102" t="s">
        <v>371</v>
      </c>
      <c r="B266" s="24" t="s">
        <v>666</v>
      </c>
      <c r="C266" s="103" t="s">
        <v>282</v>
      </c>
      <c r="D266" s="104">
        <v>13068</v>
      </c>
      <c r="E266" s="104">
        <v>49920</v>
      </c>
      <c r="F266" s="104">
        <v>806</v>
      </c>
      <c r="G266" s="104">
        <v>12143</v>
      </c>
      <c r="H266" s="104">
        <v>0</v>
      </c>
      <c r="I266" s="104">
        <v>0</v>
      </c>
      <c r="J266" s="104">
        <v>0</v>
      </c>
      <c r="K266" s="104">
        <v>6995</v>
      </c>
      <c r="L266" s="104">
        <v>110</v>
      </c>
      <c r="M266" s="104">
        <v>0</v>
      </c>
      <c r="N266" s="104">
        <v>963</v>
      </c>
      <c r="O266" s="104">
        <v>0</v>
      </c>
      <c r="P266" s="104">
        <v>0</v>
      </c>
      <c r="Q266" s="104">
        <v>0</v>
      </c>
      <c r="R266" s="104">
        <v>0</v>
      </c>
      <c r="S266" s="104">
        <v>0</v>
      </c>
      <c r="T266" s="104">
        <v>0</v>
      </c>
      <c r="U266" s="104">
        <v>0</v>
      </c>
      <c r="V266" s="104">
        <v>0</v>
      </c>
      <c r="W266" s="104">
        <v>0</v>
      </c>
      <c r="X266" s="104">
        <v>33011</v>
      </c>
      <c r="Y266" s="104">
        <v>529</v>
      </c>
      <c r="Z266" s="104">
        <v>6049</v>
      </c>
      <c r="AA266" s="104">
        <v>0</v>
      </c>
      <c r="AB266" s="104">
        <v>0</v>
      </c>
      <c r="AC266" s="104">
        <v>0</v>
      </c>
      <c r="AD266" s="104">
        <v>0</v>
      </c>
      <c r="AE266" s="104">
        <v>0</v>
      </c>
      <c r="AF266" s="104">
        <v>0</v>
      </c>
      <c r="AG266" s="104">
        <v>0</v>
      </c>
      <c r="AH266" s="104">
        <v>0</v>
      </c>
      <c r="AI266" s="104">
        <v>0</v>
      </c>
      <c r="AJ266" s="104">
        <v>0</v>
      </c>
      <c r="AK266" s="104">
        <v>0</v>
      </c>
      <c r="AL266" s="104">
        <v>0</v>
      </c>
      <c r="AM266" s="104">
        <v>0</v>
      </c>
      <c r="AN266" s="104">
        <v>0</v>
      </c>
      <c r="AO266" s="104">
        <v>0</v>
      </c>
      <c r="AP266" s="104">
        <v>0</v>
      </c>
      <c r="AQ266" s="104">
        <v>0</v>
      </c>
      <c r="AR266" s="104">
        <v>0</v>
      </c>
      <c r="AS266" s="104">
        <v>0</v>
      </c>
      <c r="AT266" s="104">
        <v>0</v>
      </c>
      <c r="AU266" s="104">
        <v>0</v>
      </c>
      <c r="AV266" s="104">
        <v>0</v>
      </c>
      <c r="AW266" s="104">
        <v>0</v>
      </c>
      <c r="AX266" s="104">
        <v>0</v>
      </c>
      <c r="AZ266" s="104">
        <f t="shared" si="16"/>
        <v>89926</v>
      </c>
      <c r="BA266" s="104">
        <f t="shared" si="17"/>
        <v>1445</v>
      </c>
      <c r="BB266" s="96">
        <f t="shared" si="18"/>
        <v>0</v>
      </c>
      <c r="BC266" s="104">
        <f t="shared" si="19"/>
        <v>32223</v>
      </c>
    </row>
    <row r="267" spans="1:55">
      <c r="A267" s="102" t="s">
        <v>372</v>
      </c>
      <c r="B267" s="24" t="s">
        <v>667</v>
      </c>
      <c r="C267" s="103" t="s">
        <v>373</v>
      </c>
      <c r="D267" s="104">
        <v>0</v>
      </c>
      <c r="E267" s="104">
        <v>7264</v>
      </c>
      <c r="F267" s="104">
        <v>130</v>
      </c>
      <c r="G267" s="104">
        <v>0</v>
      </c>
      <c r="H267" s="104">
        <v>0</v>
      </c>
      <c r="I267" s="104">
        <v>0</v>
      </c>
      <c r="J267" s="104">
        <v>0</v>
      </c>
      <c r="K267" s="104">
        <v>8128</v>
      </c>
      <c r="L267" s="104">
        <v>150</v>
      </c>
      <c r="M267" s="104">
        <v>0</v>
      </c>
      <c r="N267" s="104">
        <v>0</v>
      </c>
      <c r="O267" s="104">
        <v>0</v>
      </c>
      <c r="P267" s="104">
        <v>0</v>
      </c>
      <c r="Q267" s="104">
        <v>0</v>
      </c>
      <c r="R267" s="104">
        <v>0</v>
      </c>
      <c r="S267" s="104">
        <v>0</v>
      </c>
      <c r="T267" s="104">
        <v>0</v>
      </c>
      <c r="U267" s="104">
        <v>0</v>
      </c>
      <c r="V267" s="104">
        <v>0</v>
      </c>
      <c r="W267" s="104">
        <v>0</v>
      </c>
      <c r="X267" s="104">
        <v>29992</v>
      </c>
      <c r="Y267" s="104">
        <v>586</v>
      </c>
      <c r="Z267" s="104">
        <v>0</v>
      </c>
      <c r="AA267" s="104">
        <v>0</v>
      </c>
      <c r="AB267" s="104">
        <v>0</v>
      </c>
      <c r="AC267" s="104">
        <v>0</v>
      </c>
      <c r="AD267" s="104">
        <v>0</v>
      </c>
      <c r="AE267" s="104">
        <v>0</v>
      </c>
      <c r="AF267" s="104">
        <v>0</v>
      </c>
      <c r="AG267" s="104">
        <v>0</v>
      </c>
      <c r="AH267" s="104">
        <v>0</v>
      </c>
      <c r="AI267" s="104">
        <v>0</v>
      </c>
      <c r="AJ267" s="104">
        <v>0</v>
      </c>
      <c r="AK267" s="104">
        <v>0</v>
      </c>
      <c r="AL267" s="104">
        <v>0</v>
      </c>
      <c r="AM267" s="104">
        <v>0</v>
      </c>
      <c r="AN267" s="104">
        <v>0</v>
      </c>
      <c r="AO267" s="104">
        <v>0</v>
      </c>
      <c r="AP267" s="104">
        <v>0</v>
      </c>
      <c r="AQ267" s="104">
        <v>0</v>
      </c>
      <c r="AR267" s="104">
        <v>0</v>
      </c>
      <c r="AS267" s="104">
        <v>3052</v>
      </c>
      <c r="AT267" s="104">
        <v>60</v>
      </c>
      <c r="AU267" s="104">
        <v>0</v>
      </c>
      <c r="AV267" s="104">
        <v>0</v>
      </c>
      <c r="AW267" s="104">
        <v>0</v>
      </c>
      <c r="AX267" s="104">
        <v>0</v>
      </c>
      <c r="AZ267" s="104">
        <f t="shared" si="16"/>
        <v>45384</v>
      </c>
      <c r="BA267" s="104">
        <f t="shared" si="17"/>
        <v>866</v>
      </c>
      <c r="BB267" s="96">
        <f t="shared" si="18"/>
        <v>0</v>
      </c>
      <c r="BC267" s="104">
        <f t="shared" si="19"/>
        <v>0</v>
      </c>
    </row>
    <row r="268" spans="1:55">
      <c r="A268" s="102" t="s">
        <v>374</v>
      </c>
      <c r="B268" s="24" t="s">
        <v>668</v>
      </c>
      <c r="C268" s="103" t="s">
        <v>373</v>
      </c>
      <c r="D268" s="104">
        <v>0</v>
      </c>
      <c r="E268" s="104">
        <v>19302</v>
      </c>
      <c r="F268" s="104">
        <v>448</v>
      </c>
      <c r="G268" s="104">
        <v>0</v>
      </c>
      <c r="H268" s="104">
        <v>0</v>
      </c>
      <c r="I268" s="104">
        <v>0</v>
      </c>
      <c r="J268" s="104">
        <v>0</v>
      </c>
      <c r="K268" s="104">
        <v>7467</v>
      </c>
      <c r="L268" s="104">
        <v>225</v>
      </c>
      <c r="M268" s="104">
        <v>0</v>
      </c>
      <c r="N268" s="104">
        <v>0</v>
      </c>
      <c r="O268" s="104">
        <v>0</v>
      </c>
      <c r="P268" s="104">
        <v>0</v>
      </c>
      <c r="Q268" s="104">
        <v>0</v>
      </c>
      <c r="R268" s="104">
        <v>0</v>
      </c>
      <c r="S268" s="104">
        <v>0</v>
      </c>
      <c r="T268" s="104">
        <v>0</v>
      </c>
      <c r="U268" s="104">
        <v>0</v>
      </c>
      <c r="V268" s="104">
        <v>0</v>
      </c>
      <c r="W268" s="104">
        <v>0</v>
      </c>
      <c r="X268" s="104">
        <v>27451</v>
      </c>
      <c r="Y268" s="104">
        <v>640</v>
      </c>
      <c r="Z268" s="104">
        <v>0</v>
      </c>
      <c r="AA268" s="104">
        <v>0</v>
      </c>
      <c r="AB268" s="104">
        <v>0</v>
      </c>
      <c r="AC268" s="104">
        <v>0</v>
      </c>
      <c r="AD268" s="104">
        <v>0</v>
      </c>
      <c r="AE268" s="104">
        <v>0</v>
      </c>
      <c r="AF268" s="104">
        <v>0</v>
      </c>
      <c r="AG268" s="104">
        <v>0</v>
      </c>
      <c r="AH268" s="104">
        <v>0</v>
      </c>
      <c r="AI268" s="104">
        <v>0</v>
      </c>
      <c r="AJ268" s="104">
        <v>0</v>
      </c>
      <c r="AK268" s="104">
        <v>0</v>
      </c>
      <c r="AL268" s="104">
        <v>0</v>
      </c>
      <c r="AM268" s="104">
        <v>0</v>
      </c>
      <c r="AN268" s="104">
        <v>0</v>
      </c>
      <c r="AO268" s="104">
        <v>0</v>
      </c>
      <c r="AP268" s="104">
        <v>0</v>
      </c>
      <c r="AQ268" s="104">
        <v>0</v>
      </c>
      <c r="AR268" s="104">
        <v>0</v>
      </c>
      <c r="AS268" s="104">
        <v>4852</v>
      </c>
      <c r="AT268" s="104">
        <v>113</v>
      </c>
      <c r="AU268" s="104">
        <v>0</v>
      </c>
      <c r="AV268" s="104">
        <v>0</v>
      </c>
      <c r="AW268" s="104">
        <v>0</v>
      </c>
      <c r="AX268" s="104">
        <v>0</v>
      </c>
      <c r="AZ268" s="104">
        <f t="shared" si="16"/>
        <v>54220</v>
      </c>
      <c r="BA268" s="104">
        <f t="shared" si="17"/>
        <v>1313</v>
      </c>
      <c r="BB268" s="96">
        <f t="shared" si="18"/>
        <v>0</v>
      </c>
      <c r="BC268" s="104">
        <f t="shared" si="19"/>
        <v>0</v>
      </c>
    </row>
    <row r="269" spans="1:55">
      <c r="A269" s="102" t="s">
        <v>375</v>
      </c>
      <c r="B269" s="24" t="s">
        <v>669</v>
      </c>
      <c r="C269" s="103" t="s">
        <v>45</v>
      </c>
      <c r="D269" s="104">
        <v>1218</v>
      </c>
      <c r="E269" s="104">
        <v>219378</v>
      </c>
      <c r="F269" s="104">
        <v>3989</v>
      </c>
      <c r="G269" s="104">
        <v>0</v>
      </c>
      <c r="H269" s="104">
        <v>0</v>
      </c>
      <c r="I269" s="104">
        <v>0</v>
      </c>
      <c r="J269" s="104">
        <v>0</v>
      </c>
      <c r="K269" s="104">
        <v>54166</v>
      </c>
      <c r="L269" s="104">
        <v>990</v>
      </c>
      <c r="M269" s="104">
        <v>0</v>
      </c>
      <c r="N269" s="104">
        <v>0</v>
      </c>
      <c r="O269" s="104">
        <v>0</v>
      </c>
      <c r="P269" s="104">
        <v>0</v>
      </c>
      <c r="Q269" s="104">
        <v>0</v>
      </c>
      <c r="R269" s="104">
        <v>0</v>
      </c>
      <c r="S269" s="104">
        <v>0</v>
      </c>
      <c r="T269" s="104">
        <v>0</v>
      </c>
      <c r="U269" s="104">
        <v>0</v>
      </c>
      <c r="V269" s="104">
        <v>0</v>
      </c>
      <c r="W269" s="104">
        <v>0</v>
      </c>
      <c r="X269" s="104">
        <v>40601</v>
      </c>
      <c r="Y269" s="104">
        <v>747</v>
      </c>
      <c r="Z269" s="104">
        <v>0</v>
      </c>
      <c r="AA269" s="104">
        <v>0</v>
      </c>
      <c r="AB269" s="104">
        <v>0</v>
      </c>
      <c r="AC269" s="104">
        <v>0</v>
      </c>
      <c r="AD269" s="104">
        <v>0</v>
      </c>
      <c r="AE269" s="104">
        <v>0</v>
      </c>
      <c r="AF269" s="104">
        <v>0</v>
      </c>
      <c r="AG269" s="104">
        <v>0</v>
      </c>
      <c r="AH269" s="104">
        <v>0</v>
      </c>
      <c r="AI269" s="104">
        <v>0</v>
      </c>
      <c r="AJ269" s="104">
        <v>0</v>
      </c>
      <c r="AK269" s="104">
        <v>0</v>
      </c>
      <c r="AL269" s="104">
        <v>0</v>
      </c>
      <c r="AM269" s="104">
        <v>0</v>
      </c>
      <c r="AN269" s="104">
        <v>0</v>
      </c>
      <c r="AO269" s="104">
        <v>0</v>
      </c>
      <c r="AP269" s="104">
        <v>0</v>
      </c>
      <c r="AQ269" s="104">
        <v>0</v>
      </c>
      <c r="AR269" s="104">
        <v>0</v>
      </c>
      <c r="AS269" s="104">
        <v>45957</v>
      </c>
      <c r="AT269" s="104">
        <v>840</v>
      </c>
      <c r="AU269" s="104">
        <v>0</v>
      </c>
      <c r="AV269" s="104">
        <v>7495</v>
      </c>
      <c r="AW269" s="104">
        <v>136</v>
      </c>
      <c r="AX269" s="104">
        <v>0</v>
      </c>
      <c r="AZ269" s="104">
        <f t="shared" si="16"/>
        <v>314145</v>
      </c>
      <c r="BA269" s="104">
        <f t="shared" si="17"/>
        <v>5726</v>
      </c>
      <c r="BB269" s="96">
        <f t="shared" si="18"/>
        <v>0</v>
      </c>
      <c r="BC269" s="104">
        <f t="shared" si="19"/>
        <v>1218</v>
      </c>
    </row>
    <row r="270" spans="1:55">
      <c r="A270" s="102" t="s">
        <v>376</v>
      </c>
      <c r="B270" s="24" t="s">
        <v>670</v>
      </c>
      <c r="C270" s="103" t="s">
        <v>373</v>
      </c>
      <c r="D270" s="104">
        <v>1015</v>
      </c>
      <c r="E270" s="104">
        <v>244360</v>
      </c>
      <c r="F270" s="104">
        <v>5517</v>
      </c>
      <c r="G270" s="104">
        <v>0</v>
      </c>
      <c r="H270" s="104">
        <v>0</v>
      </c>
      <c r="I270" s="104">
        <v>0</v>
      </c>
      <c r="J270" s="104">
        <v>0</v>
      </c>
      <c r="K270" s="104">
        <v>52454</v>
      </c>
      <c r="L270" s="104">
        <v>1190</v>
      </c>
      <c r="M270" s="104">
        <v>0</v>
      </c>
      <c r="N270" s="104">
        <v>0</v>
      </c>
      <c r="O270" s="104">
        <v>0</v>
      </c>
      <c r="P270" s="104">
        <v>0</v>
      </c>
      <c r="Q270" s="104">
        <v>0</v>
      </c>
      <c r="R270" s="104">
        <v>0</v>
      </c>
      <c r="S270" s="104">
        <v>0</v>
      </c>
      <c r="T270" s="104">
        <v>0</v>
      </c>
      <c r="U270" s="104">
        <v>0</v>
      </c>
      <c r="V270" s="104">
        <v>0</v>
      </c>
      <c r="W270" s="104">
        <v>0</v>
      </c>
      <c r="X270" s="104">
        <v>91577</v>
      </c>
      <c r="Y270" s="104">
        <v>2096</v>
      </c>
      <c r="Z270" s="104">
        <v>0</v>
      </c>
      <c r="AA270" s="104">
        <v>0</v>
      </c>
      <c r="AB270" s="104">
        <v>0</v>
      </c>
      <c r="AC270" s="104">
        <v>0</v>
      </c>
      <c r="AD270" s="104">
        <v>0</v>
      </c>
      <c r="AE270" s="104">
        <v>0</v>
      </c>
      <c r="AF270" s="104">
        <v>0</v>
      </c>
      <c r="AG270" s="104">
        <v>0</v>
      </c>
      <c r="AH270" s="104">
        <v>0</v>
      </c>
      <c r="AI270" s="104">
        <v>0</v>
      </c>
      <c r="AJ270" s="104">
        <v>0</v>
      </c>
      <c r="AK270" s="104">
        <v>0</v>
      </c>
      <c r="AL270" s="104">
        <v>0</v>
      </c>
      <c r="AM270" s="104">
        <v>0</v>
      </c>
      <c r="AN270" s="104">
        <v>0</v>
      </c>
      <c r="AO270" s="104">
        <v>0</v>
      </c>
      <c r="AP270" s="104">
        <v>0</v>
      </c>
      <c r="AQ270" s="104">
        <v>0</v>
      </c>
      <c r="AR270" s="104">
        <v>0</v>
      </c>
      <c r="AS270" s="104">
        <v>52449</v>
      </c>
      <c r="AT270" s="104">
        <v>1190</v>
      </c>
      <c r="AU270" s="104">
        <v>0</v>
      </c>
      <c r="AV270" s="104">
        <v>0</v>
      </c>
      <c r="AW270" s="104">
        <v>0</v>
      </c>
      <c r="AX270" s="104">
        <v>58</v>
      </c>
      <c r="AZ270" s="104">
        <f t="shared" si="16"/>
        <v>388391</v>
      </c>
      <c r="BA270" s="104">
        <f t="shared" si="17"/>
        <v>8803</v>
      </c>
      <c r="BB270" s="96">
        <f t="shared" si="18"/>
        <v>0</v>
      </c>
      <c r="BC270" s="104">
        <f t="shared" si="19"/>
        <v>1015</v>
      </c>
    </row>
    <row r="271" spans="1:55">
      <c r="A271" s="102" t="s">
        <v>377</v>
      </c>
      <c r="B271" s="24" t="s">
        <v>671</v>
      </c>
      <c r="C271" s="103" t="s">
        <v>378</v>
      </c>
      <c r="D271" s="104">
        <v>0</v>
      </c>
      <c r="E271" s="104">
        <v>106355</v>
      </c>
      <c r="F271" s="104">
        <v>1703</v>
      </c>
      <c r="G271" s="104">
        <v>4208</v>
      </c>
      <c r="H271" s="104">
        <v>0</v>
      </c>
      <c r="I271" s="104">
        <v>0</v>
      </c>
      <c r="J271" s="104">
        <v>0</v>
      </c>
      <c r="K271" s="104">
        <v>25240</v>
      </c>
      <c r="L271" s="104">
        <v>404</v>
      </c>
      <c r="M271" s="104">
        <v>992</v>
      </c>
      <c r="N271" s="104">
        <v>0</v>
      </c>
      <c r="O271" s="104">
        <v>0</v>
      </c>
      <c r="P271" s="104">
        <v>0</v>
      </c>
      <c r="Q271" s="104">
        <v>0</v>
      </c>
      <c r="R271" s="104">
        <v>0</v>
      </c>
      <c r="S271" s="104">
        <v>0</v>
      </c>
      <c r="T271" s="104">
        <v>0</v>
      </c>
      <c r="U271" s="104">
        <v>0</v>
      </c>
      <c r="V271" s="104">
        <v>0</v>
      </c>
      <c r="W271" s="104">
        <v>0</v>
      </c>
      <c r="X271" s="104">
        <v>46757</v>
      </c>
      <c r="Y271" s="104">
        <v>730</v>
      </c>
      <c r="Z271" s="104">
        <v>0</v>
      </c>
      <c r="AA271" s="104">
        <v>0</v>
      </c>
      <c r="AB271" s="104">
        <v>0</v>
      </c>
      <c r="AC271" s="104">
        <v>0</v>
      </c>
      <c r="AD271" s="104">
        <v>0</v>
      </c>
      <c r="AE271" s="104">
        <v>0</v>
      </c>
      <c r="AF271" s="104">
        <v>0</v>
      </c>
      <c r="AG271" s="104">
        <v>0</v>
      </c>
      <c r="AH271" s="104">
        <v>0</v>
      </c>
      <c r="AI271" s="104">
        <v>0</v>
      </c>
      <c r="AJ271" s="104">
        <v>0</v>
      </c>
      <c r="AK271" s="104">
        <v>0</v>
      </c>
      <c r="AL271" s="104">
        <v>0</v>
      </c>
      <c r="AM271" s="104">
        <v>0</v>
      </c>
      <c r="AN271" s="104">
        <v>0</v>
      </c>
      <c r="AO271" s="104">
        <v>0</v>
      </c>
      <c r="AP271" s="104">
        <v>0</v>
      </c>
      <c r="AQ271" s="104">
        <v>0</v>
      </c>
      <c r="AR271" s="104">
        <v>0</v>
      </c>
      <c r="AS271" s="104">
        <v>8189</v>
      </c>
      <c r="AT271" s="104">
        <v>126</v>
      </c>
      <c r="AU271" s="104">
        <v>437</v>
      </c>
      <c r="AV271" s="104">
        <v>1454</v>
      </c>
      <c r="AW271" s="104">
        <v>23</v>
      </c>
      <c r="AX271" s="104">
        <v>0</v>
      </c>
      <c r="AZ271" s="104">
        <f t="shared" si="16"/>
        <v>178352</v>
      </c>
      <c r="BA271" s="104">
        <f t="shared" si="17"/>
        <v>2837</v>
      </c>
      <c r="BB271" s="96">
        <f t="shared" si="18"/>
        <v>992</v>
      </c>
      <c r="BC271" s="104">
        <f t="shared" si="19"/>
        <v>4208</v>
      </c>
    </row>
    <row r="272" spans="1:55">
      <c r="A272" s="102" t="s">
        <v>379</v>
      </c>
      <c r="B272" s="24" t="s">
        <v>672</v>
      </c>
      <c r="C272" s="103" t="s">
        <v>380</v>
      </c>
      <c r="D272" s="104">
        <v>0</v>
      </c>
      <c r="E272" s="104">
        <v>34086</v>
      </c>
      <c r="F272" s="104">
        <v>319</v>
      </c>
      <c r="G272" s="104">
        <v>0</v>
      </c>
      <c r="H272" s="104">
        <v>0</v>
      </c>
      <c r="I272" s="104">
        <v>0</v>
      </c>
      <c r="J272" s="104">
        <v>0</v>
      </c>
      <c r="K272" s="104">
        <v>11231</v>
      </c>
      <c r="L272" s="104">
        <v>105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Z272" s="104">
        <v>0</v>
      </c>
      <c r="AA272" s="104">
        <v>0</v>
      </c>
      <c r="AB272" s="104">
        <v>0</v>
      </c>
      <c r="AC272" s="104">
        <v>0</v>
      </c>
      <c r="AD272" s="104">
        <v>0</v>
      </c>
      <c r="AE272" s="104">
        <v>0</v>
      </c>
      <c r="AF272" s="104">
        <v>0</v>
      </c>
      <c r="AG272" s="104">
        <v>0</v>
      </c>
      <c r="AH272" s="104">
        <v>0</v>
      </c>
      <c r="AI272" s="104">
        <v>0</v>
      </c>
      <c r="AJ272" s="104">
        <v>0</v>
      </c>
      <c r="AK272" s="104">
        <v>0</v>
      </c>
      <c r="AL272" s="104">
        <v>0</v>
      </c>
      <c r="AM272" s="104">
        <v>0</v>
      </c>
      <c r="AN272" s="104">
        <v>0</v>
      </c>
      <c r="AO272" s="104">
        <v>0</v>
      </c>
      <c r="AP272" s="104">
        <v>0</v>
      </c>
      <c r="AQ272" s="104">
        <v>0</v>
      </c>
      <c r="AR272" s="104">
        <v>0</v>
      </c>
      <c r="AS272" s="104">
        <v>0</v>
      </c>
      <c r="AT272" s="104">
        <v>0</v>
      </c>
      <c r="AU272" s="104">
        <v>0</v>
      </c>
      <c r="AV272" s="104">
        <v>0</v>
      </c>
      <c r="AW272" s="104">
        <v>0</v>
      </c>
      <c r="AX272" s="104">
        <v>0</v>
      </c>
      <c r="AZ272" s="104">
        <f t="shared" si="16"/>
        <v>45317</v>
      </c>
      <c r="BA272" s="104">
        <f t="shared" si="17"/>
        <v>424</v>
      </c>
      <c r="BB272" s="96">
        <f t="shared" si="18"/>
        <v>0</v>
      </c>
      <c r="BC272" s="104">
        <f t="shared" si="19"/>
        <v>0</v>
      </c>
    </row>
    <row r="273" spans="1:55">
      <c r="A273" s="102" t="s">
        <v>381</v>
      </c>
      <c r="B273" s="24" t="s">
        <v>673</v>
      </c>
      <c r="C273" s="103" t="s">
        <v>382</v>
      </c>
      <c r="D273" s="104">
        <v>0</v>
      </c>
      <c r="E273" s="104">
        <v>14618</v>
      </c>
      <c r="F273" s="104">
        <v>0</v>
      </c>
      <c r="G273" s="104">
        <v>0</v>
      </c>
      <c r="H273" s="104">
        <v>0</v>
      </c>
      <c r="I273" s="104">
        <v>0</v>
      </c>
      <c r="J273" s="104">
        <v>0</v>
      </c>
      <c r="K273" s="104">
        <v>2339</v>
      </c>
      <c r="L273" s="104">
        <v>87</v>
      </c>
      <c r="M273" s="104">
        <v>0</v>
      </c>
      <c r="N273" s="104">
        <v>0</v>
      </c>
      <c r="O273" s="104">
        <v>0</v>
      </c>
      <c r="P273" s="104">
        <v>0</v>
      </c>
      <c r="Q273" s="104">
        <v>0</v>
      </c>
      <c r="R273" s="104">
        <v>0</v>
      </c>
      <c r="S273" s="104">
        <v>0</v>
      </c>
      <c r="T273" s="104">
        <v>0</v>
      </c>
      <c r="U273" s="104">
        <v>0</v>
      </c>
      <c r="V273" s="104">
        <v>0</v>
      </c>
      <c r="W273" s="104">
        <v>0</v>
      </c>
      <c r="X273" s="104">
        <v>0</v>
      </c>
      <c r="Y273" s="104">
        <v>0</v>
      </c>
      <c r="Z273" s="104">
        <v>0</v>
      </c>
      <c r="AA273" s="104">
        <v>0</v>
      </c>
      <c r="AB273" s="104">
        <v>0</v>
      </c>
      <c r="AC273" s="104">
        <v>0</v>
      </c>
      <c r="AD273" s="104">
        <v>0</v>
      </c>
      <c r="AE273" s="104">
        <v>0</v>
      </c>
      <c r="AF273" s="104">
        <v>0</v>
      </c>
      <c r="AG273" s="104">
        <v>0</v>
      </c>
      <c r="AH273" s="104">
        <v>0</v>
      </c>
      <c r="AI273" s="104">
        <v>0</v>
      </c>
      <c r="AJ273" s="104">
        <v>0</v>
      </c>
      <c r="AK273" s="104">
        <v>0</v>
      </c>
      <c r="AL273" s="104">
        <v>0</v>
      </c>
      <c r="AM273" s="104">
        <v>0</v>
      </c>
      <c r="AN273" s="104">
        <v>0</v>
      </c>
      <c r="AO273" s="104">
        <v>0</v>
      </c>
      <c r="AP273" s="104">
        <v>0</v>
      </c>
      <c r="AQ273" s="104">
        <v>0</v>
      </c>
      <c r="AR273" s="104">
        <v>0</v>
      </c>
      <c r="AS273" s="104">
        <v>622</v>
      </c>
      <c r="AT273" s="104">
        <v>23</v>
      </c>
      <c r="AU273" s="104">
        <v>0</v>
      </c>
      <c r="AV273" s="104">
        <v>0</v>
      </c>
      <c r="AW273" s="104">
        <v>0</v>
      </c>
      <c r="AX273" s="104">
        <v>0</v>
      </c>
      <c r="AZ273" s="104">
        <f t="shared" si="16"/>
        <v>16957</v>
      </c>
      <c r="BA273" s="104">
        <f t="shared" si="17"/>
        <v>87</v>
      </c>
      <c r="BB273" s="96">
        <f t="shared" si="18"/>
        <v>0</v>
      </c>
      <c r="BC273" s="104">
        <f t="shared" si="19"/>
        <v>0</v>
      </c>
    </row>
    <row r="274" spans="1:55">
      <c r="A274" s="102" t="s">
        <v>383</v>
      </c>
      <c r="B274" s="24" t="s">
        <v>674</v>
      </c>
      <c r="C274" s="103" t="s">
        <v>45</v>
      </c>
      <c r="D274" s="104">
        <v>246</v>
      </c>
      <c r="E274" s="104">
        <v>202318</v>
      </c>
      <c r="F274" s="104">
        <v>2510</v>
      </c>
      <c r="G274" s="104">
        <v>236</v>
      </c>
      <c r="H274" s="104">
        <v>0</v>
      </c>
      <c r="I274" s="104">
        <v>0</v>
      </c>
      <c r="J274" s="104">
        <v>0</v>
      </c>
      <c r="K274" s="104">
        <v>56442</v>
      </c>
      <c r="L274" s="104">
        <v>698</v>
      </c>
      <c r="M274" s="104">
        <v>0</v>
      </c>
      <c r="N274" s="104">
        <v>49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189289</v>
      </c>
      <c r="Y274" s="104">
        <v>2314</v>
      </c>
      <c r="Z274" s="104">
        <v>154</v>
      </c>
      <c r="AA274" s="104">
        <v>0</v>
      </c>
      <c r="AB274" s="104">
        <v>0</v>
      </c>
      <c r="AC274" s="104">
        <v>0</v>
      </c>
      <c r="AD274" s="104">
        <v>0</v>
      </c>
      <c r="AE274" s="104">
        <v>0</v>
      </c>
      <c r="AF274" s="104">
        <v>0</v>
      </c>
      <c r="AG274" s="104">
        <v>0</v>
      </c>
      <c r="AH274" s="104">
        <v>0</v>
      </c>
      <c r="AI274" s="104">
        <v>0</v>
      </c>
      <c r="AJ274" s="104">
        <v>0</v>
      </c>
      <c r="AK274" s="104">
        <v>0</v>
      </c>
      <c r="AL274" s="104">
        <v>0</v>
      </c>
      <c r="AM274" s="104">
        <v>0</v>
      </c>
      <c r="AN274" s="104">
        <v>0</v>
      </c>
      <c r="AO274" s="104">
        <v>0</v>
      </c>
      <c r="AP274" s="104">
        <v>0</v>
      </c>
      <c r="AQ274" s="104">
        <v>0</v>
      </c>
      <c r="AR274" s="104">
        <v>0</v>
      </c>
      <c r="AS274" s="104">
        <v>0</v>
      </c>
      <c r="AT274" s="104">
        <v>0</v>
      </c>
      <c r="AU274" s="104">
        <v>0</v>
      </c>
      <c r="AV274" s="104">
        <v>0</v>
      </c>
      <c r="AW274" s="104">
        <v>0</v>
      </c>
      <c r="AX274" s="104">
        <v>0</v>
      </c>
      <c r="AZ274" s="104">
        <f t="shared" si="16"/>
        <v>448049</v>
      </c>
      <c r="BA274" s="104">
        <f t="shared" si="17"/>
        <v>5522</v>
      </c>
      <c r="BB274" s="96">
        <f t="shared" si="18"/>
        <v>0</v>
      </c>
      <c r="BC274" s="104">
        <f t="shared" si="19"/>
        <v>685</v>
      </c>
    </row>
    <row r="275" spans="1:55">
      <c r="A275" s="102" t="s">
        <v>384</v>
      </c>
      <c r="B275" s="24" t="s">
        <v>675</v>
      </c>
      <c r="C275" s="103" t="s">
        <v>373</v>
      </c>
      <c r="D275" s="104">
        <v>0</v>
      </c>
      <c r="E275" s="104">
        <v>183944</v>
      </c>
      <c r="F275" s="104">
        <v>3454</v>
      </c>
      <c r="G275" s="104">
        <v>0</v>
      </c>
      <c r="H275" s="104">
        <v>0</v>
      </c>
      <c r="I275" s="104">
        <v>0</v>
      </c>
      <c r="J275" s="104">
        <v>0</v>
      </c>
      <c r="K275" s="104">
        <v>0</v>
      </c>
      <c r="L275" s="104">
        <v>0</v>
      </c>
      <c r="M275" s="104">
        <v>0</v>
      </c>
      <c r="N275" s="104">
        <v>0</v>
      </c>
      <c r="O275" s="104">
        <v>0</v>
      </c>
      <c r="P275" s="104">
        <v>0</v>
      </c>
      <c r="Q275" s="104">
        <v>0</v>
      </c>
      <c r="R275" s="104">
        <v>0</v>
      </c>
      <c r="S275" s="104">
        <v>0</v>
      </c>
      <c r="T275" s="104">
        <v>0</v>
      </c>
      <c r="U275" s="104">
        <v>0</v>
      </c>
      <c r="V275" s="104">
        <v>0</v>
      </c>
      <c r="W275" s="104">
        <v>0</v>
      </c>
      <c r="X275" s="104">
        <v>83629</v>
      </c>
      <c r="Y275" s="104">
        <v>1547</v>
      </c>
      <c r="Z275" s="104">
        <v>0</v>
      </c>
      <c r="AA275" s="104">
        <v>0</v>
      </c>
      <c r="AB275" s="104">
        <v>0</v>
      </c>
      <c r="AC275" s="104">
        <v>0</v>
      </c>
      <c r="AD275" s="104">
        <v>0</v>
      </c>
      <c r="AE275" s="104">
        <v>0</v>
      </c>
      <c r="AF275" s="104">
        <v>0</v>
      </c>
      <c r="AG275" s="104">
        <v>0</v>
      </c>
      <c r="AH275" s="104">
        <v>0</v>
      </c>
      <c r="AI275" s="104">
        <v>0</v>
      </c>
      <c r="AJ275" s="104">
        <v>0</v>
      </c>
      <c r="AK275" s="104">
        <v>0</v>
      </c>
      <c r="AL275" s="104">
        <v>0</v>
      </c>
      <c r="AM275" s="104">
        <v>0</v>
      </c>
      <c r="AN275" s="104">
        <v>0</v>
      </c>
      <c r="AO275" s="104">
        <v>0</v>
      </c>
      <c r="AP275" s="104">
        <v>0</v>
      </c>
      <c r="AQ275" s="104">
        <v>0</v>
      </c>
      <c r="AR275" s="104">
        <v>0</v>
      </c>
      <c r="AS275" s="104">
        <v>53504</v>
      </c>
      <c r="AT275" s="104">
        <v>989</v>
      </c>
      <c r="AU275" s="104">
        <v>0</v>
      </c>
      <c r="AV275" s="104">
        <v>15737</v>
      </c>
      <c r="AW275" s="104">
        <v>294</v>
      </c>
      <c r="AX275" s="104">
        <v>0</v>
      </c>
      <c r="AZ275" s="104">
        <f t="shared" si="16"/>
        <v>267573</v>
      </c>
      <c r="BA275" s="104">
        <f t="shared" si="17"/>
        <v>5001</v>
      </c>
      <c r="BB275" s="96">
        <f t="shared" si="18"/>
        <v>0</v>
      </c>
      <c r="BC275" s="104">
        <f t="shared" si="19"/>
        <v>0</v>
      </c>
    </row>
    <row r="276" spans="1:55">
      <c r="A276" s="102" t="s">
        <v>385</v>
      </c>
      <c r="B276" s="24" t="s">
        <v>676</v>
      </c>
      <c r="C276" s="103" t="s">
        <v>373</v>
      </c>
      <c r="D276" s="104">
        <v>0</v>
      </c>
      <c r="E276" s="104">
        <v>801</v>
      </c>
      <c r="F276" s="104">
        <v>12</v>
      </c>
      <c r="G276" s="104">
        <v>0</v>
      </c>
      <c r="H276" s="104">
        <v>0</v>
      </c>
      <c r="I276" s="104">
        <v>0</v>
      </c>
      <c r="J276" s="104">
        <v>0</v>
      </c>
      <c r="K276" s="104">
        <v>1951</v>
      </c>
      <c r="L276" s="104">
        <v>46</v>
      </c>
      <c r="M276" s="104">
        <v>281</v>
      </c>
      <c r="N276" s="104">
        <v>0</v>
      </c>
      <c r="O276" s="104">
        <v>0</v>
      </c>
      <c r="P276" s="104">
        <v>0</v>
      </c>
      <c r="Q276" s="104">
        <v>0</v>
      </c>
      <c r="R276" s="104">
        <v>0</v>
      </c>
      <c r="S276" s="104">
        <v>0</v>
      </c>
      <c r="T276" s="104">
        <v>0</v>
      </c>
      <c r="U276" s="104">
        <v>0</v>
      </c>
      <c r="V276" s="104">
        <v>0</v>
      </c>
      <c r="W276" s="104">
        <v>0</v>
      </c>
      <c r="X276" s="104">
        <v>0</v>
      </c>
      <c r="Y276" s="104">
        <v>0</v>
      </c>
      <c r="Z276" s="104">
        <v>0</v>
      </c>
      <c r="AA276" s="104">
        <v>0</v>
      </c>
      <c r="AB276" s="104">
        <v>0</v>
      </c>
      <c r="AC276" s="104">
        <v>0</v>
      </c>
      <c r="AD276" s="104">
        <v>0</v>
      </c>
      <c r="AE276" s="104">
        <v>0</v>
      </c>
      <c r="AF276" s="104">
        <v>0</v>
      </c>
      <c r="AG276" s="104">
        <v>0</v>
      </c>
      <c r="AH276" s="104">
        <v>0</v>
      </c>
      <c r="AI276" s="104">
        <v>0</v>
      </c>
      <c r="AJ276" s="104">
        <v>0</v>
      </c>
      <c r="AK276" s="104">
        <v>0</v>
      </c>
      <c r="AL276" s="104">
        <v>0</v>
      </c>
      <c r="AM276" s="104">
        <v>0</v>
      </c>
      <c r="AN276" s="104">
        <v>0</v>
      </c>
      <c r="AO276" s="104">
        <v>0</v>
      </c>
      <c r="AP276" s="104">
        <v>0</v>
      </c>
      <c r="AQ276" s="104">
        <v>0</v>
      </c>
      <c r="AR276" s="104">
        <v>0</v>
      </c>
      <c r="AS276" s="104">
        <v>1354</v>
      </c>
      <c r="AT276" s="104">
        <v>170</v>
      </c>
      <c r="AU276" s="104">
        <v>0</v>
      </c>
      <c r="AV276" s="104">
        <v>0</v>
      </c>
      <c r="AW276" s="104">
        <v>0</v>
      </c>
      <c r="AX276" s="104">
        <v>0</v>
      </c>
      <c r="AZ276" s="104">
        <f t="shared" si="16"/>
        <v>2752</v>
      </c>
      <c r="BA276" s="104">
        <f t="shared" si="17"/>
        <v>58</v>
      </c>
      <c r="BB276" s="96">
        <f t="shared" si="18"/>
        <v>281</v>
      </c>
      <c r="BC276" s="104">
        <f t="shared" si="19"/>
        <v>0</v>
      </c>
    </row>
    <row r="277" spans="1:55">
      <c r="A277" s="102" t="s">
        <v>386</v>
      </c>
      <c r="B277" s="24" t="s">
        <v>677</v>
      </c>
      <c r="C277" s="103" t="s">
        <v>290</v>
      </c>
      <c r="D277" s="104">
        <v>0</v>
      </c>
      <c r="E277" s="104">
        <v>83907</v>
      </c>
      <c r="F277" s="104">
        <v>1583</v>
      </c>
      <c r="G277" s="104">
        <v>0</v>
      </c>
      <c r="H277" s="104">
        <v>0</v>
      </c>
      <c r="I277" s="104">
        <v>0</v>
      </c>
      <c r="J277" s="104">
        <v>0</v>
      </c>
      <c r="K277" s="104">
        <v>29217</v>
      </c>
      <c r="L277" s="104">
        <v>549</v>
      </c>
      <c r="M277" s="104">
        <v>14776</v>
      </c>
      <c r="N277" s="104">
        <v>0</v>
      </c>
      <c r="O277" s="104">
        <v>0</v>
      </c>
      <c r="P277" s="104">
        <v>0</v>
      </c>
      <c r="Q277" s="104">
        <v>0</v>
      </c>
      <c r="R277" s="104">
        <v>0</v>
      </c>
      <c r="S277" s="104">
        <v>0</v>
      </c>
      <c r="T277" s="104">
        <v>0</v>
      </c>
      <c r="U277" s="104">
        <v>0</v>
      </c>
      <c r="V277" s="104">
        <v>0</v>
      </c>
      <c r="W277" s="104">
        <v>0</v>
      </c>
      <c r="X277" s="104">
        <v>0</v>
      </c>
      <c r="Y277" s="104">
        <v>0</v>
      </c>
      <c r="Z277" s="104">
        <v>0</v>
      </c>
      <c r="AA277" s="104">
        <v>32485</v>
      </c>
      <c r="AB277" s="104">
        <v>612</v>
      </c>
      <c r="AC277" s="104">
        <v>0</v>
      </c>
      <c r="AD277" s="104">
        <v>0</v>
      </c>
      <c r="AE277" s="104">
        <v>0</v>
      </c>
      <c r="AF277" s="104">
        <v>0</v>
      </c>
      <c r="AG277" s="104">
        <v>0</v>
      </c>
      <c r="AH277" s="104">
        <v>0</v>
      </c>
      <c r="AI277" s="104">
        <v>0</v>
      </c>
      <c r="AJ277" s="104">
        <v>0</v>
      </c>
      <c r="AK277" s="104">
        <v>0</v>
      </c>
      <c r="AL277" s="104">
        <v>0</v>
      </c>
      <c r="AM277" s="104">
        <v>0</v>
      </c>
      <c r="AN277" s="104">
        <v>0</v>
      </c>
      <c r="AO277" s="104">
        <v>0</v>
      </c>
      <c r="AP277" s="104">
        <v>0</v>
      </c>
      <c r="AQ277" s="104">
        <v>0</v>
      </c>
      <c r="AR277" s="104">
        <v>0</v>
      </c>
      <c r="AS277" s="104">
        <v>0</v>
      </c>
      <c r="AT277" s="104">
        <v>0</v>
      </c>
      <c r="AU277" s="104">
        <v>0</v>
      </c>
      <c r="AV277" s="104">
        <v>0</v>
      </c>
      <c r="AW277" s="104">
        <v>0</v>
      </c>
      <c r="AX277" s="104">
        <v>0</v>
      </c>
      <c r="AZ277" s="104">
        <f t="shared" si="16"/>
        <v>145609</v>
      </c>
      <c r="BA277" s="104">
        <f t="shared" si="17"/>
        <v>2744</v>
      </c>
      <c r="BB277" s="96">
        <f t="shared" si="18"/>
        <v>14776</v>
      </c>
      <c r="BC277" s="104">
        <f t="shared" si="19"/>
        <v>0</v>
      </c>
    </row>
    <row r="278" spans="1:55">
      <c r="A278" s="102" t="s">
        <v>387</v>
      </c>
      <c r="B278" s="24" t="s">
        <v>678</v>
      </c>
      <c r="C278" s="103" t="s">
        <v>328</v>
      </c>
      <c r="D278" s="104">
        <v>0</v>
      </c>
      <c r="E278" s="104">
        <v>12678</v>
      </c>
      <c r="F278" s="104">
        <v>140</v>
      </c>
      <c r="G278" s="104">
        <v>0</v>
      </c>
      <c r="H278" s="104">
        <v>0</v>
      </c>
      <c r="I278" s="104">
        <v>0</v>
      </c>
      <c r="J278" s="104">
        <v>0</v>
      </c>
      <c r="K278" s="104">
        <v>3105</v>
      </c>
      <c r="L278" s="104">
        <v>34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Z278" s="104">
        <v>0</v>
      </c>
      <c r="AA278" s="104">
        <v>0</v>
      </c>
      <c r="AB278" s="104">
        <v>0</v>
      </c>
      <c r="AC278" s="104">
        <v>0</v>
      </c>
      <c r="AD278" s="104">
        <v>0</v>
      </c>
      <c r="AE278" s="104">
        <v>0</v>
      </c>
      <c r="AF278" s="104">
        <v>0</v>
      </c>
      <c r="AG278" s="104">
        <v>0</v>
      </c>
      <c r="AH278" s="104">
        <v>0</v>
      </c>
      <c r="AI278" s="104">
        <v>0</v>
      </c>
      <c r="AJ278" s="104">
        <v>0</v>
      </c>
      <c r="AK278" s="104">
        <v>0</v>
      </c>
      <c r="AL278" s="104">
        <v>0</v>
      </c>
      <c r="AM278" s="104">
        <v>0</v>
      </c>
      <c r="AN278" s="104">
        <v>0</v>
      </c>
      <c r="AO278" s="104">
        <v>0</v>
      </c>
      <c r="AP278" s="104">
        <v>0</v>
      </c>
      <c r="AQ278" s="104">
        <v>0</v>
      </c>
      <c r="AR278" s="104">
        <v>0</v>
      </c>
      <c r="AS278" s="104">
        <v>1646</v>
      </c>
      <c r="AT278" s="104">
        <v>18</v>
      </c>
      <c r="AU278" s="104">
        <v>0</v>
      </c>
      <c r="AV278" s="104">
        <v>0</v>
      </c>
      <c r="AW278" s="104">
        <v>0</v>
      </c>
      <c r="AX278" s="104">
        <v>0</v>
      </c>
      <c r="AZ278" s="104">
        <f t="shared" si="16"/>
        <v>15783</v>
      </c>
      <c r="BA278" s="104">
        <f t="shared" si="17"/>
        <v>174</v>
      </c>
      <c r="BB278" s="96">
        <f t="shared" si="18"/>
        <v>0</v>
      </c>
      <c r="BC278" s="104">
        <f t="shared" si="19"/>
        <v>0</v>
      </c>
    </row>
    <row r="279" spans="1:55">
      <c r="A279" s="102" t="s">
        <v>388</v>
      </c>
      <c r="B279" s="24" t="s">
        <v>679</v>
      </c>
      <c r="C279" s="103" t="s">
        <v>389</v>
      </c>
      <c r="D279" s="104">
        <v>9507</v>
      </c>
      <c r="E279" s="104">
        <v>284684</v>
      </c>
      <c r="F279" s="104">
        <v>3522</v>
      </c>
      <c r="G279" s="104">
        <v>1979</v>
      </c>
      <c r="H279" s="104">
        <v>0</v>
      </c>
      <c r="I279" s="104">
        <v>0</v>
      </c>
      <c r="J279" s="104">
        <v>0</v>
      </c>
      <c r="K279" s="104">
        <v>75689</v>
      </c>
      <c r="L279" s="104">
        <v>936</v>
      </c>
      <c r="M279" s="104">
        <v>15829</v>
      </c>
      <c r="N279" s="104">
        <v>589</v>
      </c>
      <c r="O279" s="104">
        <v>0</v>
      </c>
      <c r="P279" s="104">
        <v>0</v>
      </c>
      <c r="Q279" s="104">
        <v>0</v>
      </c>
      <c r="R279" s="104">
        <v>0</v>
      </c>
      <c r="S279" s="104">
        <v>0</v>
      </c>
      <c r="T279" s="104">
        <v>0</v>
      </c>
      <c r="U279" s="104">
        <v>0</v>
      </c>
      <c r="V279" s="104">
        <v>0</v>
      </c>
      <c r="W279" s="104">
        <v>0</v>
      </c>
      <c r="X279" s="104">
        <v>0</v>
      </c>
      <c r="Y279" s="104">
        <v>0</v>
      </c>
      <c r="Z279" s="104">
        <v>0</v>
      </c>
      <c r="AA279" s="104">
        <v>0</v>
      </c>
      <c r="AB279" s="104">
        <v>0</v>
      </c>
      <c r="AC279" s="104">
        <v>0</v>
      </c>
      <c r="AD279" s="104">
        <v>0</v>
      </c>
      <c r="AE279" s="104">
        <v>0</v>
      </c>
      <c r="AF279" s="104">
        <v>0</v>
      </c>
      <c r="AG279" s="104">
        <v>0</v>
      </c>
      <c r="AH279" s="104">
        <v>0</v>
      </c>
      <c r="AI279" s="104">
        <v>0</v>
      </c>
      <c r="AJ279" s="104">
        <v>0</v>
      </c>
      <c r="AK279" s="104">
        <v>0</v>
      </c>
      <c r="AL279" s="104">
        <v>0</v>
      </c>
      <c r="AM279" s="104">
        <v>0</v>
      </c>
      <c r="AN279" s="104">
        <v>0</v>
      </c>
      <c r="AO279" s="104">
        <v>0</v>
      </c>
      <c r="AP279" s="104">
        <v>0</v>
      </c>
      <c r="AQ279" s="104">
        <v>0</v>
      </c>
      <c r="AR279" s="104">
        <v>0</v>
      </c>
      <c r="AS279" s="104">
        <v>0</v>
      </c>
      <c r="AT279" s="104">
        <v>0</v>
      </c>
      <c r="AU279" s="104">
        <v>0</v>
      </c>
      <c r="AV279" s="104">
        <v>0</v>
      </c>
      <c r="AW279" s="104">
        <v>0</v>
      </c>
      <c r="AX279" s="104">
        <v>0</v>
      </c>
      <c r="AZ279" s="104">
        <f t="shared" si="16"/>
        <v>360373</v>
      </c>
      <c r="BA279" s="104">
        <f t="shared" si="17"/>
        <v>4458</v>
      </c>
      <c r="BB279" s="96">
        <f t="shared" si="18"/>
        <v>15829</v>
      </c>
      <c r="BC279" s="104">
        <f t="shared" si="19"/>
        <v>12075</v>
      </c>
    </row>
    <row r="280" spans="1:55">
      <c r="A280" s="102" t="s">
        <v>390</v>
      </c>
      <c r="B280" s="24" t="s">
        <v>680</v>
      </c>
      <c r="C280" s="103" t="s">
        <v>16</v>
      </c>
      <c r="D280" s="104">
        <v>0</v>
      </c>
      <c r="E280" s="104">
        <v>13809</v>
      </c>
      <c r="F280" s="104">
        <v>272</v>
      </c>
      <c r="G280" s="104">
        <v>0</v>
      </c>
      <c r="H280" s="104">
        <v>0</v>
      </c>
      <c r="I280" s="104">
        <v>0</v>
      </c>
      <c r="J280" s="104">
        <v>0</v>
      </c>
      <c r="K280" s="104">
        <v>4848</v>
      </c>
      <c r="L280" s="104">
        <v>84</v>
      </c>
      <c r="M280" s="104">
        <v>0</v>
      </c>
      <c r="N280" s="104">
        <v>0</v>
      </c>
      <c r="O280" s="104">
        <v>0</v>
      </c>
      <c r="P280" s="104">
        <v>0</v>
      </c>
      <c r="Q280" s="104">
        <v>0</v>
      </c>
      <c r="R280" s="104">
        <v>0</v>
      </c>
      <c r="S280" s="104">
        <v>0</v>
      </c>
      <c r="T280" s="104">
        <v>0</v>
      </c>
      <c r="U280" s="104">
        <v>0</v>
      </c>
      <c r="V280" s="104">
        <v>0</v>
      </c>
      <c r="W280" s="104">
        <v>0</v>
      </c>
      <c r="X280" s="104">
        <v>0</v>
      </c>
      <c r="Y280" s="104">
        <v>0</v>
      </c>
      <c r="Z280" s="104">
        <v>0</v>
      </c>
      <c r="AA280" s="104">
        <v>0</v>
      </c>
      <c r="AB280" s="104">
        <v>0</v>
      </c>
      <c r="AC280" s="104">
        <v>0</v>
      </c>
      <c r="AD280" s="104">
        <v>0</v>
      </c>
      <c r="AE280" s="104">
        <v>0</v>
      </c>
      <c r="AF280" s="104">
        <v>0</v>
      </c>
      <c r="AG280" s="104">
        <v>0</v>
      </c>
      <c r="AH280" s="104">
        <v>0</v>
      </c>
      <c r="AI280" s="104">
        <v>0</v>
      </c>
      <c r="AJ280" s="104">
        <v>0</v>
      </c>
      <c r="AK280" s="104">
        <v>0</v>
      </c>
      <c r="AL280" s="104">
        <v>0</v>
      </c>
      <c r="AM280" s="104">
        <v>0</v>
      </c>
      <c r="AN280" s="104">
        <v>0</v>
      </c>
      <c r="AO280" s="104">
        <v>0</v>
      </c>
      <c r="AP280" s="104">
        <v>0</v>
      </c>
      <c r="AQ280" s="104">
        <v>0</v>
      </c>
      <c r="AR280" s="104">
        <v>0</v>
      </c>
      <c r="AS280" s="104">
        <v>3514</v>
      </c>
      <c r="AT280" s="104">
        <v>68</v>
      </c>
      <c r="AU280" s="104">
        <v>0</v>
      </c>
      <c r="AV280" s="104">
        <v>0</v>
      </c>
      <c r="AW280" s="104">
        <v>0</v>
      </c>
      <c r="AX280" s="104">
        <v>0</v>
      </c>
      <c r="AZ280" s="104">
        <f t="shared" si="16"/>
        <v>18657</v>
      </c>
      <c r="BA280" s="104">
        <f t="shared" si="17"/>
        <v>356</v>
      </c>
      <c r="BB280" s="96">
        <f t="shared" si="18"/>
        <v>0</v>
      </c>
      <c r="BC280" s="104">
        <f t="shared" si="19"/>
        <v>0</v>
      </c>
    </row>
    <row r="281" spans="1:55">
      <c r="A281" s="102" t="s">
        <v>391</v>
      </c>
      <c r="B281" s="24" t="s">
        <v>681</v>
      </c>
      <c r="C281" s="103" t="s">
        <v>16</v>
      </c>
      <c r="D281" s="104">
        <v>0</v>
      </c>
      <c r="E281" s="104">
        <v>0</v>
      </c>
      <c r="F281" s="104">
        <v>0</v>
      </c>
      <c r="G281" s="104">
        <v>0</v>
      </c>
      <c r="H281" s="104">
        <v>0</v>
      </c>
      <c r="I281" s="104">
        <v>0</v>
      </c>
      <c r="J281" s="104">
        <v>0</v>
      </c>
      <c r="K281" s="104">
        <v>6786</v>
      </c>
      <c r="L281" s="104">
        <v>0</v>
      </c>
      <c r="M281" s="104">
        <v>0</v>
      </c>
      <c r="N281" s="104">
        <v>0</v>
      </c>
      <c r="O281" s="104">
        <v>0</v>
      </c>
      <c r="P281" s="104">
        <v>0</v>
      </c>
      <c r="Q281" s="104">
        <v>0</v>
      </c>
      <c r="R281" s="104">
        <v>0</v>
      </c>
      <c r="S281" s="104">
        <v>0</v>
      </c>
      <c r="T281" s="104">
        <v>0</v>
      </c>
      <c r="U281" s="104">
        <v>0</v>
      </c>
      <c r="V281" s="104">
        <v>0</v>
      </c>
      <c r="W281" s="104">
        <v>0</v>
      </c>
      <c r="X281" s="104">
        <v>0</v>
      </c>
      <c r="Y281" s="104">
        <v>0</v>
      </c>
      <c r="Z281" s="104">
        <v>0</v>
      </c>
      <c r="AA281" s="104">
        <v>0</v>
      </c>
      <c r="AB281" s="104">
        <v>0</v>
      </c>
      <c r="AC281" s="104">
        <v>0</v>
      </c>
      <c r="AD281" s="104">
        <v>0</v>
      </c>
      <c r="AE281" s="104">
        <v>0</v>
      </c>
      <c r="AF281" s="104">
        <v>0</v>
      </c>
      <c r="AG281" s="104">
        <v>0</v>
      </c>
      <c r="AH281" s="104">
        <v>0</v>
      </c>
      <c r="AI281" s="104">
        <v>0</v>
      </c>
      <c r="AJ281" s="104">
        <v>0</v>
      </c>
      <c r="AK281" s="104">
        <v>0</v>
      </c>
      <c r="AL281" s="104">
        <v>0</v>
      </c>
      <c r="AM281" s="104">
        <v>0</v>
      </c>
      <c r="AN281" s="104">
        <v>0</v>
      </c>
      <c r="AO281" s="104">
        <v>0</v>
      </c>
      <c r="AP281" s="104">
        <v>0</v>
      </c>
      <c r="AQ281" s="104">
        <v>0</v>
      </c>
      <c r="AR281" s="104">
        <v>0</v>
      </c>
      <c r="AS281" s="104">
        <v>4266</v>
      </c>
      <c r="AT281" s="104">
        <v>104</v>
      </c>
      <c r="AU281" s="104">
        <v>0</v>
      </c>
      <c r="AV281" s="104">
        <v>494</v>
      </c>
      <c r="AW281" s="104">
        <v>15</v>
      </c>
      <c r="AX281" s="104">
        <v>0</v>
      </c>
      <c r="AZ281" s="104">
        <f t="shared" si="16"/>
        <v>6786</v>
      </c>
      <c r="BA281" s="104">
        <f t="shared" si="17"/>
        <v>0</v>
      </c>
      <c r="BB281" s="96">
        <f t="shared" si="18"/>
        <v>0</v>
      </c>
      <c r="BC281" s="104">
        <f t="shared" si="19"/>
        <v>0</v>
      </c>
    </row>
    <row r="282" spans="1:55">
      <c r="A282" s="102" t="s">
        <v>392</v>
      </c>
      <c r="B282" s="24" t="s">
        <v>682</v>
      </c>
      <c r="C282" s="103" t="s">
        <v>249</v>
      </c>
      <c r="D282" s="104">
        <v>0</v>
      </c>
      <c r="E282" s="104">
        <v>11847</v>
      </c>
      <c r="F282" s="104">
        <v>213</v>
      </c>
      <c r="G282" s="104">
        <v>0</v>
      </c>
      <c r="H282" s="104">
        <v>0</v>
      </c>
      <c r="I282" s="104">
        <v>0</v>
      </c>
      <c r="J282" s="104">
        <v>0</v>
      </c>
      <c r="K282" s="104">
        <v>0</v>
      </c>
      <c r="L282" s="104">
        <v>0</v>
      </c>
      <c r="M282" s="104">
        <v>0</v>
      </c>
      <c r="N282" s="104">
        <v>0</v>
      </c>
      <c r="O282" s="104">
        <v>0</v>
      </c>
      <c r="P282" s="104">
        <v>0</v>
      </c>
      <c r="Q282" s="104">
        <v>0</v>
      </c>
      <c r="R282" s="104">
        <v>0</v>
      </c>
      <c r="S282" s="104">
        <v>0</v>
      </c>
      <c r="T282" s="104">
        <v>0</v>
      </c>
      <c r="U282" s="104">
        <v>0</v>
      </c>
      <c r="V282" s="104">
        <v>0</v>
      </c>
      <c r="W282" s="104">
        <v>0</v>
      </c>
      <c r="X282" s="104">
        <v>0</v>
      </c>
      <c r="Y282" s="104">
        <v>0</v>
      </c>
      <c r="Z282" s="104">
        <v>0</v>
      </c>
      <c r="AA282" s="104">
        <v>0</v>
      </c>
      <c r="AB282" s="104">
        <v>0</v>
      </c>
      <c r="AC282" s="104">
        <v>0</v>
      </c>
      <c r="AD282" s="104">
        <v>0</v>
      </c>
      <c r="AE282" s="104">
        <v>0</v>
      </c>
      <c r="AF282" s="104">
        <v>0</v>
      </c>
      <c r="AG282" s="104">
        <v>0</v>
      </c>
      <c r="AH282" s="104">
        <v>0</v>
      </c>
      <c r="AI282" s="104">
        <v>0</v>
      </c>
      <c r="AJ282" s="104">
        <v>0</v>
      </c>
      <c r="AK282" s="104">
        <v>0</v>
      </c>
      <c r="AL282" s="104">
        <v>0</v>
      </c>
      <c r="AM282" s="104">
        <v>0</v>
      </c>
      <c r="AN282" s="104">
        <v>0</v>
      </c>
      <c r="AO282" s="104">
        <v>0</v>
      </c>
      <c r="AP282" s="104">
        <v>0</v>
      </c>
      <c r="AQ282" s="104">
        <v>0</v>
      </c>
      <c r="AR282" s="104">
        <v>0</v>
      </c>
      <c r="AS282" s="104">
        <v>0</v>
      </c>
      <c r="AT282" s="104">
        <v>0</v>
      </c>
      <c r="AU282" s="104">
        <v>0</v>
      </c>
      <c r="AV282" s="104">
        <v>0</v>
      </c>
      <c r="AW282" s="104">
        <v>0</v>
      </c>
      <c r="AX282" s="104">
        <v>0</v>
      </c>
      <c r="AZ282" s="104">
        <f t="shared" si="16"/>
        <v>11847</v>
      </c>
      <c r="BA282" s="104">
        <f t="shared" si="17"/>
        <v>213</v>
      </c>
      <c r="BB282" s="96">
        <f t="shared" si="18"/>
        <v>0</v>
      </c>
      <c r="BC282" s="104">
        <f t="shared" si="19"/>
        <v>0</v>
      </c>
    </row>
    <row r="283" spans="1:55">
      <c r="A283" s="102" t="s">
        <v>393</v>
      </c>
      <c r="B283" s="24" t="s">
        <v>683</v>
      </c>
      <c r="C283" s="103" t="s">
        <v>394</v>
      </c>
      <c r="D283" s="104">
        <v>0</v>
      </c>
      <c r="E283" s="104">
        <v>203473</v>
      </c>
      <c r="F283" s="104">
        <v>3737</v>
      </c>
      <c r="G283" s="104">
        <v>0</v>
      </c>
      <c r="H283" s="104">
        <v>0</v>
      </c>
      <c r="I283" s="104">
        <v>0</v>
      </c>
      <c r="J283" s="104">
        <v>0</v>
      </c>
      <c r="K283" s="104">
        <v>69871</v>
      </c>
      <c r="L283" s="104">
        <v>1283</v>
      </c>
      <c r="M283" s="104">
        <v>0</v>
      </c>
      <c r="N283" s="104">
        <v>0</v>
      </c>
      <c r="O283" s="104">
        <v>0</v>
      </c>
      <c r="P283" s="104">
        <v>0</v>
      </c>
      <c r="Q283" s="104">
        <v>0</v>
      </c>
      <c r="R283" s="104">
        <v>0</v>
      </c>
      <c r="S283" s="104">
        <v>0</v>
      </c>
      <c r="T283" s="104">
        <v>0</v>
      </c>
      <c r="U283" s="104">
        <v>0</v>
      </c>
      <c r="V283" s="104">
        <v>0</v>
      </c>
      <c r="W283" s="104">
        <v>0</v>
      </c>
      <c r="X283" s="104">
        <v>176898</v>
      </c>
      <c r="Y283" s="104">
        <v>3253</v>
      </c>
      <c r="Z283" s="104">
        <v>0</v>
      </c>
      <c r="AA283" s="104">
        <v>0</v>
      </c>
      <c r="AB283" s="104">
        <v>0</v>
      </c>
      <c r="AC283" s="104">
        <v>0</v>
      </c>
      <c r="AD283" s="104">
        <v>0</v>
      </c>
      <c r="AE283" s="104">
        <v>0</v>
      </c>
      <c r="AF283" s="104">
        <v>0</v>
      </c>
      <c r="AG283" s="104">
        <v>0</v>
      </c>
      <c r="AH283" s="104">
        <v>0</v>
      </c>
      <c r="AI283" s="104">
        <v>0</v>
      </c>
      <c r="AJ283" s="104">
        <v>0</v>
      </c>
      <c r="AK283" s="104">
        <v>0</v>
      </c>
      <c r="AL283" s="104">
        <v>0</v>
      </c>
      <c r="AM283" s="104">
        <v>0</v>
      </c>
      <c r="AN283" s="104">
        <v>0</v>
      </c>
      <c r="AO283" s="104">
        <v>0</v>
      </c>
      <c r="AP283" s="104">
        <v>0</v>
      </c>
      <c r="AQ283" s="104">
        <v>0</v>
      </c>
      <c r="AR283" s="104">
        <v>0</v>
      </c>
      <c r="AS283" s="104">
        <v>0</v>
      </c>
      <c r="AT283" s="104">
        <v>0</v>
      </c>
      <c r="AU283" s="104">
        <v>0</v>
      </c>
      <c r="AV283" s="104">
        <v>0</v>
      </c>
      <c r="AW283" s="104">
        <v>0</v>
      </c>
      <c r="AX283" s="104">
        <v>0</v>
      </c>
      <c r="AZ283" s="104">
        <f t="shared" si="16"/>
        <v>450242</v>
      </c>
      <c r="BA283" s="104">
        <f t="shared" si="17"/>
        <v>8273</v>
      </c>
      <c r="BB283" s="96">
        <f t="shared" si="18"/>
        <v>0</v>
      </c>
      <c r="BC283" s="104">
        <f t="shared" si="19"/>
        <v>0</v>
      </c>
    </row>
    <row r="284" spans="1:55">
      <c r="A284" s="102" t="s">
        <v>395</v>
      </c>
      <c r="B284" s="24" t="s">
        <v>684</v>
      </c>
      <c r="C284" s="103" t="s">
        <v>290</v>
      </c>
      <c r="D284" s="104">
        <v>0</v>
      </c>
      <c r="E284" s="104">
        <v>26522</v>
      </c>
      <c r="F284" s="104">
        <v>315</v>
      </c>
      <c r="G284" s="104">
        <v>0</v>
      </c>
      <c r="H284" s="104">
        <v>0</v>
      </c>
      <c r="I284" s="104">
        <v>0</v>
      </c>
      <c r="J284" s="104">
        <v>0</v>
      </c>
      <c r="K284" s="104">
        <v>10625</v>
      </c>
      <c r="L284" s="104">
        <v>414</v>
      </c>
      <c r="M284" s="104">
        <v>0</v>
      </c>
      <c r="N284" s="104">
        <v>0</v>
      </c>
      <c r="O284" s="104">
        <v>0</v>
      </c>
      <c r="P284" s="104">
        <v>0</v>
      </c>
      <c r="Q284" s="104">
        <v>0</v>
      </c>
      <c r="R284" s="104">
        <v>0</v>
      </c>
      <c r="S284" s="104">
        <v>0</v>
      </c>
      <c r="T284" s="104">
        <v>0</v>
      </c>
      <c r="U284" s="104">
        <v>0</v>
      </c>
      <c r="V284" s="104">
        <v>0</v>
      </c>
      <c r="W284" s="104">
        <v>0</v>
      </c>
      <c r="X284" s="104">
        <v>19955</v>
      </c>
      <c r="Y284" s="104">
        <v>359</v>
      </c>
      <c r="Z284" s="104">
        <v>0</v>
      </c>
      <c r="AA284" s="104">
        <v>0</v>
      </c>
      <c r="AB284" s="104">
        <v>0</v>
      </c>
      <c r="AC284" s="104">
        <v>0</v>
      </c>
      <c r="AD284" s="104">
        <v>0</v>
      </c>
      <c r="AE284" s="104">
        <v>0</v>
      </c>
      <c r="AF284" s="104">
        <v>0</v>
      </c>
      <c r="AG284" s="104">
        <v>0</v>
      </c>
      <c r="AH284" s="104">
        <v>0</v>
      </c>
      <c r="AI284" s="104">
        <v>0</v>
      </c>
      <c r="AJ284" s="104">
        <v>0</v>
      </c>
      <c r="AK284" s="104">
        <v>0</v>
      </c>
      <c r="AL284" s="104">
        <v>0</v>
      </c>
      <c r="AM284" s="104">
        <v>0</v>
      </c>
      <c r="AN284" s="104">
        <v>0</v>
      </c>
      <c r="AO284" s="104">
        <v>0</v>
      </c>
      <c r="AP284" s="104">
        <v>0</v>
      </c>
      <c r="AQ284" s="104">
        <v>0</v>
      </c>
      <c r="AR284" s="104">
        <v>0</v>
      </c>
      <c r="AS284" s="104">
        <v>0</v>
      </c>
      <c r="AT284" s="104">
        <v>0</v>
      </c>
      <c r="AU284" s="104">
        <v>0</v>
      </c>
      <c r="AV284" s="104">
        <v>0</v>
      </c>
      <c r="AW284" s="104">
        <v>0</v>
      </c>
      <c r="AX284" s="104">
        <v>0</v>
      </c>
      <c r="AZ284" s="104">
        <f t="shared" si="16"/>
        <v>57102</v>
      </c>
      <c r="BA284" s="104">
        <f t="shared" si="17"/>
        <v>1088</v>
      </c>
      <c r="BB284" s="96">
        <f t="shared" si="18"/>
        <v>0</v>
      </c>
      <c r="BC284" s="104">
        <f t="shared" si="19"/>
        <v>0</v>
      </c>
    </row>
    <row r="285" spans="1:55">
      <c r="A285" s="102" t="s">
        <v>396</v>
      </c>
      <c r="B285" s="24" t="s">
        <v>685</v>
      </c>
      <c r="C285" s="103" t="s">
        <v>382</v>
      </c>
      <c r="D285" s="104">
        <v>0</v>
      </c>
      <c r="E285" s="104">
        <v>25776</v>
      </c>
      <c r="F285" s="104">
        <v>474</v>
      </c>
      <c r="G285" s="104">
        <v>0</v>
      </c>
      <c r="H285" s="104">
        <v>0</v>
      </c>
      <c r="I285" s="104">
        <v>0</v>
      </c>
      <c r="J285" s="104">
        <v>0</v>
      </c>
      <c r="K285" s="104">
        <v>7958</v>
      </c>
      <c r="L285" s="104">
        <v>147</v>
      </c>
      <c r="M285" s="104">
        <v>0</v>
      </c>
      <c r="N285" s="104">
        <v>0</v>
      </c>
      <c r="O285" s="104">
        <v>0</v>
      </c>
      <c r="P285" s="104">
        <v>0</v>
      </c>
      <c r="Q285" s="104">
        <v>0</v>
      </c>
      <c r="R285" s="104">
        <v>0</v>
      </c>
      <c r="S285" s="104">
        <v>0</v>
      </c>
      <c r="T285" s="104">
        <v>0</v>
      </c>
      <c r="U285" s="104">
        <v>0</v>
      </c>
      <c r="V285" s="104">
        <v>0</v>
      </c>
      <c r="W285" s="104">
        <v>0</v>
      </c>
      <c r="X285" s="104">
        <v>17084</v>
      </c>
      <c r="Y285" s="104">
        <v>317</v>
      </c>
      <c r="Z285" s="104">
        <v>0</v>
      </c>
      <c r="AA285" s="104">
        <v>0</v>
      </c>
      <c r="AB285" s="104">
        <v>0</v>
      </c>
      <c r="AC285" s="104">
        <v>0</v>
      </c>
      <c r="AD285" s="104">
        <v>0</v>
      </c>
      <c r="AE285" s="104">
        <v>0</v>
      </c>
      <c r="AF285" s="104">
        <v>0</v>
      </c>
      <c r="AG285" s="104">
        <v>0</v>
      </c>
      <c r="AH285" s="104">
        <v>0</v>
      </c>
      <c r="AI285" s="104">
        <v>0</v>
      </c>
      <c r="AJ285" s="104">
        <v>0</v>
      </c>
      <c r="AK285" s="104">
        <v>0</v>
      </c>
      <c r="AL285" s="104">
        <v>0</v>
      </c>
      <c r="AM285" s="104">
        <v>0</v>
      </c>
      <c r="AN285" s="104">
        <v>0</v>
      </c>
      <c r="AO285" s="104">
        <v>0</v>
      </c>
      <c r="AP285" s="104">
        <v>0</v>
      </c>
      <c r="AQ285" s="104">
        <v>0</v>
      </c>
      <c r="AR285" s="104">
        <v>0</v>
      </c>
      <c r="AS285" s="104">
        <v>1993</v>
      </c>
      <c r="AT285" s="104">
        <v>37</v>
      </c>
      <c r="AU285" s="104">
        <v>0</v>
      </c>
      <c r="AV285" s="104">
        <v>0</v>
      </c>
      <c r="AW285" s="104">
        <v>0</v>
      </c>
      <c r="AX285" s="104">
        <v>0</v>
      </c>
      <c r="AZ285" s="104">
        <f t="shared" si="16"/>
        <v>50818</v>
      </c>
      <c r="BA285" s="104">
        <f t="shared" si="17"/>
        <v>938</v>
      </c>
      <c r="BB285" s="96">
        <f t="shared" si="18"/>
        <v>0</v>
      </c>
      <c r="BC285" s="104">
        <f t="shared" si="19"/>
        <v>0</v>
      </c>
    </row>
    <row r="286" spans="1:55">
      <c r="A286" s="102" t="s">
        <v>397</v>
      </c>
      <c r="B286" s="24" t="s">
        <v>686</v>
      </c>
      <c r="C286" s="103" t="s">
        <v>394</v>
      </c>
      <c r="D286" s="104">
        <v>0</v>
      </c>
      <c r="E286" s="104">
        <v>0</v>
      </c>
      <c r="F286" s="104">
        <v>0</v>
      </c>
      <c r="G286" s="104">
        <v>0</v>
      </c>
      <c r="H286" s="104">
        <v>0</v>
      </c>
      <c r="I286" s="104">
        <v>0</v>
      </c>
      <c r="J286" s="104">
        <v>0</v>
      </c>
      <c r="K286" s="104">
        <v>14580</v>
      </c>
      <c r="L286" s="104">
        <v>281</v>
      </c>
      <c r="M286" s="104">
        <v>0</v>
      </c>
      <c r="N286" s="104">
        <v>0</v>
      </c>
      <c r="O286" s="104">
        <v>0</v>
      </c>
      <c r="P286" s="104">
        <v>0</v>
      </c>
      <c r="Q286" s="104">
        <v>0</v>
      </c>
      <c r="R286" s="104">
        <v>0</v>
      </c>
      <c r="S286" s="104">
        <v>0</v>
      </c>
      <c r="T286" s="104">
        <v>0</v>
      </c>
      <c r="U286" s="104">
        <v>0</v>
      </c>
      <c r="V286" s="104">
        <v>0</v>
      </c>
      <c r="W286" s="104">
        <v>0</v>
      </c>
      <c r="X286" s="104">
        <v>37300</v>
      </c>
      <c r="Y286" s="104">
        <v>717</v>
      </c>
      <c r="Z286" s="104">
        <v>0</v>
      </c>
      <c r="AA286" s="104">
        <v>0</v>
      </c>
      <c r="AB286" s="104">
        <v>0</v>
      </c>
      <c r="AC286" s="104">
        <v>0</v>
      </c>
      <c r="AD286" s="104">
        <v>0</v>
      </c>
      <c r="AE286" s="104">
        <v>0</v>
      </c>
      <c r="AF286" s="104">
        <v>0</v>
      </c>
      <c r="AG286" s="104">
        <v>0</v>
      </c>
      <c r="AH286" s="104">
        <v>0</v>
      </c>
      <c r="AI286" s="104">
        <v>0</v>
      </c>
      <c r="AJ286" s="104">
        <v>0</v>
      </c>
      <c r="AK286" s="104">
        <v>0</v>
      </c>
      <c r="AL286" s="104">
        <v>0</v>
      </c>
      <c r="AM286" s="104">
        <v>0</v>
      </c>
      <c r="AN286" s="104">
        <v>0</v>
      </c>
      <c r="AO286" s="104">
        <v>0</v>
      </c>
      <c r="AP286" s="104">
        <v>0</v>
      </c>
      <c r="AQ286" s="104">
        <v>0</v>
      </c>
      <c r="AR286" s="104">
        <v>0</v>
      </c>
      <c r="AS286" s="104">
        <v>4970</v>
      </c>
      <c r="AT286" s="104">
        <v>0</v>
      </c>
      <c r="AU286" s="104">
        <v>0</v>
      </c>
      <c r="AV286" s="104">
        <v>0</v>
      </c>
      <c r="AW286" s="104">
        <v>0</v>
      </c>
      <c r="AX286" s="104">
        <v>0</v>
      </c>
      <c r="AZ286" s="104">
        <f t="shared" si="16"/>
        <v>51880</v>
      </c>
      <c r="BA286" s="104">
        <f t="shared" si="17"/>
        <v>998</v>
      </c>
      <c r="BB286" s="96">
        <f t="shared" si="18"/>
        <v>0</v>
      </c>
      <c r="BC286" s="104">
        <f t="shared" si="19"/>
        <v>0</v>
      </c>
    </row>
    <row r="287" spans="1:55">
      <c r="A287" s="102" t="s">
        <v>398</v>
      </c>
      <c r="B287" s="24" t="s">
        <v>687</v>
      </c>
      <c r="C287" s="103" t="s">
        <v>282</v>
      </c>
      <c r="D287" s="104">
        <v>0</v>
      </c>
      <c r="E287" s="104">
        <v>70321</v>
      </c>
      <c r="F287" s="104">
        <v>1236</v>
      </c>
      <c r="G287" s="104">
        <v>0</v>
      </c>
      <c r="H287" s="104">
        <v>0</v>
      </c>
      <c r="I287" s="104">
        <v>0</v>
      </c>
      <c r="J287" s="104">
        <v>0</v>
      </c>
      <c r="K287" s="104">
        <v>14382</v>
      </c>
      <c r="L287" s="104">
        <v>176</v>
      </c>
      <c r="M287" s="104">
        <v>0</v>
      </c>
      <c r="N287" s="104">
        <v>0</v>
      </c>
      <c r="O287" s="104">
        <v>0</v>
      </c>
      <c r="P287" s="104">
        <v>0</v>
      </c>
      <c r="Q287" s="104">
        <v>0</v>
      </c>
      <c r="R287" s="104">
        <v>0</v>
      </c>
      <c r="S287" s="104">
        <v>0</v>
      </c>
      <c r="T287" s="104">
        <v>0</v>
      </c>
      <c r="U287" s="104">
        <v>0</v>
      </c>
      <c r="V287" s="104">
        <v>0</v>
      </c>
      <c r="W287" s="104">
        <v>0</v>
      </c>
      <c r="X287" s="104">
        <v>27013</v>
      </c>
      <c r="Y287" s="104">
        <v>1014</v>
      </c>
      <c r="Z287" s="104">
        <v>0</v>
      </c>
      <c r="AA287" s="104">
        <v>0</v>
      </c>
      <c r="AB287" s="104">
        <v>0</v>
      </c>
      <c r="AC287" s="104">
        <v>0</v>
      </c>
      <c r="AD287" s="104">
        <v>0</v>
      </c>
      <c r="AE287" s="104">
        <v>0</v>
      </c>
      <c r="AF287" s="104">
        <v>0</v>
      </c>
      <c r="AG287" s="104">
        <v>0</v>
      </c>
      <c r="AH287" s="104">
        <v>0</v>
      </c>
      <c r="AI287" s="104">
        <v>0</v>
      </c>
      <c r="AJ287" s="104">
        <v>0</v>
      </c>
      <c r="AK287" s="104">
        <v>0</v>
      </c>
      <c r="AL287" s="104">
        <v>0</v>
      </c>
      <c r="AM287" s="104">
        <v>0</v>
      </c>
      <c r="AN287" s="104">
        <v>0</v>
      </c>
      <c r="AO287" s="104">
        <v>0</v>
      </c>
      <c r="AP287" s="104">
        <v>0</v>
      </c>
      <c r="AQ287" s="104">
        <v>0</v>
      </c>
      <c r="AR287" s="104">
        <v>0</v>
      </c>
      <c r="AS287" s="104">
        <v>7572</v>
      </c>
      <c r="AT287" s="104">
        <v>132</v>
      </c>
      <c r="AU287" s="104">
        <v>0</v>
      </c>
      <c r="AV287" s="104">
        <v>0</v>
      </c>
      <c r="AW287" s="104">
        <v>0</v>
      </c>
      <c r="AX287" s="104">
        <v>0</v>
      </c>
      <c r="AZ287" s="104">
        <f t="shared" si="16"/>
        <v>111716</v>
      </c>
      <c r="BA287" s="104">
        <f t="shared" si="17"/>
        <v>2426</v>
      </c>
      <c r="BB287" s="96">
        <f t="shared" si="18"/>
        <v>0</v>
      </c>
      <c r="BC287" s="104">
        <f t="shared" si="19"/>
        <v>0</v>
      </c>
    </row>
    <row r="288" spans="1:55">
      <c r="A288" s="102" t="s">
        <v>399</v>
      </c>
      <c r="B288" s="24" t="s">
        <v>688</v>
      </c>
      <c r="C288" s="103" t="s">
        <v>34</v>
      </c>
      <c r="D288" s="104">
        <v>0</v>
      </c>
      <c r="E288" s="104">
        <v>1505</v>
      </c>
      <c r="F288" s="104">
        <v>36</v>
      </c>
      <c r="G288" s="104">
        <v>0</v>
      </c>
      <c r="H288" s="104">
        <v>0</v>
      </c>
      <c r="I288" s="104">
        <v>0</v>
      </c>
      <c r="J288" s="104">
        <v>0</v>
      </c>
      <c r="K288" s="104">
        <v>3124</v>
      </c>
      <c r="L288" s="104">
        <v>75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10321</v>
      </c>
      <c r="Y288" s="104">
        <v>248</v>
      </c>
      <c r="Z288" s="104">
        <v>0</v>
      </c>
      <c r="AA288" s="104">
        <v>0</v>
      </c>
      <c r="AB288" s="104">
        <v>0</v>
      </c>
      <c r="AC288" s="104">
        <v>0</v>
      </c>
      <c r="AD288" s="104">
        <v>0</v>
      </c>
      <c r="AE288" s="104">
        <v>0</v>
      </c>
      <c r="AF288" s="104">
        <v>0</v>
      </c>
      <c r="AG288" s="104">
        <v>0</v>
      </c>
      <c r="AH288" s="104">
        <v>0</v>
      </c>
      <c r="AI288" s="104">
        <v>0</v>
      </c>
      <c r="AJ288" s="104">
        <v>0</v>
      </c>
      <c r="AK288" s="104">
        <v>0</v>
      </c>
      <c r="AL288" s="104">
        <v>0</v>
      </c>
      <c r="AM288" s="104">
        <v>0</v>
      </c>
      <c r="AN288" s="104">
        <v>0</v>
      </c>
      <c r="AO288" s="104">
        <v>0</v>
      </c>
      <c r="AP288" s="104">
        <v>0</v>
      </c>
      <c r="AQ288" s="104">
        <v>0</v>
      </c>
      <c r="AR288" s="104">
        <v>0</v>
      </c>
      <c r="AS288" s="104">
        <v>781</v>
      </c>
      <c r="AT288" s="104">
        <v>19</v>
      </c>
      <c r="AU288" s="104">
        <v>0</v>
      </c>
      <c r="AV288" s="104">
        <v>0</v>
      </c>
      <c r="AW288" s="104">
        <v>0</v>
      </c>
      <c r="AX288" s="104">
        <v>0</v>
      </c>
      <c r="AZ288" s="104">
        <f t="shared" si="16"/>
        <v>14950</v>
      </c>
      <c r="BA288" s="104">
        <f t="shared" si="17"/>
        <v>359</v>
      </c>
      <c r="BB288" s="96">
        <f t="shared" si="18"/>
        <v>0</v>
      </c>
      <c r="BC288" s="104">
        <f t="shared" si="19"/>
        <v>0</v>
      </c>
    </row>
    <row r="289" spans="1:55">
      <c r="A289" s="102" t="s">
        <v>400</v>
      </c>
      <c r="B289" s="24" t="s">
        <v>689</v>
      </c>
      <c r="C289" s="103" t="s">
        <v>290</v>
      </c>
      <c r="D289" s="104">
        <v>0</v>
      </c>
      <c r="E289" s="104">
        <v>32254</v>
      </c>
      <c r="F289" s="104">
        <v>827</v>
      </c>
      <c r="G289" s="104">
        <v>0</v>
      </c>
      <c r="H289" s="104">
        <v>0</v>
      </c>
      <c r="I289" s="104">
        <v>0</v>
      </c>
      <c r="J289" s="104">
        <v>0</v>
      </c>
      <c r="K289" s="104">
        <v>9446</v>
      </c>
      <c r="L289" s="104">
        <v>0</v>
      </c>
      <c r="M289" s="104">
        <v>0</v>
      </c>
      <c r="N289" s="104">
        <v>0</v>
      </c>
      <c r="O289" s="104">
        <v>0</v>
      </c>
      <c r="P289" s="104">
        <v>0</v>
      </c>
      <c r="Q289" s="104">
        <v>0</v>
      </c>
      <c r="R289" s="104">
        <v>0</v>
      </c>
      <c r="S289" s="104">
        <v>0</v>
      </c>
      <c r="T289" s="104">
        <v>0</v>
      </c>
      <c r="U289" s="104">
        <v>0</v>
      </c>
      <c r="V289" s="104">
        <v>0</v>
      </c>
      <c r="W289" s="104">
        <v>0</v>
      </c>
      <c r="X289" s="104">
        <v>2663</v>
      </c>
      <c r="Y289" s="104">
        <v>86</v>
      </c>
      <c r="Z289" s="104">
        <v>0</v>
      </c>
      <c r="AA289" s="104">
        <v>0</v>
      </c>
      <c r="AB289" s="104">
        <v>0</v>
      </c>
      <c r="AC289" s="104">
        <v>0</v>
      </c>
      <c r="AD289" s="104">
        <v>0</v>
      </c>
      <c r="AE289" s="104">
        <v>0</v>
      </c>
      <c r="AF289" s="104">
        <v>0</v>
      </c>
      <c r="AG289" s="104">
        <v>0</v>
      </c>
      <c r="AH289" s="104">
        <v>0</v>
      </c>
      <c r="AI289" s="104">
        <v>0</v>
      </c>
      <c r="AJ289" s="104">
        <v>0</v>
      </c>
      <c r="AK289" s="104">
        <v>0</v>
      </c>
      <c r="AL289" s="104">
        <v>0</v>
      </c>
      <c r="AM289" s="104">
        <v>0</v>
      </c>
      <c r="AN289" s="104">
        <v>0</v>
      </c>
      <c r="AO289" s="104">
        <v>0</v>
      </c>
      <c r="AP289" s="104">
        <v>0</v>
      </c>
      <c r="AQ289" s="104">
        <v>0</v>
      </c>
      <c r="AR289" s="104">
        <v>0</v>
      </c>
      <c r="AS289" s="104">
        <v>9209</v>
      </c>
      <c r="AT289" s="104">
        <v>237</v>
      </c>
      <c r="AU289" s="104">
        <v>0</v>
      </c>
      <c r="AV289" s="104">
        <v>0</v>
      </c>
      <c r="AW289" s="104">
        <v>0</v>
      </c>
      <c r="AX289" s="104">
        <v>0</v>
      </c>
      <c r="AZ289" s="104">
        <f t="shared" si="16"/>
        <v>44363</v>
      </c>
      <c r="BA289" s="104">
        <f t="shared" si="17"/>
        <v>913</v>
      </c>
      <c r="BB289" s="96">
        <f t="shared" si="18"/>
        <v>0</v>
      </c>
      <c r="BC289" s="104">
        <f t="shared" si="19"/>
        <v>0</v>
      </c>
    </row>
    <row r="290" spans="1:55">
      <c r="A290" s="102" t="s">
        <v>401</v>
      </c>
      <c r="B290" s="24" t="s">
        <v>690</v>
      </c>
      <c r="C290" s="103" t="s">
        <v>247</v>
      </c>
      <c r="D290" s="104">
        <v>0</v>
      </c>
      <c r="E290" s="104">
        <v>28699</v>
      </c>
      <c r="F290" s="104">
        <v>176</v>
      </c>
      <c r="G290" s="104">
        <v>0</v>
      </c>
      <c r="H290" s="104">
        <v>0</v>
      </c>
      <c r="I290" s="104">
        <v>0</v>
      </c>
      <c r="J290" s="104">
        <v>0</v>
      </c>
      <c r="K290" s="104">
        <v>7704</v>
      </c>
      <c r="L290" s="104">
        <v>50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20679</v>
      </c>
      <c r="Y290" s="104">
        <v>119</v>
      </c>
      <c r="Z290" s="104">
        <v>0</v>
      </c>
      <c r="AA290" s="104">
        <v>0</v>
      </c>
      <c r="AB290" s="104">
        <v>0</v>
      </c>
      <c r="AC290" s="104">
        <v>0</v>
      </c>
      <c r="AD290" s="104">
        <v>0</v>
      </c>
      <c r="AE290" s="104">
        <v>0</v>
      </c>
      <c r="AF290" s="104">
        <v>0</v>
      </c>
      <c r="AG290" s="104">
        <v>0</v>
      </c>
      <c r="AH290" s="104">
        <v>0</v>
      </c>
      <c r="AI290" s="104">
        <v>0</v>
      </c>
      <c r="AJ290" s="104">
        <v>0</v>
      </c>
      <c r="AK290" s="104">
        <v>0</v>
      </c>
      <c r="AL290" s="104">
        <v>0</v>
      </c>
      <c r="AM290" s="104">
        <v>0</v>
      </c>
      <c r="AN290" s="104">
        <v>0</v>
      </c>
      <c r="AO290" s="104">
        <v>0</v>
      </c>
      <c r="AP290" s="104">
        <v>0</v>
      </c>
      <c r="AQ290" s="104">
        <v>0</v>
      </c>
      <c r="AR290" s="104">
        <v>0</v>
      </c>
      <c r="AS290" s="104">
        <v>0</v>
      </c>
      <c r="AT290" s="104">
        <v>0</v>
      </c>
      <c r="AU290" s="104">
        <v>0</v>
      </c>
      <c r="AV290" s="104">
        <v>0</v>
      </c>
      <c r="AW290" s="104">
        <v>0</v>
      </c>
      <c r="AX290" s="104">
        <v>0</v>
      </c>
      <c r="AZ290" s="104">
        <f t="shared" si="16"/>
        <v>57082</v>
      </c>
      <c r="BA290" s="104">
        <f t="shared" si="17"/>
        <v>345</v>
      </c>
      <c r="BB290" s="96">
        <f t="shared" si="18"/>
        <v>0</v>
      </c>
      <c r="BC290" s="104">
        <f t="shared" si="19"/>
        <v>0</v>
      </c>
    </row>
    <row r="291" spans="1:55">
      <c r="A291" s="102" t="s">
        <v>402</v>
      </c>
      <c r="B291" s="24" t="s">
        <v>691</v>
      </c>
      <c r="C291" s="103" t="s">
        <v>284</v>
      </c>
      <c r="D291" s="104">
        <v>0</v>
      </c>
      <c r="E291" s="104">
        <v>526553</v>
      </c>
      <c r="F291" s="104">
        <v>6460</v>
      </c>
      <c r="G291" s="104">
        <v>0</v>
      </c>
      <c r="H291" s="104">
        <v>0</v>
      </c>
      <c r="I291" s="104">
        <v>0</v>
      </c>
      <c r="J291" s="104">
        <v>0</v>
      </c>
      <c r="K291" s="104">
        <v>151358</v>
      </c>
      <c r="L291" s="104">
        <v>1859</v>
      </c>
      <c r="M291" s="104">
        <v>0</v>
      </c>
      <c r="N291" s="104">
        <v>0</v>
      </c>
      <c r="O291" s="104">
        <v>0</v>
      </c>
      <c r="P291" s="104">
        <v>0</v>
      </c>
      <c r="Q291" s="104">
        <v>0</v>
      </c>
      <c r="R291" s="104">
        <v>0</v>
      </c>
      <c r="S291" s="104">
        <v>0</v>
      </c>
      <c r="T291" s="104">
        <v>0</v>
      </c>
      <c r="U291" s="104">
        <v>0</v>
      </c>
      <c r="V291" s="104">
        <v>0</v>
      </c>
      <c r="W291" s="104">
        <v>0</v>
      </c>
      <c r="X291" s="104">
        <v>85470</v>
      </c>
      <c r="Y291" s="104">
        <v>1050</v>
      </c>
      <c r="Z291" s="104">
        <v>0</v>
      </c>
      <c r="AA291" s="104">
        <v>0</v>
      </c>
      <c r="AB291" s="104">
        <v>0</v>
      </c>
      <c r="AC291" s="104">
        <v>0</v>
      </c>
      <c r="AD291" s="104">
        <v>13054</v>
      </c>
      <c r="AE291" s="104">
        <v>165</v>
      </c>
      <c r="AF291" s="104">
        <v>0</v>
      </c>
      <c r="AG291" s="104">
        <v>0</v>
      </c>
      <c r="AH291" s="104">
        <v>0</v>
      </c>
      <c r="AI291" s="104">
        <v>0</v>
      </c>
      <c r="AJ291" s="104">
        <v>0</v>
      </c>
      <c r="AK291" s="104">
        <v>0</v>
      </c>
      <c r="AL291" s="104">
        <v>0</v>
      </c>
      <c r="AM291" s="104">
        <v>0</v>
      </c>
      <c r="AN291" s="104">
        <v>0</v>
      </c>
      <c r="AO291" s="104">
        <v>0</v>
      </c>
      <c r="AP291" s="104">
        <v>0</v>
      </c>
      <c r="AQ291" s="104">
        <v>0</v>
      </c>
      <c r="AR291" s="104">
        <v>0</v>
      </c>
      <c r="AS291" s="104">
        <v>75679</v>
      </c>
      <c r="AT291" s="104">
        <v>930</v>
      </c>
      <c r="AU291" s="104">
        <v>0</v>
      </c>
      <c r="AV291" s="104">
        <v>15846</v>
      </c>
      <c r="AW291" s="104">
        <v>195</v>
      </c>
      <c r="AX291" s="104">
        <v>0</v>
      </c>
      <c r="AZ291" s="104">
        <f t="shared" si="16"/>
        <v>763381</v>
      </c>
      <c r="BA291" s="104">
        <f t="shared" si="17"/>
        <v>9369</v>
      </c>
      <c r="BB291" s="96">
        <f t="shared" si="18"/>
        <v>0</v>
      </c>
      <c r="BC291" s="104">
        <f t="shared" si="19"/>
        <v>0</v>
      </c>
    </row>
    <row r="292" spans="1:55">
      <c r="A292" s="102" t="s">
        <v>403</v>
      </c>
      <c r="B292" s="24" t="s">
        <v>692</v>
      </c>
      <c r="C292" s="103" t="s">
        <v>42</v>
      </c>
      <c r="D292" s="104">
        <v>13295</v>
      </c>
      <c r="E292" s="104">
        <v>243517</v>
      </c>
      <c r="F292" s="104">
        <v>3898</v>
      </c>
      <c r="G292" s="104">
        <v>9517</v>
      </c>
      <c r="H292" s="104">
        <v>0</v>
      </c>
      <c r="I292" s="104">
        <v>0</v>
      </c>
      <c r="J292" s="104">
        <v>0</v>
      </c>
      <c r="K292" s="104">
        <v>57511</v>
      </c>
      <c r="L292" s="104">
        <v>920</v>
      </c>
      <c r="M292" s="104">
        <v>93</v>
      </c>
      <c r="N292" s="104">
        <v>3197</v>
      </c>
      <c r="O292" s="104">
        <v>0</v>
      </c>
      <c r="P292" s="104">
        <v>0</v>
      </c>
      <c r="Q292" s="104">
        <v>0</v>
      </c>
      <c r="R292" s="104">
        <v>0</v>
      </c>
      <c r="S292" s="104">
        <v>0</v>
      </c>
      <c r="T292" s="104">
        <v>0</v>
      </c>
      <c r="U292" s="104">
        <v>0</v>
      </c>
      <c r="V292" s="104">
        <v>0</v>
      </c>
      <c r="W292" s="104">
        <v>0</v>
      </c>
      <c r="X292" s="104">
        <v>60224</v>
      </c>
      <c r="Y292" s="104">
        <v>964</v>
      </c>
      <c r="Z292" s="104">
        <v>2794</v>
      </c>
      <c r="AA292" s="104">
        <v>0</v>
      </c>
      <c r="AB292" s="104">
        <v>0</v>
      </c>
      <c r="AC292" s="104">
        <v>0</v>
      </c>
      <c r="AD292" s="104">
        <v>0</v>
      </c>
      <c r="AE292" s="104">
        <v>0</v>
      </c>
      <c r="AF292" s="104">
        <v>0</v>
      </c>
      <c r="AG292" s="104">
        <v>0</v>
      </c>
      <c r="AH292" s="104">
        <v>0</v>
      </c>
      <c r="AI292" s="104">
        <v>0</v>
      </c>
      <c r="AJ292" s="104">
        <v>0</v>
      </c>
      <c r="AK292" s="104">
        <v>0</v>
      </c>
      <c r="AL292" s="104">
        <v>0</v>
      </c>
      <c r="AM292" s="104">
        <v>0</v>
      </c>
      <c r="AN292" s="104">
        <v>0</v>
      </c>
      <c r="AO292" s="104">
        <v>0</v>
      </c>
      <c r="AP292" s="104">
        <v>0</v>
      </c>
      <c r="AQ292" s="104">
        <v>0</v>
      </c>
      <c r="AR292" s="104">
        <v>0</v>
      </c>
      <c r="AS292" s="104">
        <v>0</v>
      </c>
      <c r="AT292" s="104">
        <v>0</v>
      </c>
      <c r="AU292" s="104">
        <v>0</v>
      </c>
      <c r="AV292" s="104">
        <v>0</v>
      </c>
      <c r="AW292" s="104">
        <v>0</v>
      </c>
      <c r="AX292" s="104">
        <v>0</v>
      </c>
      <c r="AZ292" s="104">
        <f t="shared" si="16"/>
        <v>361252</v>
      </c>
      <c r="BA292" s="104">
        <f t="shared" si="17"/>
        <v>5782</v>
      </c>
      <c r="BB292" s="96">
        <f t="shared" si="18"/>
        <v>93</v>
      </c>
      <c r="BC292" s="104">
        <f t="shared" si="19"/>
        <v>28803</v>
      </c>
    </row>
    <row r="293" spans="1:55">
      <c r="A293" s="102" t="s">
        <v>404</v>
      </c>
      <c r="B293" s="24" t="s">
        <v>693</v>
      </c>
      <c r="C293" s="103" t="s">
        <v>224</v>
      </c>
      <c r="D293" s="104">
        <v>0</v>
      </c>
      <c r="E293" s="104">
        <v>137787</v>
      </c>
      <c r="F293" s="104">
        <v>2057</v>
      </c>
      <c r="G293" s="104">
        <v>0</v>
      </c>
      <c r="H293" s="104">
        <v>0</v>
      </c>
      <c r="I293" s="104">
        <v>0</v>
      </c>
      <c r="J293" s="104">
        <v>0</v>
      </c>
      <c r="K293" s="104">
        <v>26862</v>
      </c>
      <c r="L293" s="104">
        <v>405</v>
      </c>
      <c r="M293" s="104">
        <v>0</v>
      </c>
      <c r="N293" s="104">
        <v>0</v>
      </c>
      <c r="O293" s="104">
        <v>0</v>
      </c>
      <c r="P293" s="104">
        <v>0</v>
      </c>
      <c r="Q293" s="104">
        <v>0</v>
      </c>
      <c r="R293" s="104">
        <v>0</v>
      </c>
      <c r="S293" s="104">
        <v>0</v>
      </c>
      <c r="T293" s="104">
        <v>0</v>
      </c>
      <c r="U293" s="104">
        <v>0</v>
      </c>
      <c r="V293" s="104">
        <v>0</v>
      </c>
      <c r="W293" s="104">
        <v>0</v>
      </c>
      <c r="X293" s="104">
        <v>81749</v>
      </c>
      <c r="Y293" s="104">
        <v>1197</v>
      </c>
      <c r="Z293" s="104">
        <v>0</v>
      </c>
      <c r="AA293" s="104">
        <v>25108</v>
      </c>
      <c r="AB293" s="104">
        <v>446</v>
      </c>
      <c r="AC293" s="104">
        <v>0</v>
      </c>
      <c r="AD293" s="104">
        <v>0</v>
      </c>
      <c r="AE293" s="104">
        <v>0</v>
      </c>
      <c r="AF293" s="104">
        <v>0</v>
      </c>
      <c r="AG293" s="104">
        <v>0</v>
      </c>
      <c r="AH293" s="104">
        <v>0</v>
      </c>
      <c r="AI293" s="104">
        <v>0</v>
      </c>
      <c r="AJ293" s="104">
        <v>0</v>
      </c>
      <c r="AK293" s="104">
        <v>0</v>
      </c>
      <c r="AL293" s="104">
        <v>0</v>
      </c>
      <c r="AM293" s="104">
        <v>0</v>
      </c>
      <c r="AN293" s="104">
        <v>0</v>
      </c>
      <c r="AO293" s="104">
        <v>0</v>
      </c>
      <c r="AP293" s="104">
        <v>0</v>
      </c>
      <c r="AQ293" s="104">
        <v>0</v>
      </c>
      <c r="AR293" s="104">
        <v>0</v>
      </c>
      <c r="AS293" s="104">
        <v>0</v>
      </c>
      <c r="AT293" s="104">
        <v>0</v>
      </c>
      <c r="AU293" s="104">
        <v>0</v>
      </c>
      <c r="AV293" s="104">
        <v>0</v>
      </c>
      <c r="AW293" s="104">
        <v>0</v>
      </c>
      <c r="AX293" s="104">
        <v>0</v>
      </c>
      <c r="AZ293" s="104">
        <f t="shared" si="16"/>
        <v>271506</v>
      </c>
      <c r="BA293" s="104">
        <f t="shared" si="17"/>
        <v>4105</v>
      </c>
      <c r="BB293" s="96">
        <f t="shared" si="18"/>
        <v>0</v>
      </c>
      <c r="BC293" s="104">
        <f t="shared" si="19"/>
        <v>0</v>
      </c>
    </row>
    <row r="294" spans="1:55">
      <c r="A294" s="102" t="s">
        <v>405</v>
      </c>
      <c r="B294" s="24" t="s">
        <v>694</v>
      </c>
      <c r="C294" s="103" t="s">
        <v>42</v>
      </c>
      <c r="D294" s="104">
        <v>0</v>
      </c>
      <c r="E294" s="104">
        <v>5643</v>
      </c>
      <c r="F294" s="104">
        <v>0</v>
      </c>
      <c r="G294" s="104">
        <v>18873</v>
      </c>
      <c r="H294" s="104">
        <v>0</v>
      </c>
      <c r="I294" s="104">
        <v>0</v>
      </c>
      <c r="J294" s="104">
        <v>0</v>
      </c>
      <c r="K294" s="104">
        <v>1831</v>
      </c>
      <c r="L294" s="104">
        <v>0</v>
      </c>
      <c r="M294" s="104">
        <v>0</v>
      </c>
      <c r="N294" s="104">
        <v>0</v>
      </c>
      <c r="O294" s="104">
        <v>0</v>
      </c>
      <c r="P294" s="104">
        <v>0</v>
      </c>
      <c r="Q294" s="104">
        <v>0</v>
      </c>
      <c r="R294" s="104">
        <v>0</v>
      </c>
      <c r="S294" s="104">
        <v>0</v>
      </c>
      <c r="T294" s="104">
        <v>0</v>
      </c>
      <c r="U294" s="104">
        <v>0</v>
      </c>
      <c r="V294" s="104">
        <v>0</v>
      </c>
      <c r="W294" s="104">
        <v>0</v>
      </c>
      <c r="X294" s="104">
        <v>7495</v>
      </c>
      <c r="Y294" s="104">
        <v>0</v>
      </c>
      <c r="Z294" s="104">
        <v>0</v>
      </c>
      <c r="AA294" s="104">
        <v>0</v>
      </c>
      <c r="AB294" s="104">
        <v>0</v>
      </c>
      <c r="AC294" s="104">
        <v>0</v>
      </c>
      <c r="AD294" s="104">
        <v>0</v>
      </c>
      <c r="AE294" s="104">
        <v>0</v>
      </c>
      <c r="AF294" s="104">
        <v>0</v>
      </c>
      <c r="AG294" s="104">
        <v>0</v>
      </c>
      <c r="AH294" s="104">
        <v>0</v>
      </c>
      <c r="AI294" s="104">
        <v>0</v>
      </c>
      <c r="AJ294" s="104">
        <v>0</v>
      </c>
      <c r="AK294" s="104">
        <v>0</v>
      </c>
      <c r="AL294" s="104">
        <v>0</v>
      </c>
      <c r="AM294" s="104">
        <v>0</v>
      </c>
      <c r="AN294" s="104">
        <v>0</v>
      </c>
      <c r="AO294" s="104">
        <v>0</v>
      </c>
      <c r="AP294" s="104">
        <v>0</v>
      </c>
      <c r="AQ294" s="104">
        <v>0</v>
      </c>
      <c r="AR294" s="104">
        <v>0</v>
      </c>
      <c r="AS294" s="104">
        <v>0</v>
      </c>
      <c r="AT294" s="104">
        <v>0</v>
      </c>
      <c r="AU294" s="104">
        <v>0</v>
      </c>
      <c r="AV294" s="104">
        <v>0</v>
      </c>
      <c r="AW294" s="104">
        <v>0</v>
      </c>
      <c r="AX294" s="104">
        <v>0</v>
      </c>
      <c r="AZ294" s="104">
        <f t="shared" si="16"/>
        <v>14969</v>
      </c>
      <c r="BA294" s="104">
        <f t="shared" si="17"/>
        <v>0</v>
      </c>
      <c r="BB294" s="96">
        <f t="shared" si="18"/>
        <v>0</v>
      </c>
      <c r="BC294" s="104">
        <f t="shared" si="19"/>
        <v>18873</v>
      </c>
    </row>
    <row r="295" spans="1:55">
      <c r="A295" s="102" t="s">
        <v>406</v>
      </c>
      <c r="B295" s="24" t="s">
        <v>695</v>
      </c>
      <c r="C295" s="103" t="s">
        <v>306</v>
      </c>
      <c r="D295" s="104">
        <v>0</v>
      </c>
      <c r="E295" s="104">
        <v>135271</v>
      </c>
      <c r="F295" s="104">
        <v>2240</v>
      </c>
      <c r="G295" s="104">
        <v>72</v>
      </c>
      <c r="H295" s="104">
        <v>0</v>
      </c>
      <c r="I295" s="104">
        <v>0</v>
      </c>
      <c r="J295" s="104">
        <v>0</v>
      </c>
      <c r="K295" s="104">
        <v>33944</v>
      </c>
      <c r="L295" s="104">
        <v>561</v>
      </c>
      <c r="M295" s="104">
        <v>0</v>
      </c>
      <c r="N295" s="104">
        <v>0</v>
      </c>
      <c r="O295" s="104">
        <v>0</v>
      </c>
      <c r="P295" s="104">
        <v>0</v>
      </c>
      <c r="Q295" s="104">
        <v>0</v>
      </c>
      <c r="R295" s="104">
        <v>0</v>
      </c>
      <c r="S295" s="104">
        <v>0</v>
      </c>
      <c r="T295" s="104">
        <v>0</v>
      </c>
      <c r="U295" s="104">
        <v>0</v>
      </c>
      <c r="V295" s="104">
        <v>0</v>
      </c>
      <c r="W295" s="104">
        <v>0</v>
      </c>
      <c r="X295" s="104">
        <v>42001</v>
      </c>
      <c r="Y295" s="104">
        <v>693</v>
      </c>
      <c r="Z295" s="104">
        <v>0</v>
      </c>
      <c r="AA295" s="104">
        <v>0</v>
      </c>
      <c r="AB295" s="104">
        <v>0</v>
      </c>
      <c r="AC295" s="104">
        <v>0</v>
      </c>
      <c r="AD295" s="104">
        <v>0</v>
      </c>
      <c r="AE295" s="104">
        <v>0</v>
      </c>
      <c r="AF295" s="104">
        <v>0</v>
      </c>
      <c r="AG295" s="104">
        <v>0</v>
      </c>
      <c r="AH295" s="104">
        <v>0</v>
      </c>
      <c r="AI295" s="104">
        <v>0</v>
      </c>
      <c r="AJ295" s="104">
        <v>0</v>
      </c>
      <c r="AK295" s="104">
        <v>0</v>
      </c>
      <c r="AL295" s="104">
        <v>0</v>
      </c>
      <c r="AM295" s="104">
        <v>0</v>
      </c>
      <c r="AN295" s="104">
        <v>0</v>
      </c>
      <c r="AO295" s="104">
        <v>0</v>
      </c>
      <c r="AP295" s="104">
        <v>0</v>
      </c>
      <c r="AQ295" s="104">
        <v>0</v>
      </c>
      <c r="AR295" s="104">
        <v>0</v>
      </c>
      <c r="AS295" s="104">
        <v>0</v>
      </c>
      <c r="AT295" s="104">
        <v>0</v>
      </c>
      <c r="AU295" s="104">
        <v>0</v>
      </c>
      <c r="AV295" s="104">
        <v>0</v>
      </c>
      <c r="AW295" s="104">
        <v>0</v>
      </c>
      <c r="AX295" s="104">
        <v>0</v>
      </c>
      <c r="AZ295" s="104">
        <f t="shared" si="16"/>
        <v>211216</v>
      </c>
      <c r="BA295" s="104">
        <f t="shared" si="17"/>
        <v>3494</v>
      </c>
      <c r="BB295" s="96">
        <f t="shared" si="18"/>
        <v>0</v>
      </c>
      <c r="BC295" s="104">
        <f t="shared" si="19"/>
        <v>72</v>
      </c>
    </row>
    <row r="296" spans="1:55">
      <c r="A296" s="102" t="s">
        <v>407</v>
      </c>
      <c r="B296" s="24" t="s">
        <v>696</v>
      </c>
      <c r="C296" s="103" t="s">
        <v>408</v>
      </c>
      <c r="D296" s="104">
        <v>0</v>
      </c>
      <c r="E296" s="104">
        <v>29773</v>
      </c>
      <c r="F296" s="104">
        <v>423</v>
      </c>
      <c r="G296" s="104">
        <v>0</v>
      </c>
      <c r="H296" s="104">
        <v>0</v>
      </c>
      <c r="I296" s="104">
        <v>0</v>
      </c>
      <c r="J296" s="104">
        <v>0</v>
      </c>
      <c r="K296" s="104">
        <v>13110</v>
      </c>
      <c r="L296" s="104">
        <v>186</v>
      </c>
      <c r="M296" s="104">
        <v>0</v>
      </c>
      <c r="N296" s="104">
        <v>0</v>
      </c>
      <c r="O296" s="104">
        <v>0</v>
      </c>
      <c r="P296" s="104">
        <v>0</v>
      </c>
      <c r="Q296" s="104">
        <v>0</v>
      </c>
      <c r="R296" s="104">
        <v>0</v>
      </c>
      <c r="S296" s="104">
        <v>0</v>
      </c>
      <c r="T296" s="104">
        <v>0</v>
      </c>
      <c r="U296" s="104">
        <v>0</v>
      </c>
      <c r="V296" s="104">
        <v>0</v>
      </c>
      <c r="W296" s="104">
        <v>0</v>
      </c>
      <c r="X296" s="104">
        <v>45771</v>
      </c>
      <c r="Y296" s="104">
        <v>650</v>
      </c>
      <c r="Z296" s="104">
        <v>0</v>
      </c>
      <c r="AA296" s="104">
        <v>0</v>
      </c>
      <c r="AB296" s="104">
        <v>0</v>
      </c>
      <c r="AC296" s="104">
        <v>0</v>
      </c>
      <c r="AD296" s="104">
        <v>0</v>
      </c>
      <c r="AE296" s="104">
        <v>0</v>
      </c>
      <c r="AF296" s="104">
        <v>0</v>
      </c>
      <c r="AG296" s="104">
        <v>0</v>
      </c>
      <c r="AH296" s="104">
        <v>0</v>
      </c>
      <c r="AI296" s="104">
        <v>0</v>
      </c>
      <c r="AJ296" s="104">
        <v>0</v>
      </c>
      <c r="AK296" s="104">
        <v>0</v>
      </c>
      <c r="AL296" s="104">
        <v>0</v>
      </c>
      <c r="AM296" s="104">
        <v>0</v>
      </c>
      <c r="AN296" s="104">
        <v>0</v>
      </c>
      <c r="AO296" s="104">
        <v>0</v>
      </c>
      <c r="AP296" s="104">
        <v>0</v>
      </c>
      <c r="AQ296" s="104">
        <v>0</v>
      </c>
      <c r="AR296" s="104">
        <v>0</v>
      </c>
      <c r="AS296" s="104">
        <v>0</v>
      </c>
      <c r="AT296" s="104">
        <v>0</v>
      </c>
      <c r="AU296" s="104">
        <v>0</v>
      </c>
      <c r="AV296" s="104">
        <v>0</v>
      </c>
      <c r="AW296" s="104">
        <v>0</v>
      </c>
      <c r="AX296" s="104">
        <v>0</v>
      </c>
      <c r="AZ296" s="104">
        <f t="shared" si="16"/>
        <v>88654</v>
      </c>
      <c r="BA296" s="104">
        <f t="shared" si="17"/>
        <v>1259</v>
      </c>
      <c r="BB296" s="96">
        <f t="shared" si="18"/>
        <v>0</v>
      </c>
      <c r="BC296" s="104">
        <f t="shared" si="19"/>
        <v>0</v>
      </c>
    </row>
    <row r="297" spans="1:55">
      <c r="A297" s="102" t="s">
        <v>409</v>
      </c>
      <c r="B297" s="24" t="s">
        <v>697</v>
      </c>
      <c r="C297" s="103" t="s">
        <v>410</v>
      </c>
      <c r="D297" s="104">
        <v>0</v>
      </c>
      <c r="E297" s="104">
        <v>144813</v>
      </c>
      <c r="F297" s="104">
        <v>2289</v>
      </c>
      <c r="G297" s="104">
        <v>0</v>
      </c>
      <c r="H297" s="104">
        <v>0</v>
      </c>
      <c r="I297" s="104">
        <v>0</v>
      </c>
      <c r="J297" s="104">
        <v>0</v>
      </c>
      <c r="K297" s="104">
        <v>594</v>
      </c>
      <c r="L297" s="104">
        <v>9</v>
      </c>
      <c r="M297" s="104">
        <v>0</v>
      </c>
      <c r="N297" s="104">
        <v>0</v>
      </c>
      <c r="O297" s="104">
        <v>0</v>
      </c>
      <c r="P297" s="104">
        <v>0</v>
      </c>
      <c r="Q297" s="104">
        <v>0</v>
      </c>
      <c r="R297" s="104">
        <v>0</v>
      </c>
      <c r="S297" s="104">
        <v>0</v>
      </c>
      <c r="T297" s="104">
        <v>0</v>
      </c>
      <c r="U297" s="104">
        <v>0</v>
      </c>
      <c r="V297" s="104">
        <v>0</v>
      </c>
      <c r="W297" s="104">
        <v>0</v>
      </c>
      <c r="X297" s="104">
        <v>56569</v>
      </c>
      <c r="Y297" s="104">
        <v>894</v>
      </c>
      <c r="Z297" s="104">
        <v>0</v>
      </c>
      <c r="AA297" s="104">
        <v>0</v>
      </c>
      <c r="AB297" s="104">
        <v>0</v>
      </c>
      <c r="AC297" s="104">
        <v>0</v>
      </c>
      <c r="AD297" s="104">
        <v>0</v>
      </c>
      <c r="AE297" s="104">
        <v>0</v>
      </c>
      <c r="AF297" s="104">
        <v>0</v>
      </c>
      <c r="AG297" s="104">
        <v>0</v>
      </c>
      <c r="AH297" s="104">
        <v>0</v>
      </c>
      <c r="AI297" s="104">
        <v>0</v>
      </c>
      <c r="AJ297" s="104">
        <v>0</v>
      </c>
      <c r="AK297" s="104">
        <v>0</v>
      </c>
      <c r="AL297" s="104">
        <v>0</v>
      </c>
      <c r="AM297" s="104">
        <v>0</v>
      </c>
      <c r="AN297" s="104">
        <v>0</v>
      </c>
      <c r="AO297" s="104">
        <v>0</v>
      </c>
      <c r="AP297" s="104">
        <v>0</v>
      </c>
      <c r="AQ297" s="104">
        <v>0</v>
      </c>
      <c r="AR297" s="104">
        <v>0</v>
      </c>
      <c r="AS297" s="104">
        <v>11803</v>
      </c>
      <c r="AT297" s="104">
        <v>188</v>
      </c>
      <c r="AU297" s="104">
        <v>0</v>
      </c>
      <c r="AV297" s="104">
        <v>2221</v>
      </c>
      <c r="AW297" s="104">
        <v>27</v>
      </c>
      <c r="AX297" s="104">
        <v>0</v>
      </c>
      <c r="AZ297" s="104">
        <f t="shared" si="16"/>
        <v>201976</v>
      </c>
      <c r="BA297" s="104">
        <f t="shared" si="17"/>
        <v>3192</v>
      </c>
      <c r="BB297" s="96">
        <f t="shared" si="18"/>
        <v>0</v>
      </c>
      <c r="BC297" s="104">
        <f t="shared" si="19"/>
        <v>0</v>
      </c>
    </row>
    <row r="298" spans="1:55">
      <c r="A298" s="102" t="s">
        <v>411</v>
      </c>
      <c r="B298" s="24" t="s">
        <v>698</v>
      </c>
      <c r="C298" s="103" t="s">
        <v>410</v>
      </c>
      <c r="D298" s="104">
        <v>0</v>
      </c>
      <c r="E298" s="104">
        <v>12454</v>
      </c>
      <c r="F298" s="104">
        <v>89</v>
      </c>
      <c r="G298" s="104">
        <v>0</v>
      </c>
      <c r="H298" s="104">
        <v>0</v>
      </c>
      <c r="I298" s="104">
        <v>0</v>
      </c>
      <c r="J298" s="104">
        <v>0</v>
      </c>
      <c r="K298" s="104">
        <v>3422</v>
      </c>
      <c r="L298" s="104">
        <v>25</v>
      </c>
      <c r="M298" s="104">
        <v>0</v>
      </c>
      <c r="N298" s="104">
        <v>0</v>
      </c>
      <c r="O298" s="104">
        <v>0</v>
      </c>
      <c r="P298" s="104">
        <v>0</v>
      </c>
      <c r="Q298" s="104">
        <v>0</v>
      </c>
      <c r="R298" s="104">
        <v>0</v>
      </c>
      <c r="S298" s="104">
        <v>0</v>
      </c>
      <c r="T298" s="104">
        <v>0</v>
      </c>
      <c r="U298" s="104">
        <v>0</v>
      </c>
      <c r="V298" s="104">
        <v>0</v>
      </c>
      <c r="W298" s="104">
        <v>0</v>
      </c>
      <c r="X298" s="104">
        <v>0</v>
      </c>
      <c r="Y298" s="104">
        <v>0</v>
      </c>
      <c r="Z298" s="104">
        <v>0</v>
      </c>
      <c r="AA298" s="104">
        <v>0</v>
      </c>
      <c r="AB298" s="104">
        <v>0</v>
      </c>
      <c r="AC298" s="104">
        <v>0</v>
      </c>
      <c r="AD298" s="104">
        <v>0</v>
      </c>
      <c r="AE298" s="104">
        <v>0</v>
      </c>
      <c r="AF298" s="104">
        <v>0</v>
      </c>
      <c r="AG298" s="104">
        <v>0</v>
      </c>
      <c r="AH298" s="104">
        <v>0</v>
      </c>
      <c r="AI298" s="104">
        <v>0</v>
      </c>
      <c r="AJ298" s="104">
        <v>0</v>
      </c>
      <c r="AK298" s="104">
        <v>0</v>
      </c>
      <c r="AL298" s="104">
        <v>0</v>
      </c>
      <c r="AM298" s="104">
        <v>0</v>
      </c>
      <c r="AN298" s="104">
        <v>0</v>
      </c>
      <c r="AO298" s="104">
        <v>0</v>
      </c>
      <c r="AP298" s="104">
        <v>0</v>
      </c>
      <c r="AQ298" s="104">
        <v>0</v>
      </c>
      <c r="AR298" s="104">
        <v>0</v>
      </c>
      <c r="AS298" s="104">
        <v>0</v>
      </c>
      <c r="AT298" s="104">
        <v>0</v>
      </c>
      <c r="AU298" s="104">
        <v>0</v>
      </c>
      <c r="AV298" s="104">
        <v>0</v>
      </c>
      <c r="AW298" s="104">
        <v>0</v>
      </c>
      <c r="AX298" s="104">
        <v>0</v>
      </c>
      <c r="AZ298" s="104">
        <f t="shared" si="16"/>
        <v>15876</v>
      </c>
      <c r="BA298" s="104">
        <f t="shared" si="17"/>
        <v>114</v>
      </c>
      <c r="BB298" s="96">
        <f t="shared" si="18"/>
        <v>0</v>
      </c>
      <c r="BC298" s="104">
        <f t="shared" si="19"/>
        <v>0</v>
      </c>
    </row>
    <row r="299" spans="1:55">
      <c r="A299" s="102" t="s">
        <v>412</v>
      </c>
      <c r="B299" s="24" t="s">
        <v>699</v>
      </c>
      <c r="C299" s="103" t="s">
        <v>224</v>
      </c>
      <c r="D299" s="104">
        <v>59982</v>
      </c>
      <c r="E299" s="104">
        <v>1484011</v>
      </c>
      <c r="F299" s="104">
        <v>8211</v>
      </c>
      <c r="G299" s="104">
        <v>30193</v>
      </c>
      <c r="H299" s="104">
        <v>21033</v>
      </c>
      <c r="I299" s="104">
        <v>340</v>
      </c>
      <c r="J299" s="104">
        <v>1488</v>
      </c>
      <c r="K299" s="104">
        <v>359714</v>
      </c>
      <c r="L299" s="104">
        <v>2124</v>
      </c>
      <c r="M299" s="104">
        <v>10378</v>
      </c>
      <c r="N299" s="104">
        <v>17970</v>
      </c>
      <c r="O299" s="104">
        <v>0</v>
      </c>
      <c r="P299" s="104">
        <v>0</v>
      </c>
      <c r="Q299" s="104">
        <v>0</v>
      </c>
      <c r="R299" s="104">
        <v>0</v>
      </c>
      <c r="S299" s="104">
        <v>0</v>
      </c>
      <c r="T299" s="104">
        <v>0</v>
      </c>
      <c r="U299" s="104">
        <v>0</v>
      </c>
      <c r="V299" s="104">
        <v>0</v>
      </c>
      <c r="W299" s="104">
        <v>0</v>
      </c>
      <c r="X299" s="104">
        <v>788972</v>
      </c>
      <c r="Y299" s="104">
        <v>4570</v>
      </c>
      <c r="Z299" s="104">
        <v>32806</v>
      </c>
      <c r="AA299" s="104">
        <v>0</v>
      </c>
      <c r="AB299" s="104">
        <v>0</v>
      </c>
      <c r="AC299" s="104">
        <v>0</v>
      </c>
      <c r="AD299" s="104">
        <v>0</v>
      </c>
      <c r="AE299" s="104">
        <v>0</v>
      </c>
      <c r="AF299" s="104">
        <v>0</v>
      </c>
      <c r="AG299" s="104">
        <v>18642</v>
      </c>
      <c r="AH299" s="104">
        <v>143</v>
      </c>
      <c r="AI299" s="104">
        <v>413</v>
      </c>
      <c r="AJ299" s="104">
        <v>0</v>
      </c>
      <c r="AK299" s="104">
        <v>0</v>
      </c>
      <c r="AL299" s="104">
        <v>0</v>
      </c>
      <c r="AM299" s="104">
        <v>0</v>
      </c>
      <c r="AN299" s="104">
        <v>0</v>
      </c>
      <c r="AO299" s="104">
        <v>0</v>
      </c>
      <c r="AP299" s="104">
        <v>0</v>
      </c>
      <c r="AQ299" s="104">
        <v>0</v>
      </c>
      <c r="AR299" s="104">
        <v>0</v>
      </c>
      <c r="AS299" s="104">
        <v>0</v>
      </c>
      <c r="AT299" s="104">
        <v>0</v>
      </c>
      <c r="AU299" s="104">
        <v>0</v>
      </c>
      <c r="AV299" s="104">
        <v>0</v>
      </c>
      <c r="AW299" s="104">
        <v>0</v>
      </c>
      <c r="AX299" s="104">
        <v>0</v>
      </c>
      <c r="AZ299" s="104">
        <f t="shared" si="16"/>
        <v>2653730</v>
      </c>
      <c r="BA299" s="104">
        <f t="shared" si="17"/>
        <v>15245</v>
      </c>
      <c r="BB299" s="96">
        <f t="shared" si="18"/>
        <v>10378</v>
      </c>
      <c r="BC299" s="104">
        <f t="shared" si="19"/>
        <v>142439</v>
      </c>
    </row>
    <row r="300" spans="1:55">
      <c r="A300" s="102" t="s">
        <v>413</v>
      </c>
      <c r="B300" s="24" t="s">
        <v>700</v>
      </c>
      <c r="C300" s="103" t="s">
        <v>247</v>
      </c>
      <c r="D300" s="104">
        <v>0</v>
      </c>
      <c r="E300" s="104">
        <v>27949</v>
      </c>
      <c r="F300" s="104">
        <v>497</v>
      </c>
      <c r="G300" s="104">
        <v>0</v>
      </c>
      <c r="H300" s="104">
        <v>0</v>
      </c>
      <c r="I300" s="104">
        <v>0</v>
      </c>
      <c r="J300" s="104">
        <v>0</v>
      </c>
      <c r="K300" s="104">
        <v>6559</v>
      </c>
      <c r="L300" s="104">
        <v>129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12791</v>
      </c>
      <c r="Y300" s="104">
        <v>278</v>
      </c>
      <c r="Z300" s="104">
        <v>0</v>
      </c>
      <c r="AA300" s="104">
        <v>0</v>
      </c>
      <c r="AB300" s="104">
        <v>0</v>
      </c>
      <c r="AC300" s="104">
        <v>0</v>
      </c>
      <c r="AD300" s="104">
        <v>0</v>
      </c>
      <c r="AE300" s="104">
        <v>0</v>
      </c>
      <c r="AF300" s="104">
        <v>0</v>
      </c>
      <c r="AG300" s="104">
        <v>0</v>
      </c>
      <c r="AH300" s="104">
        <v>0</v>
      </c>
      <c r="AI300" s="104">
        <v>0</v>
      </c>
      <c r="AJ300" s="104">
        <v>0</v>
      </c>
      <c r="AK300" s="104">
        <v>0</v>
      </c>
      <c r="AL300" s="104">
        <v>0</v>
      </c>
      <c r="AM300" s="104">
        <v>0</v>
      </c>
      <c r="AN300" s="104">
        <v>0</v>
      </c>
      <c r="AO300" s="104">
        <v>0</v>
      </c>
      <c r="AP300" s="104">
        <v>0</v>
      </c>
      <c r="AQ300" s="104">
        <v>0</v>
      </c>
      <c r="AR300" s="104">
        <v>0</v>
      </c>
      <c r="AS300" s="104">
        <v>0</v>
      </c>
      <c r="AT300" s="104">
        <v>0</v>
      </c>
      <c r="AU300" s="104">
        <v>0</v>
      </c>
      <c r="AV300" s="104">
        <v>0</v>
      </c>
      <c r="AW300" s="104">
        <v>0</v>
      </c>
      <c r="AX300" s="104">
        <v>0</v>
      </c>
      <c r="AZ300" s="104">
        <f t="shared" si="16"/>
        <v>47299</v>
      </c>
      <c r="BA300" s="104">
        <f t="shared" si="17"/>
        <v>904</v>
      </c>
      <c r="BB300" s="96">
        <f t="shared" si="18"/>
        <v>0</v>
      </c>
      <c r="BC300" s="104">
        <f t="shared" si="19"/>
        <v>0</v>
      </c>
    </row>
    <row r="301" spans="1:55">
      <c r="A301" s="102" t="s">
        <v>414</v>
      </c>
      <c r="B301" s="24" t="s">
        <v>701</v>
      </c>
      <c r="C301" s="103" t="s">
        <v>306</v>
      </c>
      <c r="D301" s="104">
        <v>0</v>
      </c>
      <c r="E301" s="104">
        <v>36565</v>
      </c>
      <c r="F301" s="104">
        <v>877</v>
      </c>
      <c r="G301" s="104">
        <v>0</v>
      </c>
      <c r="H301" s="104">
        <v>0</v>
      </c>
      <c r="I301" s="104">
        <v>0</v>
      </c>
      <c r="J301" s="104">
        <v>0</v>
      </c>
      <c r="K301" s="104">
        <v>2218</v>
      </c>
      <c r="L301" s="104">
        <v>54</v>
      </c>
      <c r="M301" s="104">
        <v>0</v>
      </c>
      <c r="N301" s="104">
        <v>0</v>
      </c>
      <c r="O301" s="104">
        <v>0</v>
      </c>
      <c r="P301" s="104">
        <v>0</v>
      </c>
      <c r="Q301" s="104">
        <v>0</v>
      </c>
      <c r="R301" s="104">
        <v>0</v>
      </c>
      <c r="S301" s="104">
        <v>0</v>
      </c>
      <c r="T301" s="104">
        <v>0</v>
      </c>
      <c r="U301" s="104">
        <v>0</v>
      </c>
      <c r="V301" s="104">
        <v>0</v>
      </c>
      <c r="W301" s="104">
        <v>0</v>
      </c>
      <c r="X301" s="104">
        <v>25529</v>
      </c>
      <c r="Y301" s="104">
        <v>638</v>
      </c>
      <c r="Z301" s="104">
        <v>0</v>
      </c>
      <c r="AA301" s="104">
        <v>0</v>
      </c>
      <c r="AB301" s="104">
        <v>0</v>
      </c>
      <c r="AC301" s="104">
        <v>0</v>
      </c>
      <c r="AD301" s="104">
        <v>0</v>
      </c>
      <c r="AE301" s="104">
        <v>0</v>
      </c>
      <c r="AF301" s="104">
        <v>0</v>
      </c>
      <c r="AG301" s="104">
        <v>0</v>
      </c>
      <c r="AH301" s="104">
        <v>0</v>
      </c>
      <c r="AI301" s="104">
        <v>0</v>
      </c>
      <c r="AJ301" s="104">
        <v>2216</v>
      </c>
      <c r="AK301" s="104">
        <v>54</v>
      </c>
      <c r="AL301" s="104">
        <v>0</v>
      </c>
      <c r="AM301" s="104">
        <v>0</v>
      </c>
      <c r="AN301" s="104">
        <v>0</v>
      </c>
      <c r="AO301" s="104">
        <v>0</v>
      </c>
      <c r="AP301" s="104">
        <v>0</v>
      </c>
      <c r="AQ301" s="104">
        <v>0</v>
      </c>
      <c r="AR301" s="104">
        <v>0</v>
      </c>
      <c r="AS301" s="104">
        <v>0</v>
      </c>
      <c r="AT301" s="104">
        <v>0</v>
      </c>
      <c r="AU301" s="104">
        <v>0</v>
      </c>
      <c r="AV301" s="104">
        <v>0</v>
      </c>
      <c r="AW301" s="104">
        <v>0</v>
      </c>
      <c r="AX301" s="104">
        <v>0</v>
      </c>
      <c r="AZ301" s="104">
        <f t="shared" si="16"/>
        <v>64312</v>
      </c>
      <c r="BA301" s="104">
        <f t="shared" si="17"/>
        <v>1569</v>
      </c>
      <c r="BB301" s="96">
        <f t="shared" si="18"/>
        <v>0</v>
      </c>
      <c r="BC301" s="104">
        <f t="shared" si="19"/>
        <v>0</v>
      </c>
    </row>
    <row r="302" spans="1:55">
      <c r="A302" s="102" t="s">
        <v>415</v>
      </c>
      <c r="B302" s="24" t="s">
        <v>702</v>
      </c>
      <c r="C302" s="103" t="s">
        <v>38</v>
      </c>
      <c r="D302" s="104">
        <v>447446</v>
      </c>
      <c r="E302" s="104">
        <v>1899941</v>
      </c>
      <c r="F302" s="104">
        <v>6201</v>
      </c>
      <c r="G302" s="104">
        <v>300485</v>
      </c>
      <c r="H302" s="104">
        <v>0</v>
      </c>
      <c r="I302" s="104">
        <v>0</v>
      </c>
      <c r="J302" s="104">
        <v>0</v>
      </c>
      <c r="K302" s="104">
        <v>194174</v>
      </c>
      <c r="L302" s="104">
        <v>621</v>
      </c>
      <c r="M302" s="104">
        <v>0</v>
      </c>
      <c r="N302" s="104">
        <v>166223</v>
      </c>
      <c r="O302" s="104">
        <v>0</v>
      </c>
      <c r="P302" s="104">
        <v>0</v>
      </c>
      <c r="Q302" s="104">
        <v>0</v>
      </c>
      <c r="R302" s="104">
        <v>146137</v>
      </c>
      <c r="S302" s="104">
        <v>475</v>
      </c>
      <c r="T302" s="104">
        <v>25148</v>
      </c>
      <c r="U302" s="104">
        <v>0</v>
      </c>
      <c r="V302" s="104">
        <v>0</v>
      </c>
      <c r="W302" s="104">
        <v>0</v>
      </c>
      <c r="X302" s="104">
        <v>667093</v>
      </c>
      <c r="Y302" s="104">
        <v>2169</v>
      </c>
      <c r="Z302" s="104">
        <v>201218</v>
      </c>
      <c r="AA302" s="104">
        <v>0</v>
      </c>
      <c r="AB302" s="104">
        <v>0</v>
      </c>
      <c r="AC302" s="104">
        <v>0</v>
      </c>
      <c r="AD302" s="104">
        <v>0</v>
      </c>
      <c r="AE302" s="104">
        <v>0</v>
      </c>
      <c r="AF302" s="104">
        <v>0</v>
      </c>
      <c r="AG302" s="104">
        <v>0</v>
      </c>
      <c r="AH302" s="104">
        <v>0</v>
      </c>
      <c r="AI302" s="104">
        <v>0</v>
      </c>
      <c r="AJ302" s="104">
        <v>0</v>
      </c>
      <c r="AK302" s="104">
        <v>0</v>
      </c>
      <c r="AL302" s="104">
        <v>0</v>
      </c>
      <c r="AM302" s="104">
        <v>597696</v>
      </c>
      <c r="AN302" s="104">
        <v>1944</v>
      </c>
      <c r="AO302" s="104">
        <v>153550</v>
      </c>
      <c r="AP302" s="104">
        <v>65959</v>
      </c>
      <c r="AQ302" s="104">
        <v>215</v>
      </c>
      <c r="AR302" s="104">
        <v>14914</v>
      </c>
      <c r="AS302" s="104">
        <v>0</v>
      </c>
      <c r="AT302" s="104">
        <v>0</v>
      </c>
      <c r="AU302" s="104">
        <v>0</v>
      </c>
      <c r="AV302" s="104">
        <v>0</v>
      </c>
      <c r="AW302" s="104">
        <v>0</v>
      </c>
      <c r="AX302" s="104">
        <v>0</v>
      </c>
      <c r="AZ302" s="104">
        <f t="shared" si="16"/>
        <v>2907345</v>
      </c>
      <c r="BA302" s="104">
        <f t="shared" si="17"/>
        <v>9466</v>
      </c>
      <c r="BB302" s="96">
        <f t="shared" si="18"/>
        <v>0</v>
      </c>
      <c r="BC302" s="104">
        <f t="shared" si="19"/>
        <v>1140520</v>
      </c>
    </row>
    <row r="303" spans="1:55">
      <c r="A303" s="102" t="s">
        <v>416</v>
      </c>
      <c r="B303" s="24" t="s">
        <v>703</v>
      </c>
      <c r="C303" s="103" t="s">
        <v>219</v>
      </c>
      <c r="D303" s="104">
        <v>10405</v>
      </c>
      <c r="E303" s="104">
        <v>1648834</v>
      </c>
      <c r="F303" s="104">
        <v>11101</v>
      </c>
      <c r="G303" s="104">
        <v>6172</v>
      </c>
      <c r="H303" s="104">
        <v>12315</v>
      </c>
      <c r="I303" s="104">
        <v>65</v>
      </c>
      <c r="J303" s="104">
        <v>171</v>
      </c>
      <c r="K303" s="104">
        <v>395859</v>
      </c>
      <c r="L303" s="104">
        <v>2663</v>
      </c>
      <c r="M303" s="104">
        <v>0</v>
      </c>
      <c r="N303" s="104">
        <v>3113</v>
      </c>
      <c r="O303" s="104">
        <v>17797</v>
      </c>
      <c r="P303" s="104">
        <v>120</v>
      </c>
      <c r="Q303" s="104">
        <v>43</v>
      </c>
      <c r="R303" s="104">
        <v>0</v>
      </c>
      <c r="S303" s="104">
        <v>0</v>
      </c>
      <c r="T303" s="104">
        <v>0</v>
      </c>
      <c r="U303" s="104">
        <v>0</v>
      </c>
      <c r="V303" s="104">
        <v>0</v>
      </c>
      <c r="W303" s="104">
        <v>0</v>
      </c>
      <c r="X303" s="104">
        <v>276173</v>
      </c>
      <c r="Y303" s="104">
        <v>1857</v>
      </c>
      <c r="Z303" s="104">
        <v>4132</v>
      </c>
      <c r="AA303" s="104">
        <v>0</v>
      </c>
      <c r="AB303" s="104">
        <v>0</v>
      </c>
      <c r="AC303" s="104">
        <v>0</v>
      </c>
      <c r="AD303" s="104">
        <v>0</v>
      </c>
      <c r="AE303" s="104">
        <v>0</v>
      </c>
      <c r="AF303" s="104">
        <v>0</v>
      </c>
      <c r="AG303" s="104">
        <v>0</v>
      </c>
      <c r="AH303" s="104">
        <v>0</v>
      </c>
      <c r="AI303" s="104">
        <v>0</v>
      </c>
      <c r="AJ303" s="104">
        <v>0</v>
      </c>
      <c r="AK303" s="104">
        <v>0</v>
      </c>
      <c r="AL303" s="104">
        <v>0</v>
      </c>
      <c r="AM303" s="104">
        <v>0</v>
      </c>
      <c r="AN303" s="104">
        <v>0</v>
      </c>
      <c r="AO303" s="104">
        <v>0</v>
      </c>
      <c r="AP303" s="104">
        <v>0</v>
      </c>
      <c r="AQ303" s="104">
        <v>0</v>
      </c>
      <c r="AR303" s="104">
        <v>0</v>
      </c>
      <c r="AS303" s="104">
        <v>0</v>
      </c>
      <c r="AT303" s="104">
        <v>0</v>
      </c>
      <c r="AU303" s="104">
        <v>0</v>
      </c>
      <c r="AV303" s="104">
        <v>0</v>
      </c>
      <c r="AW303" s="104">
        <v>0</v>
      </c>
      <c r="AX303" s="104">
        <v>0</v>
      </c>
      <c r="AZ303" s="104">
        <f t="shared" si="16"/>
        <v>2350978</v>
      </c>
      <c r="BA303" s="104">
        <f t="shared" si="17"/>
        <v>15806</v>
      </c>
      <c r="BB303" s="96">
        <f t="shared" si="18"/>
        <v>0</v>
      </c>
      <c r="BC303" s="104">
        <f t="shared" si="19"/>
        <v>24036</v>
      </c>
    </row>
    <row r="304" spans="1:55">
      <c r="A304" s="102" t="s">
        <v>417</v>
      </c>
      <c r="B304" s="24" t="s">
        <v>704</v>
      </c>
      <c r="C304" s="103" t="s">
        <v>222</v>
      </c>
      <c r="D304" s="104">
        <v>0</v>
      </c>
      <c r="E304" s="104">
        <v>7031</v>
      </c>
      <c r="F304" s="104">
        <v>119</v>
      </c>
      <c r="G304" s="104">
        <v>0</v>
      </c>
      <c r="H304" s="104">
        <v>0</v>
      </c>
      <c r="I304" s="104">
        <v>0</v>
      </c>
      <c r="J304" s="104">
        <v>0</v>
      </c>
      <c r="K304" s="104">
        <v>4348</v>
      </c>
      <c r="L304" s="104">
        <v>70</v>
      </c>
      <c r="M304" s="104">
        <v>0</v>
      </c>
      <c r="N304" s="104">
        <v>0</v>
      </c>
      <c r="O304" s="104">
        <v>0</v>
      </c>
      <c r="P304" s="104">
        <v>0</v>
      </c>
      <c r="Q304" s="104">
        <v>0</v>
      </c>
      <c r="R304" s="104">
        <v>0</v>
      </c>
      <c r="S304" s="104">
        <v>0</v>
      </c>
      <c r="T304" s="104">
        <v>0</v>
      </c>
      <c r="U304" s="104">
        <v>0</v>
      </c>
      <c r="V304" s="104">
        <v>0</v>
      </c>
      <c r="W304" s="104">
        <v>0</v>
      </c>
      <c r="X304" s="104">
        <v>0</v>
      </c>
      <c r="Y304" s="104">
        <v>0</v>
      </c>
      <c r="Z304" s="104">
        <v>0</v>
      </c>
      <c r="AA304" s="104">
        <v>0</v>
      </c>
      <c r="AB304" s="104">
        <v>0</v>
      </c>
      <c r="AC304" s="104">
        <v>0</v>
      </c>
      <c r="AD304" s="104">
        <v>0</v>
      </c>
      <c r="AE304" s="104">
        <v>0</v>
      </c>
      <c r="AF304" s="104">
        <v>0</v>
      </c>
      <c r="AG304" s="104">
        <v>0</v>
      </c>
      <c r="AH304" s="104">
        <v>0</v>
      </c>
      <c r="AI304" s="104">
        <v>0</v>
      </c>
      <c r="AJ304" s="104">
        <v>0</v>
      </c>
      <c r="AK304" s="104">
        <v>0</v>
      </c>
      <c r="AL304" s="104">
        <v>0</v>
      </c>
      <c r="AM304" s="104">
        <v>0</v>
      </c>
      <c r="AN304" s="104">
        <v>0</v>
      </c>
      <c r="AO304" s="104">
        <v>0</v>
      </c>
      <c r="AP304" s="104">
        <v>0</v>
      </c>
      <c r="AQ304" s="104">
        <v>0</v>
      </c>
      <c r="AR304" s="104">
        <v>0</v>
      </c>
      <c r="AS304" s="104">
        <v>0</v>
      </c>
      <c r="AT304" s="104">
        <v>0</v>
      </c>
      <c r="AU304" s="104">
        <v>0</v>
      </c>
      <c r="AV304" s="104">
        <v>0</v>
      </c>
      <c r="AW304" s="104">
        <v>0</v>
      </c>
      <c r="AX304" s="104">
        <v>273</v>
      </c>
      <c r="AZ304" s="104">
        <f t="shared" si="16"/>
        <v>11379</v>
      </c>
      <c r="BA304" s="104">
        <f t="shared" si="17"/>
        <v>189</v>
      </c>
      <c r="BB304" s="96">
        <f t="shared" si="18"/>
        <v>0</v>
      </c>
      <c r="BC304" s="104">
        <f t="shared" si="19"/>
        <v>0</v>
      </c>
    </row>
    <row r="305" spans="1:56">
      <c r="A305" s="102" t="s">
        <v>418</v>
      </c>
      <c r="B305" s="24" t="s">
        <v>705</v>
      </c>
      <c r="C305" s="103" t="s">
        <v>419</v>
      </c>
      <c r="D305" s="104">
        <v>5423</v>
      </c>
      <c r="E305" s="104">
        <v>151622</v>
      </c>
      <c r="F305" s="104">
        <v>1394</v>
      </c>
      <c r="G305" s="104">
        <v>4448</v>
      </c>
      <c r="H305" s="104">
        <v>0</v>
      </c>
      <c r="I305" s="104">
        <v>0</v>
      </c>
      <c r="J305" s="104">
        <v>0</v>
      </c>
      <c r="K305" s="104">
        <v>8007</v>
      </c>
      <c r="L305" s="104">
        <v>60</v>
      </c>
      <c r="M305" s="104">
        <v>0</v>
      </c>
      <c r="N305" s="104">
        <v>1085</v>
      </c>
      <c r="O305" s="104">
        <v>0</v>
      </c>
      <c r="P305" s="104">
        <v>0</v>
      </c>
      <c r="Q305" s="104">
        <v>0</v>
      </c>
      <c r="R305" s="104">
        <v>0</v>
      </c>
      <c r="S305" s="104">
        <v>0</v>
      </c>
      <c r="T305" s="104">
        <v>0</v>
      </c>
      <c r="U305" s="104">
        <v>0</v>
      </c>
      <c r="V305" s="104">
        <v>0</v>
      </c>
      <c r="W305" s="104">
        <v>0</v>
      </c>
      <c r="X305" s="104">
        <v>63973</v>
      </c>
      <c r="Y305" s="104">
        <v>629</v>
      </c>
      <c r="Z305" s="104">
        <v>2425</v>
      </c>
      <c r="AA305" s="104">
        <v>0</v>
      </c>
      <c r="AB305" s="104">
        <v>0</v>
      </c>
      <c r="AC305" s="104">
        <v>0</v>
      </c>
      <c r="AD305" s="104">
        <v>0</v>
      </c>
      <c r="AE305" s="104">
        <v>0</v>
      </c>
      <c r="AF305" s="104">
        <v>0</v>
      </c>
      <c r="AG305" s="104">
        <v>0</v>
      </c>
      <c r="AH305" s="104">
        <v>0</v>
      </c>
      <c r="AI305" s="104">
        <v>0</v>
      </c>
      <c r="AJ305" s="104">
        <v>0</v>
      </c>
      <c r="AK305" s="104">
        <v>0</v>
      </c>
      <c r="AL305" s="104">
        <v>0</v>
      </c>
      <c r="AM305" s="104">
        <v>0</v>
      </c>
      <c r="AN305" s="104">
        <v>0</v>
      </c>
      <c r="AO305" s="104">
        <v>0</v>
      </c>
      <c r="AP305" s="104">
        <v>0</v>
      </c>
      <c r="AQ305" s="104">
        <v>0</v>
      </c>
      <c r="AR305" s="104">
        <v>0</v>
      </c>
      <c r="AS305" s="104">
        <v>22979</v>
      </c>
      <c r="AT305" s="104">
        <v>0</v>
      </c>
      <c r="AU305" s="104">
        <v>829</v>
      </c>
      <c r="AV305" s="104">
        <v>7610</v>
      </c>
      <c r="AW305" s="104">
        <v>0</v>
      </c>
      <c r="AX305" s="104">
        <v>0</v>
      </c>
      <c r="AZ305" s="104">
        <f t="shared" si="16"/>
        <v>223602</v>
      </c>
      <c r="BA305" s="104">
        <f t="shared" si="17"/>
        <v>2083</v>
      </c>
      <c r="BB305" s="96">
        <f t="shared" si="18"/>
        <v>0</v>
      </c>
      <c r="BC305" s="104">
        <f t="shared" si="19"/>
        <v>13381</v>
      </c>
    </row>
    <row r="306" spans="1:56">
      <c r="A306" s="102" t="s">
        <v>420</v>
      </c>
      <c r="B306" s="24" t="s">
        <v>706</v>
      </c>
      <c r="C306" s="103" t="s">
        <v>419</v>
      </c>
      <c r="D306" s="104">
        <v>0</v>
      </c>
      <c r="E306" s="104">
        <v>28840</v>
      </c>
      <c r="F306" s="104">
        <v>362</v>
      </c>
      <c r="G306" s="104">
        <v>0</v>
      </c>
      <c r="H306" s="104">
        <v>0</v>
      </c>
      <c r="I306" s="104">
        <v>0</v>
      </c>
      <c r="J306" s="104">
        <v>0</v>
      </c>
      <c r="K306" s="104">
        <v>6377</v>
      </c>
      <c r="L306" s="104">
        <v>78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19268</v>
      </c>
      <c r="Y306" s="104">
        <v>242</v>
      </c>
      <c r="Z306" s="104">
        <v>0</v>
      </c>
      <c r="AA306" s="104">
        <v>0</v>
      </c>
      <c r="AB306" s="104">
        <v>0</v>
      </c>
      <c r="AC306" s="104">
        <v>0</v>
      </c>
      <c r="AD306" s="104">
        <v>0</v>
      </c>
      <c r="AE306" s="104">
        <v>0</v>
      </c>
      <c r="AF306" s="104">
        <v>0</v>
      </c>
      <c r="AG306" s="104">
        <v>0</v>
      </c>
      <c r="AH306" s="104">
        <v>0</v>
      </c>
      <c r="AI306" s="104">
        <v>0</v>
      </c>
      <c r="AJ306" s="104">
        <v>0</v>
      </c>
      <c r="AK306" s="104">
        <v>0</v>
      </c>
      <c r="AL306" s="104">
        <v>0</v>
      </c>
      <c r="AM306" s="104">
        <v>0</v>
      </c>
      <c r="AN306" s="104">
        <v>0</v>
      </c>
      <c r="AO306" s="104">
        <v>0</v>
      </c>
      <c r="AP306" s="104">
        <v>0</v>
      </c>
      <c r="AQ306" s="104">
        <v>0</v>
      </c>
      <c r="AR306" s="104">
        <v>0</v>
      </c>
      <c r="AS306" s="104">
        <v>3188</v>
      </c>
      <c r="AT306" s="104">
        <v>40</v>
      </c>
      <c r="AU306" s="104">
        <v>0</v>
      </c>
      <c r="AV306" s="104">
        <v>0</v>
      </c>
      <c r="AW306" s="104">
        <v>0</v>
      </c>
      <c r="AX306" s="104">
        <v>0</v>
      </c>
      <c r="AZ306" s="104">
        <f t="shared" si="16"/>
        <v>54485</v>
      </c>
      <c r="BA306" s="104">
        <f t="shared" si="17"/>
        <v>682</v>
      </c>
      <c r="BB306" s="96">
        <f t="shared" si="18"/>
        <v>0</v>
      </c>
      <c r="BC306" s="104">
        <f t="shared" si="19"/>
        <v>0</v>
      </c>
    </row>
    <row r="307" spans="1:56">
      <c r="A307" s="102" t="s">
        <v>421</v>
      </c>
      <c r="B307" s="24" t="s">
        <v>707</v>
      </c>
      <c r="C307" s="103" t="s">
        <v>419</v>
      </c>
      <c r="D307" s="104">
        <v>0</v>
      </c>
      <c r="E307" s="104">
        <v>25765</v>
      </c>
      <c r="F307" s="104">
        <v>327</v>
      </c>
      <c r="G307" s="104">
        <v>0</v>
      </c>
      <c r="H307" s="104">
        <v>0</v>
      </c>
      <c r="I307" s="104">
        <v>0</v>
      </c>
      <c r="J307" s="104">
        <v>0</v>
      </c>
      <c r="K307" s="104">
        <v>6027</v>
      </c>
      <c r="L307" s="104">
        <v>77</v>
      </c>
      <c r="M307" s="104">
        <v>0</v>
      </c>
      <c r="N307" s="104">
        <v>0</v>
      </c>
      <c r="O307" s="104">
        <v>0</v>
      </c>
      <c r="P307" s="104">
        <v>0</v>
      </c>
      <c r="Q307" s="104">
        <v>0</v>
      </c>
      <c r="R307" s="104">
        <v>0</v>
      </c>
      <c r="S307" s="104">
        <v>0</v>
      </c>
      <c r="T307" s="104">
        <v>0</v>
      </c>
      <c r="U307" s="104">
        <v>0</v>
      </c>
      <c r="V307" s="104">
        <v>0</v>
      </c>
      <c r="W307" s="104">
        <v>0</v>
      </c>
      <c r="X307" s="104">
        <v>0</v>
      </c>
      <c r="Y307" s="104">
        <v>0</v>
      </c>
      <c r="Z307" s="104">
        <v>0</v>
      </c>
      <c r="AA307" s="104">
        <v>0</v>
      </c>
      <c r="AB307" s="104">
        <v>0</v>
      </c>
      <c r="AC307" s="104">
        <v>0</v>
      </c>
      <c r="AD307" s="104">
        <v>0</v>
      </c>
      <c r="AE307" s="104">
        <v>0</v>
      </c>
      <c r="AF307" s="104">
        <v>0</v>
      </c>
      <c r="AG307" s="104">
        <v>0</v>
      </c>
      <c r="AH307" s="104">
        <v>0</v>
      </c>
      <c r="AI307" s="104">
        <v>0</v>
      </c>
      <c r="AJ307" s="104">
        <v>0</v>
      </c>
      <c r="AK307" s="104">
        <v>0</v>
      </c>
      <c r="AL307" s="104">
        <v>0</v>
      </c>
      <c r="AM307" s="104">
        <v>0</v>
      </c>
      <c r="AN307" s="104">
        <v>0</v>
      </c>
      <c r="AO307" s="104">
        <v>0</v>
      </c>
      <c r="AP307" s="104">
        <v>0</v>
      </c>
      <c r="AQ307" s="104">
        <v>0</v>
      </c>
      <c r="AR307" s="104">
        <v>0</v>
      </c>
      <c r="AS307" s="104">
        <v>0</v>
      </c>
      <c r="AT307" s="104">
        <v>0</v>
      </c>
      <c r="AU307" s="104">
        <v>0</v>
      </c>
      <c r="AV307" s="104">
        <v>0</v>
      </c>
      <c r="AW307" s="104">
        <v>0</v>
      </c>
      <c r="AX307" s="104">
        <v>0</v>
      </c>
      <c r="AZ307" s="104">
        <f t="shared" si="16"/>
        <v>31792</v>
      </c>
      <c r="BA307" s="104">
        <f t="shared" si="17"/>
        <v>404</v>
      </c>
      <c r="BB307" s="96">
        <f t="shared" si="18"/>
        <v>0</v>
      </c>
      <c r="BC307" s="104">
        <f t="shared" si="19"/>
        <v>0</v>
      </c>
    </row>
    <row r="308" spans="1:56">
      <c r="A308" s="102" t="s">
        <v>422</v>
      </c>
      <c r="B308" s="24" t="s">
        <v>708</v>
      </c>
      <c r="C308" s="103" t="s">
        <v>419</v>
      </c>
      <c r="D308" s="104">
        <v>483</v>
      </c>
      <c r="E308" s="104">
        <v>192089</v>
      </c>
      <c r="F308" s="104">
        <v>2979</v>
      </c>
      <c r="G308" s="104">
        <v>316</v>
      </c>
      <c r="H308" s="104">
        <v>0</v>
      </c>
      <c r="I308" s="104">
        <v>0</v>
      </c>
      <c r="J308" s="104">
        <v>0</v>
      </c>
      <c r="K308" s="104">
        <v>25839</v>
      </c>
      <c r="L308" s="104">
        <v>0</v>
      </c>
      <c r="M308" s="104">
        <v>0</v>
      </c>
      <c r="N308" s="104">
        <v>97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Z308" s="104">
        <v>0</v>
      </c>
      <c r="AA308" s="104">
        <v>0</v>
      </c>
      <c r="AB308" s="104">
        <v>0</v>
      </c>
      <c r="AC308" s="104">
        <v>0</v>
      </c>
      <c r="AD308" s="104">
        <v>0</v>
      </c>
      <c r="AE308" s="104">
        <v>0</v>
      </c>
      <c r="AF308" s="104">
        <v>0</v>
      </c>
      <c r="AG308" s="104">
        <v>0</v>
      </c>
      <c r="AH308" s="104">
        <v>0</v>
      </c>
      <c r="AI308" s="104">
        <v>0</v>
      </c>
      <c r="AJ308" s="104">
        <v>0</v>
      </c>
      <c r="AK308" s="104">
        <v>0</v>
      </c>
      <c r="AL308" s="104">
        <v>0</v>
      </c>
      <c r="AM308" s="104">
        <v>0</v>
      </c>
      <c r="AN308" s="104">
        <v>0</v>
      </c>
      <c r="AO308" s="104">
        <v>0</v>
      </c>
      <c r="AP308" s="104">
        <v>0</v>
      </c>
      <c r="AQ308" s="104">
        <v>0</v>
      </c>
      <c r="AR308" s="104">
        <v>0</v>
      </c>
      <c r="AS308" s="104">
        <v>0</v>
      </c>
      <c r="AT308" s="104">
        <v>0</v>
      </c>
      <c r="AU308" s="104">
        <v>0</v>
      </c>
      <c r="AV308" s="104">
        <v>0</v>
      </c>
      <c r="AW308" s="104">
        <v>0</v>
      </c>
      <c r="AX308" s="104">
        <v>0</v>
      </c>
      <c r="AZ308" s="104">
        <f t="shared" si="16"/>
        <v>217928</v>
      </c>
      <c r="BA308" s="104">
        <f t="shared" si="17"/>
        <v>2979</v>
      </c>
      <c r="BB308" s="96">
        <f t="shared" si="18"/>
        <v>0</v>
      </c>
      <c r="BC308" s="104">
        <f t="shared" si="19"/>
        <v>896</v>
      </c>
    </row>
    <row r="309" spans="1:56">
      <c r="A309" s="102" t="s">
        <v>423</v>
      </c>
      <c r="B309" s="24" t="s">
        <v>709</v>
      </c>
      <c r="C309" s="103" t="s">
        <v>261</v>
      </c>
      <c r="D309" s="104">
        <v>0</v>
      </c>
      <c r="E309" s="104">
        <v>6715</v>
      </c>
      <c r="F309" s="104">
        <v>92</v>
      </c>
      <c r="G309" s="104">
        <v>0</v>
      </c>
      <c r="H309" s="104">
        <v>0</v>
      </c>
      <c r="I309" s="104">
        <v>0</v>
      </c>
      <c r="J309" s="104">
        <v>0</v>
      </c>
      <c r="K309" s="104">
        <v>8956</v>
      </c>
      <c r="L309" s="104">
        <v>124</v>
      </c>
      <c r="M309" s="104">
        <v>0</v>
      </c>
      <c r="N309" s="104">
        <v>0</v>
      </c>
      <c r="O309" s="104">
        <v>0</v>
      </c>
      <c r="P309" s="104">
        <v>0</v>
      </c>
      <c r="Q309" s="104">
        <v>0</v>
      </c>
      <c r="R309" s="104">
        <v>0</v>
      </c>
      <c r="S309" s="104">
        <v>0</v>
      </c>
      <c r="T309" s="104">
        <v>0</v>
      </c>
      <c r="U309" s="104">
        <v>0</v>
      </c>
      <c r="V309" s="104">
        <v>0</v>
      </c>
      <c r="W309" s="104">
        <v>0</v>
      </c>
      <c r="X309" s="104">
        <v>0</v>
      </c>
      <c r="Y309" s="104">
        <v>0</v>
      </c>
      <c r="Z309" s="104">
        <v>0</v>
      </c>
      <c r="AA309" s="104">
        <v>0</v>
      </c>
      <c r="AB309" s="104">
        <v>0</v>
      </c>
      <c r="AC309" s="104">
        <v>0</v>
      </c>
      <c r="AD309" s="104">
        <v>0</v>
      </c>
      <c r="AE309" s="104">
        <v>0</v>
      </c>
      <c r="AF309" s="104">
        <v>0</v>
      </c>
      <c r="AG309" s="104">
        <v>0</v>
      </c>
      <c r="AH309" s="104">
        <v>0</v>
      </c>
      <c r="AI309" s="104">
        <v>0</v>
      </c>
      <c r="AJ309" s="104">
        <v>0</v>
      </c>
      <c r="AK309" s="104">
        <v>0</v>
      </c>
      <c r="AL309" s="104">
        <v>0</v>
      </c>
      <c r="AM309" s="104">
        <v>0</v>
      </c>
      <c r="AN309" s="104">
        <v>0</v>
      </c>
      <c r="AO309" s="104">
        <v>0</v>
      </c>
      <c r="AP309" s="104">
        <v>0</v>
      </c>
      <c r="AQ309" s="104">
        <v>0</v>
      </c>
      <c r="AR309" s="104">
        <v>0</v>
      </c>
      <c r="AS309" s="104">
        <v>3363</v>
      </c>
      <c r="AT309" s="104">
        <v>46</v>
      </c>
      <c r="AU309" s="104">
        <v>0</v>
      </c>
      <c r="AV309" s="104">
        <v>0</v>
      </c>
      <c r="AW309" s="104">
        <v>0</v>
      </c>
      <c r="AX309" s="104">
        <v>0</v>
      </c>
      <c r="AZ309" s="104">
        <f t="shared" si="16"/>
        <v>15671</v>
      </c>
      <c r="BA309" s="104">
        <f t="shared" si="17"/>
        <v>216</v>
      </c>
      <c r="BB309" s="96">
        <f t="shared" si="18"/>
        <v>0</v>
      </c>
      <c r="BC309" s="104">
        <f t="shared" si="19"/>
        <v>0</v>
      </c>
    </row>
    <row r="310" spans="1:56">
      <c r="A310" s="102" t="s">
        <v>424</v>
      </c>
      <c r="B310" s="24" t="s">
        <v>710</v>
      </c>
      <c r="C310" s="103" t="s">
        <v>306</v>
      </c>
      <c r="D310" s="104">
        <v>0</v>
      </c>
      <c r="E310" s="104">
        <v>58847</v>
      </c>
      <c r="F310" s="104">
        <v>673</v>
      </c>
      <c r="G310" s="104">
        <v>0</v>
      </c>
      <c r="H310" s="104">
        <v>0</v>
      </c>
      <c r="I310" s="104">
        <v>0</v>
      </c>
      <c r="J310" s="104">
        <v>0</v>
      </c>
      <c r="K310" s="104">
        <v>9962</v>
      </c>
      <c r="L310" s="104">
        <v>112</v>
      </c>
      <c r="M310" s="104">
        <v>0</v>
      </c>
      <c r="N310" s="104">
        <v>0</v>
      </c>
      <c r="O310" s="104">
        <v>0</v>
      </c>
      <c r="P310" s="104">
        <v>0</v>
      </c>
      <c r="Q310" s="104">
        <v>0</v>
      </c>
      <c r="R310" s="104">
        <v>0</v>
      </c>
      <c r="S310" s="104">
        <v>0</v>
      </c>
      <c r="T310" s="104">
        <v>0</v>
      </c>
      <c r="U310" s="104">
        <v>0</v>
      </c>
      <c r="V310" s="104">
        <v>0</v>
      </c>
      <c r="W310" s="104">
        <v>0</v>
      </c>
      <c r="X310" s="104">
        <v>0</v>
      </c>
      <c r="Y310" s="104">
        <v>0</v>
      </c>
      <c r="Z310" s="104">
        <v>0</v>
      </c>
      <c r="AA310" s="104">
        <v>0</v>
      </c>
      <c r="AB310" s="104">
        <v>0</v>
      </c>
      <c r="AC310" s="104">
        <v>0</v>
      </c>
      <c r="AD310" s="104">
        <v>0</v>
      </c>
      <c r="AE310" s="104">
        <v>0</v>
      </c>
      <c r="AF310" s="104">
        <v>0</v>
      </c>
      <c r="AG310" s="104">
        <v>0</v>
      </c>
      <c r="AH310" s="104">
        <v>0</v>
      </c>
      <c r="AI310" s="104">
        <v>0</v>
      </c>
      <c r="AJ310" s="104">
        <v>0</v>
      </c>
      <c r="AK310" s="104">
        <v>0</v>
      </c>
      <c r="AL310" s="104">
        <v>0</v>
      </c>
      <c r="AM310" s="104">
        <v>0</v>
      </c>
      <c r="AN310" s="104">
        <v>0</v>
      </c>
      <c r="AO310" s="104">
        <v>0</v>
      </c>
      <c r="AP310" s="104">
        <v>0</v>
      </c>
      <c r="AQ310" s="104">
        <v>0</v>
      </c>
      <c r="AR310" s="104">
        <v>0</v>
      </c>
      <c r="AS310" s="104">
        <v>0</v>
      </c>
      <c r="AT310" s="104">
        <v>0</v>
      </c>
      <c r="AU310" s="104">
        <v>0</v>
      </c>
      <c r="AV310" s="104">
        <v>0</v>
      </c>
      <c r="AW310" s="104">
        <v>0</v>
      </c>
      <c r="AX310" s="104">
        <v>0</v>
      </c>
      <c r="AZ310" s="104">
        <f t="shared" si="16"/>
        <v>68809</v>
      </c>
      <c r="BA310" s="104">
        <f t="shared" si="17"/>
        <v>785</v>
      </c>
      <c r="BB310" s="96">
        <f t="shared" si="18"/>
        <v>0</v>
      </c>
      <c r="BC310" s="104">
        <f t="shared" si="19"/>
        <v>0</v>
      </c>
    </row>
    <row r="311" spans="1:56">
      <c r="A311" s="102" t="s">
        <v>425</v>
      </c>
      <c r="B311" s="24" t="s">
        <v>711</v>
      </c>
      <c r="C311" s="103" t="s">
        <v>232</v>
      </c>
      <c r="D311" s="104">
        <v>0</v>
      </c>
      <c r="E311" s="104">
        <v>0</v>
      </c>
      <c r="F311" s="104">
        <v>0</v>
      </c>
      <c r="G311" s="104">
        <v>0</v>
      </c>
      <c r="H311" s="104">
        <v>0</v>
      </c>
      <c r="I311" s="104">
        <v>0</v>
      </c>
      <c r="J311" s="104">
        <v>0</v>
      </c>
      <c r="K311" s="104">
        <v>4231</v>
      </c>
      <c r="L311" s="104">
        <v>63</v>
      </c>
      <c r="M311" s="104">
        <v>0</v>
      </c>
      <c r="N311" s="104">
        <v>0</v>
      </c>
      <c r="O311" s="104">
        <v>0</v>
      </c>
      <c r="P311" s="104">
        <v>0</v>
      </c>
      <c r="Q311" s="104">
        <v>0</v>
      </c>
      <c r="R311" s="104">
        <v>0</v>
      </c>
      <c r="S311" s="104">
        <v>0</v>
      </c>
      <c r="T311" s="104">
        <v>0</v>
      </c>
      <c r="U311" s="104">
        <v>0</v>
      </c>
      <c r="V311" s="104">
        <v>0</v>
      </c>
      <c r="W311" s="104">
        <v>0</v>
      </c>
      <c r="X311" s="104">
        <v>17940</v>
      </c>
      <c r="Y311" s="104">
        <v>274</v>
      </c>
      <c r="Z311" s="104">
        <v>0</v>
      </c>
      <c r="AA311" s="104">
        <v>0</v>
      </c>
      <c r="AB311" s="104">
        <v>0</v>
      </c>
      <c r="AC311" s="104">
        <v>0</v>
      </c>
      <c r="AD311" s="104">
        <v>0</v>
      </c>
      <c r="AE311" s="104">
        <v>0</v>
      </c>
      <c r="AF311" s="104">
        <v>0</v>
      </c>
      <c r="AG311" s="104">
        <v>0</v>
      </c>
      <c r="AH311" s="104">
        <v>0</v>
      </c>
      <c r="AI311" s="104">
        <v>0</v>
      </c>
      <c r="AJ311" s="104">
        <v>0</v>
      </c>
      <c r="AK311" s="104">
        <v>0</v>
      </c>
      <c r="AL311" s="104">
        <v>0</v>
      </c>
      <c r="AM311" s="104">
        <v>0</v>
      </c>
      <c r="AN311" s="104">
        <v>0</v>
      </c>
      <c r="AO311" s="104">
        <v>0</v>
      </c>
      <c r="AP311" s="104">
        <v>0</v>
      </c>
      <c r="AQ311" s="104">
        <v>0</v>
      </c>
      <c r="AR311" s="104">
        <v>0</v>
      </c>
      <c r="AS311" s="104">
        <v>0</v>
      </c>
      <c r="AT311" s="104">
        <v>0</v>
      </c>
      <c r="AU311" s="104">
        <v>0</v>
      </c>
      <c r="AV311" s="104">
        <v>0</v>
      </c>
      <c r="AW311" s="104">
        <v>0</v>
      </c>
      <c r="AX311" s="104">
        <v>0</v>
      </c>
      <c r="AZ311" s="104">
        <f t="shared" si="16"/>
        <v>22171</v>
      </c>
      <c r="BA311" s="104">
        <f t="shared" si="17"/>
        <v>337</v>
      </c>
      <c r="BB311" s="96">
        <f t="shared" si="18"/>
        <v>0</v>
      </c>
      <c r="BC311" s="104">
        <f t="shared" si="19"/>
        <v>0</v>
      </c>
    </row>
    <row r="312" spans="1:56">
      <c r="A312" s="102" t="s">
        <v>426</v>
      </c>
      <c r="B312" s="24" t="s">
        <v>712</v>
      </c>
      <c r="C312" s="103" t="s">
        <v>242</v>
      </c>
      <c r="D312" s="104">
        <v>0</v>
      </c>
      <c r="E312" s="104">
        <v>9088</v>
      </c>
      <c r="F312" s="104">
        <v>148</v>
      </c>
      <c r="G312" s="104">
        <v>0</v>
      </c>
      <c r="H312" s="104">
        <v>0</v>
      </c>
      <c r="I312" s="104">
        <v>0</v>
      </c>
      <c r="J312" s="104">
        <v>0</v>
      </c>
      <c r="K312" s="104">
        <v>3929</v>
      </c>
      <c r="L312" s="104">
        <v>59</v>
      </c>
      <c r="M312" s="104">
        <v>0</v>
      </c>
      <c r="N312" s="104">
        <v>0</v>
      </c>
      <c r="O312" s="104">
        <v>0</v>
      </c>
      <c r="P312" s="104">
        <v>0</v>
      </c>
      <c r="Q312" s="104">
        <v>0</v>
      </c>
      <c r="R312" s="104">
        <v>0</v>
      </c>
      <c r="S312" s="104">
        <v>0</v>
      </c>
      <c r="T312" s="104">
        <v>0</v>
      </c>
      <c r="U312" s="104">
        <v>0</v>
      </c>
      <c r="V312" s="104">
        <v>0</v>
      </c>
      <c r="W312" s="104">
        <v>0</v>
      </c>
      <c r="X312" s="104">
        <v>0</v>
      </c>
      <c r="Y312" s="104">
        <v>0</v>
      </c>
      <c r="Z312" s="104">
        <v>0</v>
      </c>
      <c r="AA312" s="104">
        <v>0</v>
      </c>
      <c r="AB312" s="104">
        <v>0</v>
      </c>
      <c r="AC312" s="104">
        <v>0</v>
      </c>
      <c r="AD312" s="104">
        <v>0</v>
      </c>
      <c r="AE312" s="104">
        <v>0</v>
      </c>
      <c r="AF312" s="104">
        <v>0</v>
      </c>
      <c r="AG312" s="104">
        <v>0</v>
      </c>
      <c r="AH312" s="104">
        <v>0</v>
      </c>
      <c r="AI312" s="104">
        <v>0</v>
      </c>
      <c r="AJ312" s="104">
        <v>0</v>
      </c>
      <c r="AK312" s="104">
        <v>0</v>
      </c>
      <c r="AL312" s="104">
        <v>0</v>
      </c>
      <c r="AM312" s="104">
        <v>0</v>
      </c>
      <c r="AN312" s="104">
        <v>0</v>
      </c>
      <c r="AO312" s="104">
        <v>0</v>
      </c>
      <c r="AP312" s="104">
        <v>0</v>
      </c>
      <c r="AQ312" s="104">
        <v>0</v>
      </c>
      <c r="AR312" s="104">
        <v>0</v>
      </c>
      <c r="AS312" s="104">
        <v>0</v>
      </c>
      <c r="AT312" s="104">
        <v>0</v>
      </c>
      <c r="AU312" s="104">
        <v>0</v>
      </c>
      <c r="AV312" s="104">
        <v>0</v>
      </c>
      <c r="AW312" s="104">
        <v>0</v>
      </c>
      <c r="AX312" s="104">
        <v>0</v>
      </c>
      <c r="AZ312" s="104">
        <f t="shared" si="16"/>
        <v>13017</v>
      </c>
      <c r="BA312" s="104">
        <f t="shared" si="17"/>
        <v>207</v>
      </c>
      <c r="BB312" s="96">
        <f t="shared" si="18"/>
        <v>0</v>
      </c>
      <c r="BC312" s="104">
        <f t="shared" si="19"/>
        <v>0</v>
      </c>
    </row>
    <row r="313" spans="1:56" ht="12.75" thickBot="1">
      <c r="A313" s="102" t="s">
        <v>427</v>
      </c>
      <c r="B313" s="24" t="s">
        <v>713</v>
      </c>
      <c r="C313" s="103" t="s">
        <v>77</v>
      </c>
      <c r="D313" s="110">
        <v>0</v>
      </c>
      <c r="E313" s="110">
        <v>4897466</v>
      </c>
      <c r="F313" s="110">
        <v>22453</v>
      </c>
      <c r="G313" s="110">
        <v>0</v>
      </c>
      <c r="H313" s="110">
        <v>0</v>
      </c>
      <c r="I313" s="110">
        <v>0</v>
      </c>
      <c r="J313" s="110">
        <v>0</v>
      </c>
      <c r="K313" s="110">
        <v>1651049</v>
      </c>
      <c r="L313" s="110">
        <v>7567</v>
      </c>
      <c r="M313" s="110">
        <v>0</v>
      </c>
      <c r="N313" s="110">
        <v>0</v>
      </c>
      <c r="O313" s="110">
        <v>0</v>
      </c>
      <c r="P313" s="110">
        <v>0</v>
      </c>
      <c r="Q313" s="110">
        <v>0</v>
      </c>
      <c r="R313" s="110">
        <v>0</v>
      </c>
      <c r="S313" s="110">
        <v>0</v>
      </c>
      <c r="T313" s="110">
        <v>0</v>
      </c>
      <c r="U313" s="110">
        <v>0</v>
      </c>
      <c r="V313" s="110">
        <v>0</v>
      </c>
      <c r="W313" s="110">
        <v>0</v>
      </c>
      <c r="X313" s="110">
        <v>1498739</v>
      </c>
      <c r="Y313" s="110">
        <v>6874</v>
      </c>
      <c r="Z313" s="110">
        <v>0</v>
      </c>
      <c r="AA313" s="110">
        <v>0</v>
      </c>
      <c r="AB313" s="110">
        <v>0</v>
      </c>
      <c r="AC313" s="110">
        <v>0</v>
      </c>
      <c r="AD313" s="110">
        <v>0</v>
      </c>
      <c r="AE313" s="110">
        <v>0</v>
      </c>
      <c r="AF313" s="110">
        <v>0</v>
      </c>
      <c r="AG313" s="110">
        <v>63996</v>
      </c>
      <c r="AH313" s="110">
        <v>293</v>
      </c>
      <c r="AI313" s="110">
        <v>0</v>
      </c>
      <c r="AJ313" s="110">
        <v>0</v>
      </c>
      <c r="AK313" s="110">
        <v>0</v>
      </c>
      <c r="AL313" s="110">
        <v>0</v>
      </c>
      <c r="AM313" s="110">
        <v>0</v>
      </c>
      <c r="AN313" s="110">
        <v>0</v>
      </c>
      <c r="AO313" s="110">
        <v>0</v>
      </c>
      <c r="AP313" s="110">
        <v>0</v>
      </c>
      <c r="AQ313" s="110">
        <v>0</v>
      </c>
      <c r="AR313" s="110">
        <v>0</v>
      </c>
      <c r="AS313" s="110">
        <v>0</v>
      </c>
      <c r="AT313" s="110">
        <v>0</v>
      </c>
      <c r="AU313" s="110">
        <v>0</v>
      </c>
      <c r="AV313" s="110">
        <v>0</v>
      </c>
      <c r="AW313" s="110">
        <v>0</v>
      </c>
      <c r="AX313" s="111"/>
      <c r="AZ313" s="110">
        <f t="shared" si="16"/>
        <v>8047254</v>
      </c>
      <c r="BA313" s="110">
        <f t="shared" si="17"/>
        <v>36894</v>
      </c>
      <c r="BB313" s="111">
        <f t="shared" si="18"/>
        <v>0</v>
      </c>
      <c r="BC313" s="110">
        <f t="shared" si="19"/>
        <v>0</v>
      </c>
    </row>
    <row r="314" spans="1:56" ht="12.75" thickTop="1">
      <c r="A314" s="102"/>
      <c r="B314" s="103"/>
      <c r="C314" s="103"/>
    </row>
    <row r="315" spans="1:56">
      <c r="A315" s="105" t="s">
        <v>428</v>
      </c>
      <c r="B315" s="106"/>
      <c r="C315" s="107"/>
      <c r="D315" s="104">
        <f>SUM(D6:D313)</f>
        <v>1027374</v>
      </c>
      <c r="E315" s="104">
        <f t="shared" ref="E315:BC315" si="20">SUM(E6:E313)</f>
        <v>49654762</v>
      </c>
      <c r="F315" s="104">
        <f t="shared" si="20"/>
        <v>598881</v>
      </c>
      <c r="G315" s="104">
        <f t="shared" si="20"/>
        <v>723428</v>
      </c>
      <c r="H315" s="104">
        <f t="shared" si="20"/>
        <v>193700</v>
      </c>
      <c r="I315" s="104">
        <f t="shared" si="20"/>
        <v>2119</v>
      </c>
      <c r="J315" s="104">
        <f t="shared" si="20"/>
        <v>2957</v>
      </c>
      <c r="K315" s="104">
        <f t="shared" si="20"/>
        <v>11944981</v>
      </c>
      <c r="L315" s="104">
        <f t="shared" si="20"/>
        <v>137135</v>
      </c>
      <c r="M315" s="104">
        <f t="shared" si="20"/>
        <v>395165</v>
      </c>
      <c r="N315" s="104">
        <f t="shared" si="20"/>
        <v>292004</v>
      </c>
      <c r="O315" s="104">
        <f t="shared" si="20"/>
        <v>17819</v>
      </c>
      <c r="P315" s="104">
        <f t="shared" si="20"/>
        <v>120</v>
      </c>
      <c r="Q315" s="104">
        <f t="shared" si="20"/>
        <v>415</v>
      </c>
      <c r="R315" s="104">
        <f t="shared" si="20"/>
        <v>146137</v>
      </c>
      <c r="S315" s="104">
        <f t="shared" si="20"/>
        <v>475</v>
      </c>
      <c r="T315" s="104">
        <f t="shared" si="20"/>
        <v>25148</v>
      </c>
      <c r="U315" s="104">
        <f t="shared" si="20"/>
        <v>1941266</v>
      </c>
      <c r="V315" s="104">
        <f t="shared" si="20"/>
        <v>7425</v>
      </c>
      <c r="W315" s="104">
        <f t="shared" si="20"/>
        <v>0</v>
      </c>
      <c r="X315" s="104">
        <f t="shared" si="20"/>
        <v>26959548</v>
      </c>
      <c r="Y315" s="104">
        <f t="shared" si="20"/>
        <v>305227</v>
      </c>
      <c r="Z315" s="104">
        <f t="shared" si="20"/>
        <v>433477</v>
      </c>
      <c r="AA315" s="104">
        <f t="shared" si="20"/>
        <v>1583337</v>
      </c>
      <c r="AB315" s="104">
        <f t="shared" si="20"/>
        <v>19834</v>
      </c>
      <c r="AC315" s="104">
        <f t="shared" si="20"/>
        <v>110091</v>
      </c>
      <c r="AD315" s="104">
        <f t="shared" si="20"/>
        <v>20268</v>
      </c>
      <c r="AE315" s="104">
        <f t="shared" si="20"/>
        <v>324</v>
      </c>
      <c r="AF315" s="104">
        <f t="shared" si="20"/>
        <v>0</v>
      </c>
      <c r="AG315" s="104">
        <f t="shared" si="20"/>
        <v>377229</v>
      </c>
      <c r="AH315" s="104">
        <f t="shared" si="20"/>
        <v>3190</v>
      </c>
      <c r="AI315" s="104">
        <f t="shared" si="20"/>
        <v>921</v>
      </c>
      <c r="AJ315" s="104">
        <f t="shared" si="20"/>
        <v>12933</v>
      </c>
      <c r="AK315" s="104">
        <f t="shared" si="20"/>
        <v>323</v>
      </c>
      <c r="AL315" s="104">
        <f t="shared" si="20"/>
        <v>0</v>
      </c>
      <c r="AM315" s="104">
        <f t="shared" si="20"/>
        <v>597696</v>
      </c>
      <c r="AN315" s="104">
        <f t="shared" si="20"/>
        <v>1944</v>
      </c>
      <c r="AO315" s="104">
        <f t="shared" si="20"/>
        <v>153550</v>
      </c>
      <c r="AP315" s="104">
        <f t="shared" si="20"/>
        <v>65959</v>
      </c>
      <c r="AQ315" s="104">
        <f t="shared" si="20"/>
        <v>215</v>
      </c>
      <c r="AR315" s="104">
        <f t="shared" si="20"/>
        <v>14914</v>
      </c>
      <c r="AS315" s="104">
        <f t="shared" si="20"/>
        <v>1933798</v>
      </c>
      <c r="AT315" s="104">
        <f t="shared" si="20"/>
        <v>34380</v>
      </c>
      <c r="AU315" s="104">
        <f t="shared" si="20"/>
        <v>13325</v>
      </c>
      <c r="AV315" s="104">
        <f t="shared" si="20"/>
        <v>274536</v>
      </c>
      <c r="AW315" s="104">
        <f t="shared" si="20"/>
        <v>4338</v>
      </c>
      <c r="AX315" s="104">
        <f t="shared" si="20"/>
        <v>1715</v>
      </c>
      <c r="AZ315" s="104">
        <f t="shared" si="20"/>
        <v>92441550</v>
      </c>
      <c r="BA315" s="104">
        <f t="shared" si="20"/>
        <v>1071216</v>
      </c>
      <c r="BB315" s="104">
        <f t="shared" si="20"/>
        <v>395165</v>
      </c>
      <c r="BC315" s="104">
        <f t="shared" si="20"/>
        <v>2614894</v>
      </c>
      <c r="BD315" s="104"/>
    </row>
    <row r="316" spans="1:56">
      <c r="BD316" s="104"/>
    </row>
  </sheetData>
  <mergeCells count="1">
    <mergeCell ref="AZ1:BC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315"/>
  <sheetViews>
    <sheetView workbookViewId="0">
      <pane xSplit="1" ySplit="5" topLeftCell="BF6" activePane="bottomRight" state="frozen"/>
      <selection pane="topRight" activeCell="B1" sqref="B1"/>
      <selection pane="bottomLeft" activeCell="A6" sqref="A6"/>
      <selection pane="bottomRight" activeCell="BF6" sqref="BF6"/>
    </sheetView>
  </sheetViews>
  <sheetFormatPr defaultRowHeight="12"/>
  <cols>
    <col min="1" max="1" width="8.85546875" style="4" bestFit="1" customWidth="1"/>
    <col min="2" max="2" width="20.7109375" style="4" bestFit="1" customWidth="1"/>
    <col min="3" max="3" width="11.7109375" style="4" bestFit="1" customWidth="1"/>
    <col min="4" max="4" width="8.85546875" style="4" bestFit="1" customWidth="1"/>
    <col min="5" max="5" width="9.85546875" style="4" bestFit="1" customWidth="1"/>
    <col min="6" max="6" width="7.7109375" style="4" bestFit="1" customWidth="1"/>
    <col min="7" max="7" width="8.85546875" style="4" bestFit="1" customWidth="1"/>
    <col min="8" max="8" width="9.28515625" style="4" bestFit="1" customWidth="1"/>
    <col min="9" max="9" width="7.7109375" style="4" bestFit="1" customWidth="1"/>
    <col min="10" max="10" width="5.42578125" style="4" bestFit="1" customWidth="1"/>
    <col min="11" max="11" width="9.85546875" style="4" bestFit="1" customWidth="1"/>
    <col min="12" max="12" width="7.7109375" style="4" bestFit="1" customWidth="1"/>
    <col min="13" max="13" width="11.85546875" style="4" bestFit="1" customWidth="1"/>
    <col min="14" max="14" width="7.42578125" style="4" bestFit="1" customWidth="1"/>
    <col min="15" max="15" width="9.28515625" style="4" bestFit="1" customWidth="1"/>
    <col min="16" max="16" width="7.7109375" style="4" bestFit="1" customWidth="1"/>
    <col min="17" max="17" width="5.140625" style="4" bestFit="1" customWidth="1"/>
    <col min="18" max="18" width="9.28515625" style="4" bestFit="1" customWidth="1"/>
    <col min="19" max="19" width="7.7109375" style="4" bestFit="1" customWidth="1"/>
    <col min="20" max="20" width="5.140625" style="4" bestFit="1" customWidth="1"/>
    <col min="21" max="21" width="9.28515625" style="4" bestFit="1" customWidth="1"/>
    <col min="22" max="22" width="7.7109375" style="4" bestFit="1" customWidth="1"/>
    <col min="23" max="23" width="6.42578125" style="4" bestFit="1" customWidth="1"/>
    <col min="24" max="24" width="9.28515625" style="4" bestFit="1" customWidth="1"/>
    <col min="25" max="25" width="7.7109375" style="4" bestFit="1" customWidth="1"/>
    <col min="26" max="26" width="6.42578125" style="4" bestFit="1" customWidth="1"/>
    <col min="27" max="27" width="9.28515625" style="4" bestFit="1" customWidth="1"/>
    <col min="28" max="28" width="7.7109375" style="4" bestFit="1" customWidth="1"/>
    <col min="29" max="29" width="5.140625" style="4" bestFit="1" customWidth="1"/>
    <col min="30" max="30" width="9.85546875" style="4" bestFit="1" customWidth="1"/>
    <col min="31" max="31" width="7.7109375" style="4" bestFit="1" customWidth="1"/>
    <col min="32" max="32" width="7.42578125" style="4" bestFit="1" customWidth="1"/>
    <col min="33" max="33" width="9.28515625" style="4" bestFit="1" customWidth="1"/>
    <col min="34" max="34" width="7.7109375" style="4" bestFit="1" customWidth="1"/>
    <col min="35" max="35" width="6.42578125" style="4" bestFit="1" customWidth="1"/>
    <col min="36" max="36" width="9.28515625" style="4" bestFit="1" customWidth="1"/>
    <col min="37" max="37" width="7.7109375" style="4" bestFit="1" customWidth="1"/>
    <col min="38" max="38" width="5.140625" style="4" bestFit="1" customWidth="1"/>
    <col min="39" max="39" width="9.28515625" style="4" bestFit="1" customWidth="1"/>
    <col min="40" max="40" width="7.7109375" style="4" bestFit="1" customWidth="1"/>
    <col min="41" max="41" width="5.42578125" style="4" bestFit="1" customWidth="1"/>
    <col min="42" max="42" width="9.28515625" style="4" bestFit="1" customWidth="1"/>
    <col min="43" max="43" width="7.7109375" style="4" bestFit="1" customWidth="1"/>
    <col min="44" max="44" width="5.140625" style="4" bestFit="1" customWidth="1"/>
    <col min="45" max="45" width="9.28515625" style="4" bestFit="1" customWidth="1"/>
    <col min="46" max="46" width="7.7109375" style="4" bestFit="1" customWidth="1"/>
    <col min="47" max="47" width="7.42578125" style="4" bestFit="1" customWidth="1"/>
    <col min="48" max="48" width="9.28515625" style="4" bestFit="1" customWidth="1"/>
    <col min="49" max="49" width="7.7109375" style="4" bestFit="1" customWidth="1"/>
    <col min="50" max="50" width="6.42578125" style="4" bestFit="1" customWidth="1"/>
    <col min="51" max="51" width="9.28515625" style="4" bestFit="1" customWidth="1"/>
    <col min="52" max="52" width="7.7109375" style="4" bestFit="1" customWidth="1"/>
    <col min="53" max="53" width="6.42578125" style="4" bestFit="1" customWidth="1"/>
    <col min="54" max="54" width="9.28515625" style="4" bestFit="1" customWidth="1"/>
    <col min="55" max="55" width="7.7109375" style="4" bestFit="1" customWidth="1"/>
    <col min="56" max="56" width="5.42578125" style="4" bestFit="1" customWidth="1"/>
    <col min="57" max="57" width="3.28515625" style="4" customWidth="1"/>
    <col min="58" max="58" width="10.85546875" style="4" bestFit="1" customWidth="1"/>
    <col min="59" max="59" width="8.85546875" style="4" bestFit="1" customWidth="1"/>
    <col min="60" max="60" width="11.7109375" style="4" bestFit="1" customWidth="1"/>
    <col min="61" max="61" width="8.85546875" style="4" bestFit="1" customWidth="1"/>
    <col min="62" max="62" width="10.85546875" style="4" bestFit="1" customWidth="1"/>
    <col min="63" max="16384" width="9.140625" style="4"/>
  </cols>
  <sheetData>
    <row r="1" spans="1:61">
      <c r="A1" s="50">
        <v>40387</v>
      </c>
      <c r="BF1" s="121" t="s">
        <v>770</v>
      </c>
      <c r="BG1" s="121"/>
      <c r="BH1" s="121"/>
      <c r="BI1" s="121"/>
    </row>
    <row r="3" spans="1:61">
      <c r="D3" s="108" t="s">
        <v>746</v>
      </c>
      <c r="E3" s="108" t="s">
        <v>747</v>
      </c>
      <c r="F3" s="108" t="s">
        <v>747</v>
      </c>
      <c r="G3" s="108" t="s">
        <v>747</v>
      </c>
      <c r="H3" s="108" t="s">
        <v>748</v>
      </c>
      <c r="I3" s="108" t="s">
        <v>748</v>
      </c>
      <c r="J3" s="108" t="s">
        <v>748</v>
      </c>
      <c r="K3" s="108" t="s">
        <v>749</v>
      </c>
      <c r="L3" s="108" t="s">
        <v>749</v>
      </c>
      <c r="M3" s="108" t="s">
        <v>749</v>
      </c>
      <c r="N3" s="108" t="s">
        <v>749</v>
      </c>
      <c r="O3" s="108" t="s">
        <v>766</v>
      </c>
      <c r="P3" s="108" t="s">
        <v>766</v>
      </c>
      <c r="Q3" s="108" t="s">
        <v>766</v>
      </c>
      <c r="R3" s="108" t="s">
        <v>767</v>
      </c>
      <c r="S3" s="108" t="s">
        <v>767</v>
      </c>
      <c r="T3" s="108" t="s">
        <v>767</v>
      </c>
      <c r="U3" s="108" t="s">
        <v>750</v>
      </c>
      <c r="V3" s="108" t="s">
        <v>750</v>
      </c>
      <c r="W3" s="108" t="s">
        <v>750</v>
      </c>
      <c r="X3" s="108" t="s">
        <v>751</v>
      </c>
      <c r="Y3" s="108" t="s">
        <v>751</v>
      </c>
      <c r="Z3" s="108" t="s">
        <v>751</v>
      </c>
      <c r="AA3" s="108" t="s">
        <v>752</v>
      </c>
      <c r="AB3" s="108" t="s">
        <v>752</v>
      </c>
      <c r="AC3" s="108" t="s">
        <v>752</v>
      </c>
      <c r="AD3" s="108" t="s">
        <v>753</v>
      </c>
      <c r="AE3" s="108" t="s">
        <v>753</v>
      </c>
      <c r="AF3" s="108" t="s">
        <v>753</v>
      </c>
      <c r="AG3" s="108" t="s">
        <v>754</v>
      </c>
      <c r="AH3" s="108" t="s">
        <v>754</v>
      </c>
      <c r="AI3" s="108" t="s">
        <v>754</v>
      </c>
      <c r="AJ3" s="108" t="s">
        <v>755</v>
      </c>
      <c r="AK3" s="108" t="s">
        <v>755</v>
      </c>
      <c r="AL3" s="108" t="s">
        <v>755</v>
      </c>
      <c r="AM3" s="108" t="s">
        <v>756</v>
      </c>
      <c r="AN3" s="108" t="s">
        <v>756</v>
      </c>
      <c r="AO3" s="108" t="s">
        <v>756</v>
      </c>
      <c r="AP3" s="108" t="s">
        <v>757</v>
      </c>
      <c r="AQ3" s="108" t="s">
        <v>757</v>
      </c>
      <c r="AR3" s="108" t="s">
        <v>757</v>
      </c>
      <c r="AS3" s="108" t="s">
        <v>758</v>
      </c>
      <c r="AT3" s="108" t="s">
        <v>758</v>
      </c>
      <c r="AU3" s="108" t="s">
        <v>758</v>
      </c>
      <c r="AV3" s="108" t="s">
        <v>759</v>
      </c>
      <c r="AW3" s="108" t="s">
        <v>759</v>
      </c>
      <c r="AX3" s="108" t="s">
        <v>759</v>
      </c>
      <c r="AY3" s="108" t="s">
        <v>760</v>
      </c>
      <c r="AZ3" s="108" t="s">
        <v>760</v>
      </c>
      <c r="BA3" s="108" t="s">
        <v>760</v>
      </c>
      <c r="BB3" s="108" t="s">
        <v>761</v>
      </c>
      <c r="BC3" s="108" t="s">
        <v>761</v>
      </c>
      <c r="BD3" s="108" t="s">
        <v>761</v>
      </c>
      <c r="BF3" s="118" t="s">
        <v>768</v>
      </c>
      <c r="BG3" s="118" t="s">
        <v>768</v>
      </c>
      <c r="BH3" s="118" t="s">
        <v>768</v>
      </c>
      <c r="BI3" s="118" t="s">
        <v>768</v>
      </c>
    </row>
    <row r="4" spans="1:61">
      <c r="D4" s="108" t="s">
        <v>762</v>
      </c>
      <c r="E4" s="108" t="s">
        <v>763</v>
      </c>
      <c r="F4" s="108" t="s">
        <v>764</v>
      </c>
      <c r="G4" s="108" t="s">
        <v>762</v>
      </c>
      <c r="H4" s="108" t="s">
        <v>763</v>
      </c>
      <c r="I4" s="108" t="s">
        <v>764</v>
      </c>
      <c r="J4" s="108" t="s">
        <v>762</v>
      </c>
      <c r="K4" s="108" t="s">
        <v>763</v>
      </c>
      <c r="L4" s="108" t="s">
        <v>764</v>
      </c>
      <c r="M4" s="108" t="s">
        <v>765</v>
      </c>
      <c r="N4" s="108" t="s">
        <v>762</v>
      </c>
      <c r="O4" s="108" t="s">
        <v>763</v>
      </c>
      <c r="P4" s="108" t="s">
        <v>764</v>
      </c>
      <c r="Q4" s="108" t="s">
        <v>762</v>
      </c>
      <c r="R4" s="108" t="s">
        <v>763</v>
      </c>
      <c r="S4" s="108" t="s">
        <v>764</v>
      </c>
      <c r="T4" s="108" t="s">
        <v>762</v>
      </c>
      <c r="U4" s="108" t="s">
        <v>763</v>
      </c>
      <c r="V4" s="108" t="s">
        <v>764</v>
      </c>
      <c r="W4" s="108" t="s">
        <v>762</v>
      </c>
      <c r="X4" s="108" t="s">
        <v>763</v>
      </c>
      <c r="Y4" s="108" t="s">
        <v>764</v>
      </c>
      <c r="Z4" s="108" t="s">
        <v>762</v>
      </c>
      <c r="AA4" s="108" t="s">
        <v>763</v>
      </c>
      <c r="AB4" s="108" t="s">
        <v>764</v>
      </c>
      <c r="AC4" s="108" t="s">
        <v>762</v>
      </c>
      <c r="AD4" s="108" t="s">
        <v>763</v>
      </c>
      <c r="AE4" s="108" t="s">
        <v>764</v>
      </c>
      <c r="AF4" s="108" t="s">
        <v>762</v>
      </c>
      <c r="AG4" s="108" t="s">
        <v>763</v>
      </c>
      <c r="AH4" s="108" t="s">
        <v>764</v>
      </c>
      <c r="AI4" s="108" t="s">
        <v>762</v>
      </c>
      <c r="AJ4" s="108" t="s">
        <v>763</v>
      </c>
      <c r="AK4" s="108" t="s">
        <v>764</v>
      </c>
      <c r="AL4" s="108" t="s">
        <v>762</v>
      </c>
      <c r="AM4" s="108" t="s">
        <v>763</v>
      </c>
      <c r="AN4" s="108" t="s">
        <v>764</v>
      </c>
      <c r="AO4" s="108" t="s">
        <v>762</v>
      </c>
      <c r="AP4" s="108" t="s">
        <v>763</v>
      </c>
      <c r="AQ4" s="108" t="s">
        <v>764</v>
      </c>
      <c r="AR4" s="108" t="s">
        <v>762</v>
      </c>
      <c r="AS4" s="108" t="s">
        <v>763</v>
      </c>
      <c r="AT4" s="108" t="s">
        <v>764</v>
      </c>
      <c r="AU4" s="108" t="s">
        <v>762</v>
      </c>
      <c r="AV4" s="108" t="s">
        <v>763</v>
      </c>
      <c r="AW4" s="108" t="s">
        <v>764</v>
      </c>
      <c r="AX4" s="108" t="s">
        <v>762</v>
      </c>
      <c r="AY4" s="108" t="s">
        <v>763</v>
      </c>
      <c r="AZ4" s="108" t="s">
        <v>764</v>
      </c>
      <c r="BA4" s="108" t="s">
        <v>762</v>
      </c>
      <c r="BB4" s="108" t="s">
        <v>763</v>
      </c>
      <c r="BC4" s="108" t="s">
        <v>764</v>
      </c>
      <c r="BD4" s="108" t="s">
        <v>762</v>
      </c>
      <c r="BF4" s="118" t="s">
        <v>763</v>
      </c>
      <c r="BG4" s="118" t="s">
        <v>764</v>
      </c>
      <c r="BH4" s="118" t="s">
        <v>765</v>
      </c>
      <c r="BI4" s="118" t="s">
        <v>762</v>
      </c>
    </row>
    <row r="5" spans="1:61" ht="12.75" thickBot="1">
      <c r="A5" s="100" t="s">
        <v>9</v>
      </c>
      <c r="B5" s="101" t="s">
        <v>10</v>
      </c>
      <c r="C5" s="101" t="s">
        <v>3</v>
      </c>
      <c r="D5" s="109">
        <v>2800</v>
      </c>
      <c r="E5" s="109" t="s">
        <v>744</v>
      </c>
      <c r="F5" s="109" t="s">
        <v>745</v>
      </c>
      <c r="G5" s="109">
        <v>2800</v>
      </c>
      <c r="H5" s="109" t="s">
        <v>744</v>
      </c>
      <c r="I5" s="109" t="s">
        <v>745</v>
      </c>
      <c r="J5" s="109">
        <v>2800</v>
      </c>
      <c r="K5" s="109" t="s">
        <v>744</v>
      </c>
      <c r="L5" s="109" t="s">
        <v>745</v>
      </c>
      <c r="M5" s="109">
        <v>2600</v>
      </c>
      <c r="N5" s="109">
        <v>2800</v>
      </c>
      <c r="O5" s="109">
        <v>2400</v>
      </c>
      <c r="P5" s="109">
        <v>2450</v>
      </c>
      <c r="Q5" s="109">
        <v>2800</v>
      </c>
      <c r="R5" s="109">
        <v>2400</v>
      </c>
      <c r="S5" s="109">
        <v>2450</v>
      </c>
      <c r="T5" s="109">
        <v>2800</v>
      </c>
      <c r="U5" s="109" t="s">
        <v>744</v>
      </c>
      <c r="V5" s="109" t="s">
        <v>745</v>
      </c>
      <c r="W5" s="109">
        <v>2800</v>
      </c>
      <c r="X5" s="109" t="s">
        <v>744</v>
      </c>
      <c r="Y5" s="109" t="s">
        <v>745</v>
      </c>
      <c r="Z5" s="109">
        <v>2800</v>
      </c>
      <c r="AA5" s="109" t="s">
        <v>744</v>
      </c>
      <c r="AB5" s="109" t="s">
        <v>745</v>
      </c>
      <c r="AC5" s="109">
        <v>2800</v>
      </c>
      <c r="AD5" s="109" t="s">
        <v>744</v>
      </c>
      <c r="AE5" s="109" t="s">
        <v>745</v>
      </c>
      <c r="AF5" s="109">
        <v>2800</v>
      </c>
      <c r="AG5" s="109" t="s">
        <v>744</v>
      </c>
      <c r="AH5" s="109" t="s">
        <v>745</v>
      </c>
      <c r="AI5" s="109">
        <v>2800</v>
      </c>
      <c r="AJ5" s="109" t="s">
        <v>744</v>
      </c>
      <c r="AK5" s="109" t="s">
        <v>745</v>
      </c>
      <c r="AL5" s="109">
        <v>2800</v>
      </c>
      <c r="AM5" s="109" t="s">
        <v>744</v>
      </c>
      <c r="AN5" s="109" t="s">
        <v>745</v>
      </c>
      <c r="AO5" s="109">
        <v>2800</v>
      </c>
      <c r="AP5" s="109" t="s">
        <v>744</v>
      </c>
      <c r="AQ5" s="109" t="s">
        <v>745</v>
      </c>
      <c r="AR5" s="109">
        <v>2800</v>
      </c>
      <c r="AS5" s="109" t="s">
        <v>744</v>
      </c>
      <c r="AT5" s="109" t="s">
        <v>745</v>
      </c>
      <c r="AU5" s="109">
        <v>2800</v>
      </c>
      <c r="AV5" s="109" t="s">
        <v>744</v>
      </c>
      <c r="AW5" s="109" t="s">
        <v>745</v>
      </c>
      <c r="AX5" s="109">
        <v>2800</v>
      </c>
      <c r="AY5" s="109" t="s">
        <v>744</v>
      </c>
      <c r="AZ5" s="109" t="s">
        <v>745</v>
      </c>
      <c r="BA5" s="109">
        <v>2800</v>
      </c>
      <c r="BB5" s="109" t="s">
        <v>744</v>
      </c>
      <c r="BC5" s="109" t="s">
        <v>745</v>
      </c>
      <c r="BD5" s="109">
        <v>2800</v>
      </c>
      <c r="BF5" s="109">
        <v>2400</v>
      </c>
      <c r="BG5" s="109">
        <v>2450</v>
      </c>
      <c r="BH5" s="109">
        <v>2600</v>
      </c>
      <c r="BI5" s="109">
        <v>2800</v>
      </c>
    </row>
    <row r="6" spans="1:61">
      <c r="A6" s="102" t="s">
        <v>13</v>
      </c>
      <c r="B6" s="24" t="s">
        <v>433</v>
      </c>
      <c r="C6" s="103" t="s">
        <v>14</v>
      </c>
      <c r="D6" s="113">
        <v>0</v>
      </c>
      <c r="E6" s="113">
        <v>130862</v>
      </c>
      <c r="F6" s="113">
        <v>1511</v>
      </c>
      <c r="G6" s="113">
        <v>0</v>
      </c>
      <c r="H6" s="113">
        <v>0</v>
      </c>
      <c r="I6" s="113">
        <v>0</v>
      </c>
      <c r="J6" s="113">
        <v>0</v>
      </c>
      <c r="K6" s="113">
        <v>10333</v>
      </c>
      <c r="L6" s="113">
        <v>109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3">
        <v>0</v>
      </c>
      <c r="S6" s="113">
        <v>0</v>
      </c>
      <c r="T6" s="113">
        <v>0</v>
      </c>
      <c r="U6" s="113">
        <v>0</v>
      </c>
      <c r="V6" s="113">
        <v>0</v>
      </c>
      <c r="W6" s="113">
        <v>0</v>
      </c>
      <c r="X6" s="113">
        <v>0</v>
      </c>
      <c r="Y6" s="113">
        <v>0</v>
      </c>
      <c r="Z6" s="113">
        <v>0</v>
      </c>
      <c r="AA6" s="113">
        <v>0</v>
      </c>
      <c r="AB6" s="113">
        <v>0</v>
      </c>
      <c r="AC6" s="113">
        <v>0</v>
      </c>
      <c r="AD6" s="113">
        <v>0</v>
      </c>
      <c r="AE6" s="113">
        <v>0</v>
      </c>
      <c r="AF6" s="113">
        <v>0</v>
      </c>
      <c r="AG6" s="113">
        <v>0</v>
      </c>
      <c r="AH6" s="113">
        <v>0</v>
      </c>
      <c r="AI6" s="113">
        <v>0</v>
      </c>
      <c r="AJ6" s="113">
        <v>0</v>
      </c>
      <c r="AK6" s="113">
        <v>0</v>
      </c>
      <c r="AL6" s="113">
        <v>0</v>
      </c>
      <c r="AM6" s="113">
        <v>0</v>
      </c>
      <c r="AN6" s="113">
        <v>0</v>
      </c>
      <c r="AO6" s="113">
        <v>0</v>
      </c>
      <c r="AP6" s="113">
        <v>0</v>
      </c>
      <c r="AQ6" s="113">
        <v>0</v>
      </c>
      <c r="AR6" s="113">
        <v>0</v>
      </c>
      <c r="AS6" s="113">
        <v>0</v>
      </c>
      <c r="AT6" s="113">
        <v>0</v>
      </c>
      <c r="AU6" s="113">
        <v>0</v>
      </c>
      <c r="AV6" s="113">
        <v>0</v>
      </c>
      <c r="AW6" s="113">
        <v>0</v>
      </c>
      <c r="AX6" s="113">
        <v>0</v>
      </c>
      <c r="AY6" s="113">
        <v>0</v>
      </c>
      <c r="AZ6" s="113">
        <v>0</v>
      </c>
      <c r="BA6" s="113">
        <v>0</v>
      </c>
      <c r="BB6" s="113">
        <v>0</v>
      </c>
      <c r="BC6" s="113">
        <v>0</v>
      </c>
      <c r="BD6" s="113">
        <v>0</v>
      </c>
      <c r="BF6" s="113">
        <f>E6+H6+K6+O6+R6+U6+X6+AA6+AD6+AG6+AJ6+AM6</f>
        <v>141195</v>
      </c>
      <c r="BG6" s="113">
        <f>F6+I6+L6+P6+S6+V6+Y6+AB6+AE6+AH6+AK6+AN6</f>
        <v>1620</v>
      </c>
      <c r="BH6" s="113">
        <f>M6</f>
        <v>0</v>
      </c>
      <c r="BI6" s="113">
        <f>D6+G6+J6+N6+Q6+T6+W6+Z6+AC6+AF6+AI6+AL6+AO6</f>
        <v>0</v>
      </c>
    </row>
    <row r="7" spans="1:61">
      <c r="A7" s="102" t="s">
        <v>15</v>
      </c>
      <c r="B7" s="24" t="s">
        <v>434</v>
      </c>
      <c r="C7" s="103" t="s">
        <v>16</v>
      </c>
      <c r="D7" s="113">
        <v>0</v>
      </c>
      <c r="E7" s="113">
        <v>29440</v>
      </c>
      <c r="F7" s="113">
        <v>12443</v>
      </c>
      <c r="G7" s="113">
        <v>0</v>
      </c>
      <c r="H7" s="113">
        <v>0</v>
      </c>
      <c r="I7" s="113">
        <v>0</v>
      </c>
      <c r="J7" s="113">
        <v>0</v>
      </c>
      <c r="K7" s="113">
        <v>14091</v>
      </c>
      <c r="L7" s="113">
        <v>5796</v>
      </c>
      <c r="M7" s="113">
        <v>0</v>
      </c>
      <c r="N7" s="113">
        <v>0</v>
      </c>
      <c r="O7" s="113">
        <v>0</v>
      </c>
      <c r="P7" s="113">
        <v>0</v>
      </c>
      <c r="Q7" s="113">
        <v>0</v>
      </c>
      <c r="R7" s="113">
        <v>0</v>
      </c>
      <c r="S7" s="113">
        <v>0</v>
      </c>
      <c r="T7" s="113">
        <v>0</v>
      </c>
      <c r="U7" s="113">
        <v>0</v>
      </c>
      <c r="V7" s="113">
        <v>0</v>
      </c>
      <c r="W7" s="113">
        <v>0</v>
      </c>
      <c r="X7" s="113">
        <v>0</v>
      </c>
      <c r="Y7" s="113">
        <v>0</v>
      </c>
      <c r="Z7" s="113">
        <v>0</v>
      </c>
      <c r="AA7" s="113">
        <v>0</v>
      </c>
      <c r="AB7" s="113">
        <v>0</v>
      </c>
      <c r="AC7" s="113">
        <v>0</v>
      </c>
      <c r="AD7" s="113">
        <v>29661</v>
      </c>
      <c r="AE7" s="113">
        <v>12840</v>
      </c>
      <c r="AF7" s="113">
        <v>0</v>
      </c>
      <c r="AG7" s="113">
        <v>0</v>
      </c>
      <c r="AH7" s="113">
        <v>0</v>
      </c>
      <c r="AI7" s="113">
        <v>0</v>
      </c>
      <c r="AJ7" s="113">
        <v>0</v>
      </c>
      <c r="AK7" s="113">
        <v>0</v>
      </c>
      <c r="AL7" s="113">
        <v>0</v>
      </c>
      <c r="AM7" s="113">
        <v>0</v>
      </c>
      <c r="AN7" s="113">
        <v>0</v>
      </c>
      <c r="AO7" s="113">
        <v>0</v>
      </c>
      <c r="AP7" s="113">
        <v>0</v>
      </c>
      <c r="AQ7" s="113">
        <v>0</v>
      </c>
      <c r="AR7" s="113">
        <v>0</v>
      </c>
      <c r="AS7" s="113">
        <v>0</v>
      </c>
      <c r="AT7" s="113">
        <v>0</v>
      </c>
      <c r="AU7" s="113">
        <v>0</v>
      </c>
      <c r="AV7" s="113">
        <v>0</v>
      </c>
      <c r="AW7" s="113">
        <v>0</v>
      </c>
      <c r="AX7" s="113">
        <v>0</v>
      </c>
      <c r="AY7" s="113">
        <v>0</v>
      </c>
      <c r="AZ7" s="113">
        <v>0</v>
      </c>
      <c r="BA7" s="113">
        <v>0</v>
      </c>
      <c r="BB7" s="113">
        <v>0</v>
      </c>
      <c r="BC7" s="113">
        <v>0</v>
      </c>
      <c r="BD7" s="113">
        <v>0</v>
      </c>
      <c r="BF7" s="113">
        <f t="shared" ref="BF7:BF70" si="0">E7+H7+K7+O7+R7+U7+X7+AA7+AD7+AG7+AJ7+AM7</f>
        <v>73192</v>
      </c>
      <c r="BG7" s="113">
        <f t="shared" ref="BG7:BG70" si="1">F7+I7+L7+P7+S7+V7+Y7+AB7+AE7+AH7+AK7+AN7</f>
        <v>31079</v>
      </c>
      <c r="BH7" s="113">
        <f t="shared" ref="BH7:BH70" si="2">M7</f>
        <v>0</v>
      </c>
      <c r="BI7" s="113">
        <f t="shared" ref="BI7:BI70" si="3">D7+G7+J7+N7+Q7+T7+W7+Z7+AC7+AF7+AI7+AL7+AO7</f>
        <v>0</v>
      </c>
    </row>
    <row r="8" spans="1:61">
      <c r="A8" s="102" t="s">
        <v>17</v>
      </c>
      <c r="B8" s="24" t="s">
        <v>435</v>
      </c>
      <c r="C8" s="103" t="s">
        <v>18</v>
      </c>
      <c r="D8" s="113">
        <v>0</v>
      </c>
      <c r="E8" s="113">
        <v>25750</v>
      </c>
      <c r="F8" s="113">
        <v>289</v>
      </c>
      <c r="G8" s="113">
        <v>0</v>
      </c>
      <c r="H8" s="113">
        <v>0</v>
      </c>
      <c r="I8" s="113">
        <v>0</v>
      </c>
      <c r="J8" s="113">
        <v>0</v>
      </c>
      <c r="K8" s="113">
        <v>1357</v>
      </c>
      <c r="L8" s="113">
        <v>12</v>
      </c>
      <c r="M8" s="113">
        <v>149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v>0</v>
      </c>
      <c r="X8" s="113">
        <v>0</v>
      </c>
      <c r="Y8" s="113">
        <v>0</v>
      </c>
      <c r="Z8" s="113">
        <v>0</v>
      </c>
      <c r="AA8" s="113">
        <v>0</v>
      </c>
      <c r="AB8" s="113">
        <v>0</v>
      </c>
      <c r="AC8" s="113">
        <v>0</v>
      </c>
      <c r="AD8" s="113">
        <v>0</v>
      </c>
      <c r="AE8" s="113">
        <v>0</v>
      </c>
      <c r="AF8" s="113">
        <v>0</v>
      </c>
      <c r="AG8" s="113">
        <v>0</v>
      </c>
      <c r="AH8" s="113">
        <v>0</v>
      </c>
      <c r="AI8" s="113">
        <v>0</v>
      </c>
      <c r="AJ8" s="113">
        <v>0</v>
      </c>
      <c r="AK8" s="113">
        <v>0</v>
      </c>
      <c r="AL8" s="113">
        <v>0</v>
      </c>
      <c r="AM8" s="113">
        <v>0</v>
      </c>
      <c r="AN8" s="113">
        <v>0</v>
      </c>
      <c r="AO8" s="113">
        <v>0</v>
      </c>
      <c r="AP8" s="113">
        <v>0</v>
      </c>
      <c r="AQ8" s="113">
        <v>0</v>
      </c>
      <c r="AR8" s="113">
        <v>0</v>
      </c>
      <c r="AS8" s="113">
        <v>0</v>
      </c>
      <c r="AT8" s="113">
        <v>0</v>
      </c>
      <c r="AU8" s="113">
        <v>0</v>
      </c>
      <c r="AV8" s="113">
        <v>0</v>
      </c>
      <c r="AW8" s="113">
        <v>0</v>
      </c>
      <c r="AX8" s="113">
        <v>0</v>
      </c>
      <c r="AY8" s="113">
        <v>2238</v>
      </c>
      <c r="AZ8" s="113">
        <v>25</v>
      </c>
      <c r="BA8" s="113">
        <v>0</v>
      </c>
      <c r="BB8" s="113">
        <v>0</v>
      </c>
      <c r="BC8" s="113">
        <v>0</v>
      </c>
      <c r="BD8" s="113">
        <v>0</v>
      </c>
      <c r="BF8" s="113">
        <f t="shared" si="0"/>
        <v>27107</v>
      </c>
      <c r="BG8" s="113">
        <f t="shared" si="1"/>
        <v>301</v>
      </c>
      <c r="BH8" s="113">
        <f t="shared" si="2"/>
        <v>149</v>
      </c>
      <c r="BI8" s="113">
        <f t="shared" si="3"/>
        <v>0</v>
      </c>
    </row>
    <row r="9" spans="1:61">
      <c r="A9" s="102" t="s">
        <v>19</v>
      </c>
      <c r="B9" s="24" t="s">
        <v>436</v>
      </c>
      <c r="C9" s="103" t="s">
        <v>20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F9" s="113">
        <f t="shared" si="0"/>
        <v>0</v>
      </c>
      <c r="BG9" s="113">
        <f t="shared" si="1"/>
        <v>0</v>
      </c>
      <c r="BH9" s="113">
        <f t="shared" si="2"/>
        <v>0</v>
      </c>
      <c r="BI9" s="113">
        <f t="shared" si="3"/>
        <v>0</v>
      </c>
    </row>
    <row r="10" spans="1:61">
      <c r="A10" s="102" t="s">
        <v>22</v>
      </c>
      <c r="B10" s="24" t="s">
        <v>437</v>
      </c>
      <c r="C10" s="103" t="s">
        <v>23</v>
      </c>
      <c r="D10" s="113">
        <v>0</v>
      </c>
      <c r="E10" s="113">
        <v>58987</v>
      </c>
      <c r="F10" s="113">
        <v>889</v>
      </c>
      <c r="G10" s="113">
        <v>0</v>
      </c>
      <c r="H10" s="113">
        <v>0</v>
      </c>
      <c r="I10" s="113">
        <v>0</v>
      </c>
      <c r="J10" s="113">
        <v>0</v>
      </c>
      <c r="K10" s="113">
        <v>17365</v>
      </c>
      <c r="L10" s="113">
        <v>261</v>
      </c>
      <c r="M10" s="113">
        <v>0</v>
      </c>
      <c r="N10" s="113">
        <v>0</v>
      </c>
      <c r="O10" s="113">
        <v>0</v>
      </c>
      <c r="P10" s="113">
        <v>0</v>
      </c>
      <c r="Q10" s="113">
        <v>0</v>
      </c>
      <c r="R10" s="113">
        <v>0</v>
      </c>
      <c r="S10" s="113">
        <v>0</v>
      </c>
      <c r="T10" s="113">
        <v>0</v>
      </c>
      <c r="U10" s="113">
        <v>0</v>
      </c>
      <c r="V10" s="113">
        <v>0</v>
      </c>
      <c r="W10" s="113">
        <v>0</v>
      </c>
      <c r="X10" s="113">
        <v>0</v>
      </c>
      <c r="Y10" s="113">
        <v>0</v>
      </c>
      <c r="Z10" s="113">
        <v>0</v>
      </c>
      <c r="AA10" s="113">
        <v>0</v>
      </c>
      <c r="AB10" s="113">
        <v>0</v>
      </c>
      <c r="AC10" s="113">
        <v>0</v>
      </c>
      <c r="AD10" s="113">
        <v>0</v>
      </c>
      <c r="AE10" s="113">
        <v>0</v>
      </c>
      <c r="AF10" s="113">
        <v>0</v>
      </c>
      <c r="AG10" s="113">
        <v>0</v>
      </c>
      <c r="AH10" s="113">
        <v>0</v>
      </c>
      <c r="AI10" s="113">
        <v>0</v>
      </c>
      <c r="AJ10" s="113">
        <v>0</v>
      </c>
      <c r="AK10" s="113">
        <v>0</v>
      </c>
      <c r="AL10" s="113">
        <v>0</v>
      </c>
      <c r="AM10" s="113">
        <v>0</v>
      </c>
      <c r="AN10" s="113">
        <v>0</v>
      </c>
      <c r="AO10" s="113">
        <v>0</v>
      </c>
      <c r="AP10" s="113">
        <v>0</v>
      </c>
      <c r="AQ10" s="113">
        <v>0</v>
      </c>
      <c r="AR10" s="113">
        <v>0</v>
      </c>
      <c r="AS10" s="113">
        <v>0</v>
      </c>
      <c r="AT10" s="113">
        <v>0</v>
      </c>
      <c r="AU10" s="113">
        <v>0</v>
      </c>
      <c r="AV10" s="113">
        <v>0</v>
      </c>
      <c r="AW10" s="113">
        <v>0</v>
      </c>
      <c r="AX10" s="113">
        <v>0</v>
      </c>
      <c r="AY10" s="113">
        <v>5846</v>
      </c>
      <c r="AZ10" s="113">
        <v>86</v>
      </c>
      <c r="BA10" s="113">
        <v>0</v>
      </c>
      <c r="BB10" s="113">
        <v>0</v>
      </c>
      <c r="BC10" s="113">
        <v>0</v>
      </c>
      <c r="BD10" s="113">
        <v>0</v>
      </c>
      <c r="BF10" s="113">
        <f t="shared" si="0"/>
        <v>76352</v>
      </c>
      <c r="BG10" s="113">
        <f t="shared" si="1"/>
        <v>1150</v>
      </c>
      <c r="BH10" s="113">
        <f t="shared" si="2"/>
        <v>0</v>
      </c>
      <c r="BI10" s="113">
        <f t="shared" si="3"/>
        <v>0</v>
      </c>
    </row>
    <row r="11" spans="1:61">
      <c r="A11" s="102" t="s">
        <v>24</v>
      </c>
      <c r="B11" s="24" t="s">
        <v>438</v>
      </c>
      <c r="C11" s="103" t="s">
        <v>25</v>
      </c>
      <c r="D11" s="113">
        <v>0</v>
      </c>
      <c r="E11" s="113">
        <v>21331</v>
      </c>
      <c r="F11" s="113">
        <v>469</v>
      </c>
      <c r="G11" s="113">
        <v>0</v>
      </c>
      <c r="H11" s="113">
        <v>0</v>
      </c>
      <c r="I11" s="113">
        <v>0</v>
      </c>
      <c r="J11" s="113">
        <v>0</v>
      </c>
      <c r="K11" s="113">
        <v>5962</v>
      </c>
      <c r="L11" s="113">
        <v>130</v>
      </c>
      <c r="M11" s="113">
        <v>0</v>
      </c>
      <c r="N11" s="113">
        <v>0</v>
      </c>
      <c r="O11" s="113">
        <v>0</v>
      </c>
      <c r="P11" s="113">
        <v>0</v>
      </c>
      <c r="Q11" s="113">
        <v>0</v>
      </c>
      <c r="R11" s="113">
        <v>0</v>
      </c>
      <c r="S11" s="113">
        <v>0</v>
      </c>
      <c r="T11" s="113">
        <v>0</v>
      </c>
      <c r="U11" s="113">
        <v>0</v>
      </c>
      <c r="V11" s="113">
        <v>0</v>
      </c>
      <c r="W11" s="113">
        <v>0</v>
      </c>
      <c r="X11" s="113">
        <v>0</v>
      </c>
      <c r="Y11" s="113">
        <v>0</v>
      </c>
      <c r="Z11" s="113">
        <v>0</v>
      </c>
      <c r="AA11" s="113">
        <v>0</v>
      </c>
      <c r="AB11" s="113">
        <v>0</v>
      </c>
      <c r="AC11" s="113">
        <v>0</v>
      </c>
      <c r="AD11" s="113">
        <v>0</v>
      </c>
      <c r="AE11" s="113">
        <v>0</v>
      </c>
      <c r="AF11" s="113">
        <v>0</v>
      </c>
      <c r="AG11" s="113">
        <v>3461</v>
      </c>
      <c r="AH11" s="113">
        <v>93</v>
      </c>
      <c r="AI11" s="113">
        <v>0</v>
      </c>
      <c r="AJ11" s="113">
        <v>0</v>
      </c>
      <c r="AK11" s="113">
        <v>0</v>
      </c>
      <c r="AL11" s="113">
        <v>0</v>
      </c>
      <c r="AM11" s="113">
        <v>0</v>
      </c>
      <c r="AN11" s="113">
        <v>0</v>
      </c>
      <c r="AO11" s="113">
        <v>0</v>
      </c>
      <c r="AP11" s="113">
        <v>0</v>
      </c>
      <c r="AQ11" s="113">
        <v>0</v>
      </c>
      <c r="AR11" s="113">
        <v>0</v>
      </c>
      <c r="AS11" s="113">
        <v>0</v>
      </c>
      <c r="AT11" s="113">
        <v>0</v>
      </c>
      <c r="AU11" s="113">
        <v>0</v>
      </c>
      <c r="AV11" s="113">
        <v>0</v>
      </c>
      <c r="AW11" s="113">
        <v>0</v>
      </c>
      <c r="AX11" s="113">
        <v>0</v>
      </c>
      <c r="AY11" s="113">
        <v>1649</v>
      </c>
      <c r="AZ11" s="113">
        <v>42</v>
      </c>
      <c r="BA11" s="113">
        <v>0</v>
      </c>
      <c r="BB11" s="113">
        <v>0</v>
      </c>
      <c r="BC11" s="113">
        <v>0</v>
      </c>
      <c r="BD11" s="113">
        <v>0</v>
      </c>
      <c r="BF11" s="113">
        <f t="shared" si="0"/>
        <v>30754</v>
      </c>
      <c r="BG11" s="113">
        <f t="shared" si="1"/>
        <v>692</v>
      </c>
      <c r="BH11" s="113">
        <f t="shared" si="2"/>
        <v>0</v>
      </c>
      <c r="BI11" s="113">
        <f t="shared" si="3"/>
        <v>0</v>
      </c>
    </row>
    <row r="12" spans="1:61">
      <c r="A12" s="102" t="s">
        <v>26</v>
      </c>
      <c r="B12" s="24" t="s">
        <v>439</v>
      </c>
      <c r="C12" s="103" t="s">
        <v>20</v>
      </c>
      <c r="D12" s="113">
        <v>0</v>
      </c>
      <c r="E12" s="113">
        <v>53857</v>
      </c>
      <c r="F12" s="113">
        <v>1240</v>
      </c>
      <c r="G12" s="113">
        <v>0</v>
      </c>
      <c r="H12" s="113">
        <v>0</v>
      </c>
      <c r="I12" s="113">
        <v>0</v>
      </c>
      <c r="J12" s="113">
        <v>0</v>
      </c>
      <c r="K12" s="113">
        <v>16</v>
      </c>
      <c r="L12" s="113">
        <v>0</v>
      </c>
      <c r="M12" s="113">
        <v>0</v>
      </c>
      <c r="N12" s="113">
        <v>0</v>
      </c>
      <c r="O12" s="113">
        <v>0</v>
      </c>
      <c r="P12" s="113">
        <v>0</v>
      </c>
      <c r="Q12" s="113">
        <v>0</v>
      </c>
      <c r="R12" s="113">
        <v>0</v>
      </c>
      <c r="S12" s="113">
        <v>0</v>
      </c>
      <c r="T12" s="113">
        <v>0</v>
      </c>
      <c r="U12" s="113">
        <v>0</v>
      </c>
      <c r="V12" s="113">
        <v>0</v>
      </c>
      <c r="W12" s="113">
        <v>0</v>
      </c>
      <c r="X12" s="113">
        <v>0</v>
      </c>
      <c r="Y12" s="113">
        <v>0</v>
      </c>
      <c r="Z12" s="113">
        <v>0</v>
      </c>
      <c r="AA12" s="113">
        <v>0</v>
      </c>
      <c r="AB12" s="113">
        <v>0</v>
      </c>
      <c r="AC12" s="113">
        <v>0</v>
      </c>
      <c r="AD12" s="113">
        <v>0</v>
      </c>
      <c r="AE12" s="113">
        <v>0</v>
      </c>
      <c r="AF12" s="113">
        <v>0</v>
      </c>
      <c r="AG12" s="113">
        <v>6360</v>
      </c>
      <c r="AH12" s="113">
        <v>120</v>
      </c>
      <c r="AI12" s="113">
        <v>0</v>
      </c>
      <c r="AJ12" s="113">
        <v>0</v>
      </c>
      <c r="AK12" s="113">
        <v>0</v>
      </c>
      <c r="AL12" s="113">
        <v>0</v>
      </c>
      <c r="AM12" s="113">
        <v>0</v>
      </c>
      <c r="AN12" s="113">
        <v>0</v>
      </c>
      <c r="AO12" s="113">
        <v>0</v>
      </c>
      <c r="AP12" s="113">
        <v>0</v>
      </c>
      <c r="AQ12" s="113">
        <v>0</v>
      </c>
      <c r="AR12" s="113">
        <v>0</v>
      </c>
      <c r="AS12" s="113">
        <v>0</v>
      </c>
      <c r="AT12" s="113">
        <v>0</v>
      </c>
      <c r="AU12" s="113">
        <v>0</v>
      </c>
      <c r="AV12" s="113">
        <v>0</v>
      </c>
      <c r="AW12" s="113">
        <v>0</v>
      </c>
      <c r="AX12" s="113">
        <v>0</v>
      </c>
      <c r="AY12" s="113">
        <v>0</v>
      </c>
      <c r="AZ12" s="113">
        <v>0</v>
      </c>
      <c r="BA12" s="113">
        <v>0</v>
      </c>
      <c r="BB12" s="113">
        <v>0</v>
      </c>
      <c r="BC12" s="113">
        <v>0</v>
      </c>
      <c r="BD12" s="113">
        <v>0</v>
      </c>
      <c r="BF12" s="113">
        <f t="shared" si="0"/>
        <v>60233</v>
      </c>
      <c r="BG12" s="113">
        <f t="shared" si="1"/>
        <v>1360</v>
      </c>
      <c r="BH12" s="113">
        <f t="shared" si="2"/>
        <v>0</v>
      </c>
      <c r="BI12" s="113">
        <f t="shared" si="3"/>
        <v>0</v>
      </c>
    </row>
    <row r="13" spans="1:61">
      <c r="A13" s="102" t="s">
        <v>27</v>
      </c>
      <c r="B13" s="24" t="s">
        <v>440</v>
      </c>
      <c r="C13" s="103" t="s">
        <v>28</v>
      </c>
      <c r="D13" s="113">
        <v>0</v>
      </c>
      <c r="E13" s="113">
        <v>59412</v>
      </c>
      <c r="F13" s="113">
        <v>772</v>
      </c>
      <c r="G13" s="113">
        <v>0</v>
      </c>
      <c r="H13" s="113">
        <v>0</v>
      </c>
      <c r="I13" s="113">
        <v>0</v>
      </c>
      <c r="J13" s="113">
        <v>0</v>
      </c>
      <c r="K13" s="113">
        <v>0</v>
      </c>
      <c r="L13" s="113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113">
        <v>0</v>
      </c>
      <c r="X13" s="113">
        <v>0</v>
      </c>
      <c r="Y13" s="113">
        <v>0</v>
      </c>
      <c r="Z13" s="113">
        <v>0</v>
      </c>
      <c r="AA13" s="113">
        <v>0</v>
      </c>
      <c r="AB13" s="113">
        <v>0</v>
      </c>
      <c r="AC13" s="113">
        <v>0</v>
      </c>
      <c r="AD13" s="113">
        <v>21005</v>
      </c>
      <c r="AE13" s="113">
        <v>273</v>
      </c>
      <c r="AF13" s="113">
        <v>0</v>
      </c>
      <c r="AG13" s="113">
        <v>0</v>
      </c>
      <c r="AH13" s="113">
        <v>0</v>
      </c>
      <c r="AI13" s="113">
        <v>0</v>
      </c>
      <c r="AJ13" s="113">
        <v>0</v>
      </c>
      <c r="AK13" s="113">
        <v>0</v>
      </c>
      <c r="AL13" s="113">
        <v>0</v>
      </c>
      <c r="AM13" s="113">
        <v>0</v>
      </c>
      <c r="AN13" s="113">
        <v>0</v>
      </c>
      <c r="AO13" s="113">
        <v>0</v>
      </c>
      <c r="AP13" s="113">
        <v>0</v>
      </c>
      <c r="AQ13" s="113">
        <v>0</v>
      </c>
      <c r="AR13" s="113">
        <v>0</v>
      </c>
      <c r="AS13" s="113">
        <v>0</v>
      </c>
      <c r="AT13" s="113">
        <v>0</v>
      </c>
      <c r="AU13" s="113">
        <v>0</v>
      </c>
      <c r="AV13" s="113">
        <v>0</v>
      </c>
      <c r="AW13" s="113">
        <v>0</v>
      </c>
      <c r="AX13" s="113">
        <v>0</v>
      </c>
      <c r="AY13" s="113">
        <v>0</v>
      </c>
      <c r="AZ13" s="113">
        <v>0</v>
      </c>
      <c r="BA13" s="113">
        <v>0</v>
      </c>
      <c r="BB13" s="113">
        <v>0</v>
      </c>
      <c r="BC13" s="113">
        <v>0</v>
      </c>
      <c r="BD13" s="113">
        <v>0</v>
      </c>
      <c r="BF13" s="113">
        <f t="shared" si="0"/>
        <v>80417</v>
      </c>
      <c r="BG13" s="113">
        <f t="shared" si="1"/>
        <v>1045</v>
      </c>
      <c r="BH13" s="113">
        <f t="shared" si="2"/>
        <v>0</v>
      </c>
      <c r="BI13" s="113">
        <f t="shared" si="3"/>
        <v>0</v>
      </c>
    </row>
    <row r="14" spans="1:61">
      <c r="A14" s="102" t="s">
        <v>29</v>
      </c>
      <c r="B14" s="24" t="s">
        <v>441</v>
      </c>
      <c r="C14" s="103" t="s">
        <v>30</v>
      </c>
      <c r="D14" s="113">
        <v>407</v>
      </c>
      <c r="E14" s="113">
        <v>97803</v>
      </c>
      <c r="F14" s="113">
        <v>1275</v>
      </c>
      <c r="G14" s="113">
        <v>0</v>
      </c>
      <c r="H14" s="113">
        <v>0</v>
      </c>
      <c r="I14" s="113">
        <v>0</v>
      </c>
      <c r="J14" s="113">
        <v>0</v>
      </c>
      <c r="K14" s="113">
        <v>2220</v>
      </c>
      <c r="L14" s="113">
        <v>40</v>
      </c>
      <c r="M14" s="113">
        <v>0</v>
      </c>
      <c r="N14" s="113">
        <v>41</v>
      </c>
      <c r="O14" s="113">
        <v>0</v>
      </c>
      <c r="P14" s="113">
        <v>0</v>
      </c>
      <c r="Q14" s="113">
        <v>0</v>
      </c>
      <c r="R14" s="113">
        <v>0</v>
      </c>
      <c r="S14" s="113">
        <v>0</v>
      </c>
      <c r="T14" s="113">
        <v>0</v>
      </c>
      <c r="U14" s="113">
        <v>0</v>
      </c>
      <c r="V14" s="113">
        <v>0</v>
      </c>
      <c r="W14" s="113">
        <v>0</v>
      </c>
      <c r="X14" s="113">
        <v>0</v>
      </c>
      <c r="Y14" s="113">
        <v>0</v>
      </c>
      <c r="Z14" s="113">
        <v>0</v>
      </c>
      <c r="AA14" s="113">
        <v>0</v>
      </c>
      <c r="AB14" s="113">
        <v>0</v>
      </c>
      <c r="AC14" s="113">
        <v>0</v>
      </c>
      <c r="AD14" s="113">
        <v>5111</v>
      </c>
      <c r="AE14" s="113">
        <v>69</v>
      </c>
      <c r="AF14" s="113">
        <v>30</v>
      </c>
      <c r="AG14" s="113">
        <v>0</v>
      </c>
      <c r="AH14" s="113">
        <v>0</v>
      </c>
      <c r="AI14" s="113">
        <v>0</v>
      </c>
      <c r="AJ14" s="113">
        <v>0</v>
      </c>
      <c r="AK14" s="113">
        <v>0</v>
      </c>
      <c r="AL14" s="113">
        <v>0</v>
      </c>
      <c r="AM14" s="113">
        <v>0</v>
      </c>
      <c r="AN14" s="113">
        <v>0</v>
      </c>
      <c r="AO14" s="113">
        <v>0</v>
      </c>
      <c r="AP14" s="113">
        <v>0</v>
      </c>
      <c r="AQ14" s="113">
        <v>0</v>
      </c>
      <c r="AR14" s="113">
        <v>0</v>
      </c>
      <c r="AS14" s="113">
        <v>0</v>
      </c>
      <c r="AT14" s="113">
        <v>0</v>
      </c>
      <c r="AU14" s="113">
        <v>0</v>
      </c>
      <c r="AV14" s="113">
        <v>0</v>
      </c>
      <c r="AW14" s="113">
        <v>0</v>
      </c>
      <c r="AX14" s="113">
        <v>0</v>
      </c>
      <c r="AY14" s="113">
        <v>0</v>
      </c>
      <c r="AZ14" s="113">
        <v>0</v>
      </c>
      <c r="BA14" s="113">
        <v>0</v>
      </c>
      <c r="BB14" s="113">
        <v>0</v>
      </c>
      <c r="BC14" s="113">
        <v>0</v>
      </c>
      <c r="BD14" s="113">
        <v>0</v>
      </c>
      <c r="BF14" s="113">
        <f t="shared" si="0"/>
        <v>105134</v>
      </c>
      <c r="BG14" s="113">
        <f t="shared" si="1"/>
        <v>1384</v>
      </c>
      <c r="BH14" s="113">
        <f t="shared" si="2"/>
        <v>0</v>
      </c>
      <c r="BI14" s="113">
        <f t="shared" si="3"/>
        <v>478</v>
      </c>
    </row>
    <row r="15" spans="1:61">
      <c r="A15" s="102" t="s">
        <v>31</v>
      </c>
      <c r="B15" s="24" t="s">
        <v>442</v>
      </c>
      <c r="C15" s="103" t="s">
        <v>32</v>
      </c>
      <c r="D15" s="113">
        <v>0</v>
      </c>
      <c r="E15" s="113">
        <v>38904</v>
      </c>
      <c r="F15" s="113">
        <v>291</v>
      </c>
      <c r="G15" s="113">
        <v>0</v>
      </c>
      <c r="H15" s="113">
        <v>0</v>
      </c>
      <c r="I15" s="113">
        <v>0</v>
      </c>
      <c r="J15" s="113">
        <v>0</v>
      </c>
      <c r="K15" s="113">
        <v>4058</v>
      </c>
      <c r="L15" s="113">
        <v>10</v>
      </c>
      <c r="M15" s="113">
        <v>0</v>
      </c>
      <c r="N15" s="113">
        <v>0</v>
      </c>
      <c r="O15" s="113">
        <v>0</v>
      </c>
      <c r="P15" s="113">
        <v>0</v>
      </c>
      <c r="Q15" s="113">
        <v>0</v>
      </c>
      <c r="R15" s="113">
        <v>0</v>
      </c>
      <c r="S15" s="113">
        <v>0</v>
      </c>
      <c r="T15" s="113">
        <v>0</v>
      </c>
      <c r="U15" s="113">
        <v>0</v>
      </c>
      <c r="V15" s="113">
        <v>0</v>
      </c>
      <c r="W15" s="113">
        <v>0</v>
      </c>
      <c r="X15" s="113">
        <v>0</v>
      </c>
      <c r="Y15" s="113">
        <v>0</v>
      </c>
      <c r="Z15" s="113">
        <v>0</v>
      </c>
      <c r="AA15" s="113">
        <v>0</v>
      </c>
      <c r="AB15" s="113">
        <v>0</v>
      </c>
      <c r="AC15" s="113">
        <v>0</v>
      </c>
      <c r="AD15" s="113">
        <v>0</v>
      </c>
      <c r="AE15" s="113">
        <v>0</v>
      </c>
      <c r="AF15" s="113">
        <v>0</v>
      </c>
      <c r="AG15" s="113">
        <v>0</v>
      </c>
      <c r="AH15" s="113">
        <v>0</v>
      </c>
      <c r="AI15" s="113">
        <v>0</v>
      </c>
      <c r="AJ15" s="113">
        <v>0</v>
      </c>
      <c r="AK15" s="113">
        <v>0</v>
      </c>
      <c r="AL15" s="113">
        <v>0</v>
      </c>
      <c r="AM15" s="113">
        <v>0</v>
      </c>
      <c r="AN15" s="113">
        <v>0</v>
      </c>
      <c r="AO15" s="113">
        <v>0</v>
      </c>
      <c r="AP15" s="113">
        <v>0</v>
      </c>
      <c r="AQ15" s="113">
        <v>0</v>
      </c>
      <c r="AR15" s="113">
        <v>0</v>
      </c>
      <c r="AS15" s="113">
        <v>0</v>
      </c>
      <c r="AT15" s="113">
        <v>0</v>
      </c>
      <c r="AU15" s="113">
        <v>0</v>
      </c>
      <c r="AV15" s="113">
        <v>0</v>
      </c>
      <c r="AW15" s="113">
        <v>0</v>
      </c>
      <c r="AX15" s="113">
        <v>0</v>
      </c>
      <c r="AY15" s="113">
        <v>2062</v>
      </c>
      <c r="AZ15" s="113">
        <v>19</v>
      </c>
      <c r="BA15" s="113">
        <v>0</v>
      </c>
      <c r="BB15" s="113">
        <v>0</v>
      </c>
      <c r="BC15" s="113">
        <v>0</v>
      </c>
      <c r="BD15" s="113">
        <v>0</v>
      </c>
      <c r="BF15" s="113">
        <f t="shared" si="0"/>
        <v>42962</v>
      </c>
      <c r="BG15" s="113">
        <f t="shared" si="1"/>
        <v>301</v>
      </c>
      <c r="BH15" s="113">
        <f t="shared" si="2"/>
        <v>0</v>
      </c>
      <c r="BI15" s="113">
        <f t="shared" si="3"/>
        <v>0</v>
      </c>
    </row>
    <row r="16" spans="1:61">
      <c r="A16" s="102" t="s">
        <v>33</v>
      </c>
      <c r="B16" s="24" t="s">
        <v>443</v>
      </c>
      <c r="C16" s="103" t="s">
        <v>34</v>
      </c>
      <c r="D16" s="113">
        <v>0</v>
      </c>
      <c r="E16" s="113">
        <v>26344</v>
      </c>
      <c r="F16" s="113">
        <v>635</v>
      </c>
      <c r="G16" s="113">
        <v>0</v>
      </c>
      <c r="H16" s="113">
        <v>0</v>
      </c>
      <c r="I16" s="113">
        <v>0</v>
      </c>
      <c r="J16" s="113">
        <v>0</v>
      </c>
      <c r="K16" s="113">
        <v>0</v>
      </c>
      <c r="L16" s="113">
        <v>0</v>
      </c>
      <c r="M16" s="113">
        <v>0</v>
      </c>
      <c r="N16" s="113">
        <v>0</v>
      </c>
      <c r="O16" s="113">
        <v>0</v>
      </c>
      <c r="P16" s="113">
        <v>0</v>
      </c>
      <c r="Q16" s="113">
        <v>0</v>
      </c>
      <c r="R16" s="113">
        <v>0</v>
      </c>
      <c r="S16" s="113">
        <v>0</v>
      </c>
      <c r="T16" s="113">
        <v>0</v>
      </c>
      <c r="U16" s="113">
        <v>0</v>
      </c>
      <c r="V16" s="113">
        <v>0</v>
      </c>
      <c r="W16" s="113">
        <v>0</v>
      </c>
      <c r="X16" s="113">
        <v>0</v>
      </c>
      <c r="Y16" s="113">
        <v>0</v>
      </c>
      <c r="Z16" s="113">
        <v>0</v>
      </c>
      <c r="AA16" s="113">
        <v>0</v>
      </c>
      <c r="AB16" s="113">
        <v>0</v>
      </c>
      <c r="AC16" s="113">
        <v>0</v>
      </c>
      <c r="AD16" s="113">
        <v>0</v>
      </c>
      <c r="AE16" s="113">
        <v>0</v>
      </c>
      <c r="AF16" s="113">
        <v>0</v>
      </c>
      <c r="AG16" s="113">
        <v>0</v>
      </c>
      <c r="AH16" s="113">
        <v>0</v>
      </c>
      <c r="AI16" s="113">
        <v>0</v>
      </c>
      <c r="AJ16" s="113">
        <v>0</v>
      </c>
      <c r="AK16" s="113">
        <v>0</v>
      </c>
      <c r="AL16" s="113">
        <v>0</v>
      </c>
      <c r="AM16" s="113">
        <v>0</v>
      </c>
      <c r="AN16" s="113">
        <v>0</v>
      </c>
      <c r="AO16" s="113">
        <v>0</v>
      </c>
      <c r="AP16" s="113">
        <v>0</v>
      </c>
      <c r="AQ16" s="113">
        <v>0</v>
      </c>
      <c r="AR16" s="113">
        <v>0</v>
      </c>
      <c r="AS16" s="113">
        <v>0</v>
      </c>
      <c r="AT16" s="113">
        <v>0</v>
      </c>
      <c r="AU16" s="113">
        <v>0</v>
      </c>
      <c r="AV16" s="113">
        <v>0</v>
      </c>
      <c r="AW16" s="113">
        <v>0</v>
      </c>
      <c r="AX16" s="113">
        <v>0</v>
      </c>
      <c r="AY16" s="113">
        <v>0</v>
      </c>
      <c r="AZ16" s="113">
        <v>0</v>
      </c>
      <c r="BA16" s="113">
        <v>0</v>
      </c>
      <c r="BB16" s="113">
        <v>0</v>
      </c>
      <c r="BC16" s="113">
        <v>0</v>
      </c>
      <c r="BD16" s="113">
        <v>0</v>
      </c>
      <c r="BF16" s="113">
        <f t="shared" si="0"/>
        <v>26344</v>
      </c>
      <c r="BG16" s="113">
        <f t="shared" si="1"/>
        <v>635</v>
      </c>
      <c r="BH16" s="113">
        <f t="shared" si="2"/>
        <v>0</v>
      </c>
      <c r="BI16" s="113">
        <f t="shared" si="3"/>
        <v>0</v>
      </c>
    </row>
    <row r="17" spans="1:61">
      <c r="A17" s="102" t="s">
        <v>35</v>
      </c>
      <c r="B17" s="24" t="s">
        <v>444</v>
      </c>
      <c r="C17" s="103" t="s">
        <v>36</v>
      </c>
      <c r="D17" s="113">
        <v>0</v>
      </c>
      <c r="E17" s="113">
        <v>20906</v>
      </c>
      <c r="F17" s="113">
        <v>461</v>
      </c>
      <c r="G17" s="113">
        <v>0</v>
      </c>
      <c r="H17" s="113">
        <v>0</v>
      </c>
      <c r="I17" s="113">
        <v>0</v>
      </c>
      <c r="J17" s="113">
        <v>0</v>
      </c>
      <c r="K17" s="113">
        <v>7981</v>
      </c>
      <c r="L17" s="113">
        <v>177</v>
      </c>
      <c r="M17" s="113">
        <v>0</v>
      </c>
      <c r="N17" s="113">
        <v>0</v>
      </c>
      <c r="O17" s="113">
        <v>0</v>
      </c>
      <c r="P17" s="113">
        <v>0</v>
      </c>
      <c r="Q17" s="113">
        <v>0</v>
      </c>
      <c r="R17" s="113">
        <v>0</v>
      </c>
      <c r="S17" s="113">
        <v>0</v>
      </c>
      <c r="T17" s="113">
        <v>0</v>
      </c>
      <c r="U17" s="113">
        <v>0</v>
      </c>
      <c r="V17" s="113">
        <v>0</v>
      </c>
      <c r="W17" s="113">
        <v>0</v>
      </c>
      <c r="X17" s="113">
        <v>0</v>
      </c>
      <c r="Y17" s="113">
        <v>0</v>
      </c>
      <c r="Z17" s="113">
        <v>0</v>
      </c>
      <c r="AA17" s="113">
        <v>0</v>
      </c>
      <c r="AB17" s="113">
        <v>0</v>
      </c>
      <c r="AC17" s="113">
        <v>0</v>
      </c>
      <c r="AD17" s="113">
        <v>4228</v>
      </c>
      <c r="AE17" s="113">
        <v>144</v>
      </c>
      <c r="AF17" s="113">
        <v>0</v>
      </c>
      <c r="AG17" s="113">
        <v>0</v>
      </c>
      <c r="AH17" s="113">
        <v>0</v>
      </c>
      <c r="AI17" s="113">
        <v>0</v>
      </c>
      <c r="AJ17" s="113">
        <v>0</v>
      </c>
      <c r="AK17" s="113">
        <v>0</v>
      </c>
      <c r="AL17" s="113">
        <v>0</v>
      </c>
      <c r="AM17" s="113">
        <v>0</v>
      </c>
      <c r="AN17" s="113">
        <v>0</v>
      </c>
      <c r="AO17" s="113">
        <v>0</v>
      </c>
      <c r="AP17" s="113">
        <v>0</v>
      </c>
      <c r="AQ17" s="113">
        <v>0</v>
      </c>
      <c r="AR17" s="113">
        <v>0</v>
      </c>
      <c r="AS17" s="113">
        <v>0</v>
      </c>
      <c r="AT17" s="113">
        <v>0</v>
      </c>
      <c r="AU17" s="113">
        <v>0</v>
      </c>
      <c r="AV17" s="113">
        <v>0</v>
      </c>
      <c r="AW17" s="113">
        <v>0</v>
      </c>
      <c r="AX17" s="113">
        <v>0</v>
      </c>
      <c r="AY17" s="113">
        <v>0</v>
      </c>
      <c r="AZ17" s="113">
        <v>0</v>
      </c>
      <c r="BA17" s="113">
        <v>0</v>
      </c>
      <c r="BB17" s="113">
        <v>0</v>
      </c>
      <c r="BC17" s="113">
        <v>0</v>
      </c>
      <c r="BD17" s="113">
        <v>0</v>
      </c>
      <c r="BF17" s="113">
        <f t="shared" si="0"/>
        <v>33115</v>
      </c>
      <c r="BG17" s="113">
        <f t="shared" si="1"/>
        <v>782</v>
      </c>
      <c r="BH17" s="113">
        <f t="shared" si="2"/>
        <v>0</v>
      </c>
      <c r="BI17" s="113">
        <f t="shared" si="3"/>
        <v>0</v>
      </c>
    </row>
    <row r="18" spans="1:61">
      <c r="A18" s="102" t="s">
        <v>37</v>
      </c>
      <c r="B18" s="24" t="s">
        <v>445</v>
      </c>
      <c r="C18" s="103" t="s">
        <v>38</v>
      </c>
      <c r="D18" s="113">
        <v>42777</v>
      </c>
      <c r="E18" s="113">
        <v>295698</v>
      </c>
      <c r="F18" s="113">
        <v>2475</v>
      </c>
      <c r="G18" s="113">
        <v>41901</v>
      </c>
      <c r="H18" s="113">
        <v>0</v>
      </c>
      <c r="I18" s="113">
        <v>0</v>
      </c>
      <c r="J18" s="113">
        <v>0</v>
      </c>
      <c r="K18" s="113">
        <v>124430</v>
      </c>
      <c r="L18" s="113">
        <v>1042</v>
      </c>
      <c r="M18" s="113">
        <v>0</v>
      </c>
      <c r="N18" s="113">
        <v>17106</v>
      </c>
      <c r="O18" s="113">
        <v>0</v>
      </c>
      <c r="P18" s="113">
        <v>0</v>
      </c>
      <c r="Q18" s="113">
        <v>0</v>
      </c>
      <c r="R18" s="113">
        <v>0</v>
      </c>
      <c r="S18" s="113">
        <v>0</v>
      </c>
      <c r="T18" s="113">
        <v>0</v>
      </c>
      <c r="U18" s="113">
        <v>0</v>
      </c>
      <c r="V18" s="113">
        <v>0</v>
      </c>
      <c r="W18" s="113">
        <v>0</v>
      </c>
      <c r="X18" s="113">
        <v>0</v>
      </c>
      <c r="Y18" s="113">
        <v>0</v>
      </c>
      <c r="Z18" s="113">
        <v>0</v>
      </c>
      <c r="AA18" s="113">
        <v>0</v>
      </c>
      <c r="AB18" s="113">
        <v>0</v>
      </c>
      <c r="AC18" s="113">
        <v>0</v>
      </c>
      <c r="AD18" s="113">
        <v>46197</v>
      </c>
      <c r="AE18" s="113">
        <v>386</v>
      </c>
      <c r="AF18" s="113">
        <v>604</v>
      </c>
      <c r="AG18" s="113">
        <v>183119</v>
      </c>
      <c r="AH18" s="113">
        <v>1532</v>
      </c>
      <c r="AI18" s="113">
        <v>63805</v>
      </c>
      <c r="AJ18" s="113">
        <v>0</v>
      </c>
      <c r="AK18" s="113">
        <v>0</v>
      </c>
      <c r="AL18" s="113">
        <v>0</v>
      </c>
      <c r="AM18" s="113">
        <v>0</v>
      </c>
      <c r="AN18" s="113">
        <v>0</v>
      </c>
      <c r="AO18" s="113">
        <v>0</v>
      </c>
      <c r="AP18" s="113">
        <v>0</v>
      </c>
      <c r="AQ18" s="113">
        <v>0</v>
      </c>
      <c r="AR18" s="113">
        <v>0</v>
      </c>
      <c r="AS18" s="113">
        <v>0</v>
      </c>
      <c r="AT18" s="113">
        <v>0</v>
      </c>
      <c r="AU18" s="113">
        <v>0</v>
      </c>
      <c r="AV18" s="113">
        <v>0</v>
      </c>
      <c r="AW18" s="113">
        <v>0</v>
      </c>
      <c r="AX18" s="113">
        <v>0</v>
      </c>
      <c r="AY18" s="113">
        <v>45843</v>
      </c>
      <c r="AZ18" s="113">
        <v>384</v>
      </c>
      <c r="BA18" s="113">
        <v>13665</v>
      </c>
      <c r="BB18" s="113">
        <v>8461</v>
      </c>
      <c r="BC18" s="113">
        <v>71</v>
      </c>
      <c r="BD18" s="113">
        <v>1112</v>
      </c>
      <c r="BF18" s="113">
        <f t="shared" si="0"/>
        <v>649444</v>
      </c>
      <c r="BG18" s="113">
        <f t="shared" si="1"/>
        <v>5435</v>
      </c>
      <c r="BH18" s="113">
        <f t="shared" si="2"/>
        <v>0</v>
      </c>
      <c r="BI18" s="113">
        <f t="shared" si="3"/>
        <v>166193</v>
      </c>
    </row>
    <row r="19" spans="1:61">
      <c r="A19" s="102" t="s">
        <v>39</v>
      </c>
      <c r="B19" s="24" t="s">
        <v>446</v>
      </c>
      <c r="C19" s="103" t="s">
        <v>38</v>
      </c>
      <c r="D19" s="113">
        <v>18327</v>
      </c>
      <c r="E19" s="113">
        <v>1993</v>
      </c>
      <c r="F19" s="113">
        <v>2112</v>
      </c>
      <c r="G19" s="113">
        <v>13652</v>
      </c>
      <c r="H19" s="113">
        <v>0</v>
      </c>
      <c r="I19" s="113">
        <v>0</v>
      </c>
      <c r="J19" s="113">
        <v>0</v>
      </c>
      <c r="K19" s="113">
        <v>613</v>
      </c>
      <c r="L19" s="113">
        <v>688</v>
      </c>
      <c r="M19" s="113">
        <v>12</v>
      </c>
      <c r="N19" s="113">
        <v>7246</v>
      </c>
      <c r="O19" s="113">
        <v>0</v>
      </c>
      <c r="P19" s="113">
        <v>0</v>
      </c>
      <c r="Q19" s="113">
        <v>0</v>
      </c>
      <c r="R19" s="113">
        <v>0</v>
      </c>
      <c r="S19" s="113">
        <v>0</v>
      </c>
      <c r="T19" s="113">
        <v>0</v>
      </c>
      <c r="U19" s="113">
        <v>0</v>
      </c>
      <c r="V19" s="113">
        <v>0</v>
      </c>
      <c r="W19" s="113">
        <v>0</v>
      </c>
      <c r="X19" s="113">
        <v>0</v>
      </c>
      <c r="Y19" s="113">
        <v>0</v>
      </c>
      <c r="Z19" s="113">
        <v>0</v>
      </c>
      <c r="AA19" s="113">
        <v>0</v>
      </c>
      <c r="AB19" s="113">
        <v>0</v>
      </c>
      <c r="AC19" s="113">
        <v>0</v>
      </c>
      <c r="AD19" s="113">
        <v>64773</v>
      </c>
      <c r="AE19" s="113">
        <v>370</v>
      </c>
      <c r="AF19" s="113">
        <v>6161</v>
      </c>
      <c r="AG19" s="113">
        <v>0</v>
      </c>
      <c r="AH19" s="113">
        <v>0</v>
      </c>
      <c r="AI19" s="113">
        <v>0</v>
      </c>
      <c r="AJ19" s="113">
        <v>0</v>
      </c>
      <c r="AK19" s="113">
        <v>0</v>
      </c>
      <c r="AL19" s="113">
        <v>0</v>
      </c>
      <c r="AM19" s="113">
        <v>0</v>
      </c>
      <c r="AN19" s="113">
        <v>0</v>
      </c>
      <c r="AO19" s="113">
        <v>0</v>
      </c>
      <c r="AP19" s="113">
        <v>0</v>
      </c>
      <c r="AQ19" s="113">
        <v>0</v>
      </c>
      <c r="AR19" s="113">
        <v>0</v>
      </c>
      <c r="AS19" s="113">
        <v>0</v>
      </c>
      <c r="AT19" s="113">
        <v>0</v>
      </c>
      <c r="AU19" s="113">
        <v>0</v>
      </c>
      <c r="AV19" s="113">
        <v>0</v>
      </c>
      <c r="AW19" s="113">
        <v>0</v>
      </c>
      <c r="AX19" s="113">
        <v>0</v>
      </c>
      <c r="AY19" s="113">
        <v>0</v>
      </c>
      <c r="AZ19" s="113">
        <v>0</v>
      </c>
      <c r="BA19" s="113">
        <v>0</v>
      </c>
      <c r="BB19" s="113">
        <v>0</v>
      </c>
      <c r="BC19" s="113">
        <v>0</v>
      </c>
      <c r="BD19" s="113">
        <v>0</v>
      </c>
      <c r="BF19" s="113">
        <f t="shared" si="0"/>
        <v>67379</v>
      </c>
      <c r="BG19" s="113">
        <f t="shared" si="1"/>
        <v>3170</v>
      </c>
      <c r="BH19" s="113">
        <f t="shared" si="2"/>
        <v>12</v>
      </c>
      <c r="BI19" s="113">
        <f t="shared" si="3"/>
        <v>45386</v>
      </c>
    </row>
    <row r="20" spans="1:61">
      <c r="A20" s="102" t="s">
        <v>40</v>
      </c>
      <c r="B20" s="24" t="s">
        <v>447</v>
      </c>
      <c r="C20" s="103" t="s">
        <v>38</v>
      </c>
      <c r="D20" s="113">
        <v>153119</v>
      </c>
      <c r="E20" s="113">
        <v>246481</v>
      </c>
      <c r="F20" s="113">
        <v>2134</v>
      </c>
      <c r="G20" s="113">
        <v>135479</v>
      </c>
      <c r="H20" s="113">
        <v>0</v>
      </c>
      <c r="I20" s="113">
        <v>0</v>
      </c>
      <c r="J20" s="113">
        <v>0</v>
      </c>
      <c r="K20" s="113">
        <v>113160</v>
      </c>
      <c r="L20" s="113">
        <v>985</v>
      </c>
      <c r="M20" s="113">
        <v>0</v>
      </c>
      <c r="N20" s="113">
        <v>85126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0</v>
      </c>
      <c r="W20" s="113">
        <v>0</v>
      </c>
      <c r="X20" s="113">
        <v>0</v>
      </c>
      <c r="Y20" s="113">
        <v>0</v>
      </c>
      <c r="Z20" s="113">
        <v>0</v>
      </c>
      <c r="AA20" s="113">
        <v>0</v>
      </c>
      <c r="AB20" s="113">
        <v>0</v>
      </c>
      <c r="AC20" s="113">
        <v>0</v>
      </c>
      <c r="AD20" s="113">
        <v>241789</v>
      </c>
      <c r="AE20" s="113">
        <v>2109</v>
      </c>
      <c r="AF20" s="113">
        <v>120515</v>
      </c>
      <c r="AG20" s="113">
        <v>0</v>
      </c>
      <c r="AH20" s="113">
        <v>0</v>
      </c>
      <c r="AI20" s="113">
        <v>0</v>
      </c>
      <c r="AJ20" s="113">
        <v>0</v>
      </c>
      <c r="AK20" s="113">
        <v>0</v>
      </c>
      <c r="AL20" s="113">
        <v>0</v>
      </c>
      <c r="AM20" s="113">
        <v>0</v>
      </c>
      <c r="AN20" s="113">
        <v>0</v>
      </c>
      <c r="AO20" s="113">
        <v>0</v>
      </c>
      <c r="AP20" s="113">
        <v>0</v>
      </c>
      <c r="AQ20" s="113">
        <v>0</v>
      </c>
      <c r="AR20" s="113">
        <v>0</v>
      </c>
      <c r="AS20" s="113">
        <v>0</v>
      </c>
      <c r="AT20" s="113">
        <v>0</v>
      </c>
      <c r="AU20" s="113">
        <v>0</v>
      </c>
      <c r="AV20" s="113">
        <v>0</v>
      </c>
      <c r="AW20" s="113">
        <v>0</v>
      </c>
      <c r="AX20" s="113">
        <v>0</v>
      </c>
      <c r="AY20" s="113">
        <v>0</v>
      </c>
      <c r="AZ20" s="113">
        <v>0</v>
      </c>
      <c r="BA20" s="113">
        <v>0</v>
      </c>
      <c r="BB20" s="113">
        <v>0</v>
      </c>
      <c r="BC20" s="113">
        <v>0</v>
      </c>
      <c r="BD20" s="113">
        <v>0</v>
      </c>
      <c r="BF20" s="113">
        <f t="shared" si="0"/>
        <v>601430</v>
      </c>
      <c r="BG20" s="113">
        <f t="shared" si="1"/>
        <v>5228</v>
      </c>
      <c r="BH20" s="113">
        <f t="shared" si="2"/>
        <v>0</v>
      </c>
      <c r="BI20" s="113">
        <f t="shared" si="3"/>
        <v>494239</v>
      </c>
    </row>
    <row r="21" spans="1:61">
      <c r="A21" s="102" t="s">
        <v>41</v>
      </c>
      <c r="B21" s="24" t="s">
        <v>448</v>
      </c>
      <c r="C21" s="103" t="s">
        <v>42</v>
      </c>
      <c r="D21" s="113">
        <v>0</v>
      </c>
      <c r="E21" s="113">
        <v>117904</v>
      </c>
      <c r="F21" s="113">
        <v>2546</v>
      </c>
      <c r="G21" s="113">
        <v>0</v>
      </c>
      <c r="H21" s="113">
        <v>0</v>
      </c>
      <c r="I21" s="113">
        <v>0</v>
      </c>
      <c r="J21" s="113">
        <v>0</v>
      </c>
      <c r="K21" s="113">
        <v>29452</v>
      </c>
      <c r="L21" s="113">
        <v>632</v>
      </c>
      <c r="M21" s="113">
        <v>0</v>
      </c>
      <c r="N21" s="113">
        <v>0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13">
        <v>0</v>
      </c>
      <c r="Z21" s="113">
        <v>0</v>
      </c>
      <c r="AA21" s="113">
        <v>0</v>
      </c>
      <c r="AB21" s="113">
        <v>0</v>
      </c>
      <c r="AC21" s="113">
        <v>0</v>
      </c>
      <c r="AD21" s="113">
        <v>71133</v>
      </c>
      <c r="AE21" s="113">
        <v>1526</v>
      </c>
      <c r="AF21" s="113">
        <v>0</v>
      </c>
      <c r="AG21" s="113">
        <v>0</v>
      </c>
      <c r="AH21" s="113">
        <v>0</v>
      </c>
      <c r="AI21" s="113">
        <v>0</v>
      </c>
      <c r="AJ21" s="113">
        <v>0</v>
      </c>
      <c r="AK21" s="113">
        <v>0</v>
      </c>
      <c r="AL21" s="113">
        <v>0</v>
      </c>
      <c r="AM21" s="113">
        <v>0</v>
      </c>
      <c r="AN21" s="113">
        <v>0</v>
      </c>
      <c r="AO21" s="113">
        <v>0</v>
      </c>
      <c r="AP21" s="113">
        <v>0</v>
      </c>
      <c r="AQ21" s="113">
        <v>0</v>
      </c>
      <c r="AR21" s="113">
        <v>0</v>
      </c>
      <c r="AS21" s="113">
        <v>0</v>
      </c>
      <c r="AT21" s="113">
        <v>0</v>
      </c>
      <c r="AU21" s="113">
        <v>0</v>
      </c>
      <c r="AV21" s="113">
        <v>0</v>
      </c>
      <c r="AW21" s="113">
        <v>0</v>
      </c>
      <c r="AX21" s="113">
        <v>0</v>
      </c>
      <c r="AY21" s="113">
        <v>0</v>
      </c>
      <c r="AZ21" s="113">
        <v>0</v>
      </c>
      <c r="BA21" s="113">
        <v>0</v>
      </c>
      <c r="BB21" s="113">
        <v>0</v>
      </c>
      <c r="BC21" s="113">
        <v>0</v>
      </c>
      <c r="BD21" s="113">
        <v>0</v>
      </c>
      <c r="BF21" s="113">
        <f t="shared" si="0"/>
        <v>218489</v>
      </c>
      <c r="BG21" s="113">
        <f t="shared" si="1"/>
        <v>4704</v>
      </c>
      <c r="BH21" s="113">
        <f t="shared" si="2"/>
        <v>0</v>
      </c>
      <c r="BI21" s="113">
        <f t="shared" si="3"/>
        <v>0</v>
      </c>
    </row>
    <row r="22" spans="1:61">
      <c r="A22" s="102" t="s">
        <v>43</v>
      </c>
      <c r="B22" s="24" t="s">
        <v>449</v>
      </c>
      <c r="C22" s="103" t="s">
        <v>42</v>
      </c>
      <c r="D22" s="113">
        <v>0</v>
      </c>
      <c r="E22" s="113">
        <v>91935</v>
      </c>
      <c r="F22" s="113">
        <v>0</v>
      </c>
      <c r="G22" s="113">
        <v>0</v>
      </c>
      <c r="H22" s="113">
        <v>0</v>
      </c>
      <c r="I22" s="113">
        <v>0</v>
      </c>
      <c r="J22" s="113">
        <v>0</v>
      </c>
      <c r="K22" s="113">
        <v>9115</v>
      </c>
      <c r="L22" s="113">
        <v>0</v>
      </c>
      <c r="M22" s="113">
        <v>0</v>
      </c>
      <c r="N22" s="113">
        <v>0</v>
      </c>
      <c r="O22" s="113">
        <v>0</v>
      </c>
      <c r="P22" s="113">
        <v>0</v>
      </c>
      <c r="Q22" s="113">
        <v>0</v>
      </c>
      <c r="R22" s="113">
        <v>0</v>
      </c>
      <c r="S22" s="113">
        <v>0</v>
      </c>
      <c r="T22" s="113">
        <v>0</v>
      </c>
      <c r="U22" s="113">
        <v>0</v>
      </c>
      <c r="V22" s="113">
        <v>0</v>
      </c>
      <c r="W22" s="113">
        <v>0</v>
      </c>
      <c r="X22" s="113">
        <v>0</v>
      </c>
      <c r="Y22" s="113">
        <v>0</v>
      </c>
      <c r="Z22" s="113">
        <v>0</v>
      </c>
      <c r="AA22" s="113">
        <v>0</v>
      </c>
      <c r="AB22" s="113">
        <v>0</v>
      </c>
      <c r="AC22" s="113">
        <v>0</v>
      </c>
      <c r="AD22" s="113">
        <v>35449</v>
      </c>
      <c r="AE22" s="113">
        <v>0</v>
      </c>
      <c r="AF22" s="113">
        <v>0</v>
      </c>
      <c r="AG22" s="113">
        <v>0</v>
      </c>
      <c r="AH22" s="113">
        <v>0</v>
      </c>
      <c r="AI22" s="113">
        <v>0</v>
      </c>
      <c r="AJ22" s="113">
        <v>0</v>
      </c>
      <c r="AK22" s="113">
        <v>0</v>
      </c>
      <c r="AL22" s="113">
        <v>0</v>
      </c>
      <c r="AM22" s="113">
        <v>0</v>
      </c>
      <c r="AN22" s="113">
        <v>0</v>
      </c>
      <c r="AO22" s="113">
        <v>0</v>
      </c>
      <c r="AP22" s="113">
        <v>0</v>
      </c>
      <c r="AQ22" s="113">
        <v>0</v>
      </c>
      <c r="AR22" s="113">
        <v>0</v>
      </c>
      <c r="AS22" s="113">
        <v>0</v>
      </c>
      <c r="AT22" s="113">
        <v>0</v>
      </c>
      <c r="AU22" s="113">
        <v>0</v>
      </c>
      <c r="AV22" s="113">
        <v>0</v>
      </c>
      <c r="AW22" s="113">
        <v>0</v>
      </c>
      <c r="AX22" s="113">
        <v>0</v>
      </c>
      <c r="AY22" s="113">
        <v>0</v>
      </c>
      <c r="AZ22" s="113">
        <v>0</v>
      </c>
      <c r="BA22" s="113">
        <v>0</v>
      </c>
      <c r="BB22" s="113">
        <v>0</v>
      </c>
      <c r="BC22" s="113">
        <v>0</v>
      </c>
      <c r="BD22" s="113">
        <v>0</v>
      </c>
      <c r="BF22" s="113">
        <f t="shared" si="0"/>
        <v>136499</v>
      </c>
      <c r="BG22" s="113">
        <f t="shared" si="1"/>
        <v>0</v>
      </c>
      <c r="BH22" s="113">
        <f t="shared" si="2"/>
        <v>0</v>
      </c>
      <c r="BI22" s="113">
        <f t="shared" si="3"/>
        <v>0</v>
      </c>
    </row>
    <row r="23" spans="1:61">
      <c r="A23" s="102" t="s">
        <v>44</v>
      </c>
      <c r="B23" s="24" t="s">
        <v>450</v>
      </c>
      <c r="C23" s="103" t="s">
        <v>45</v>
      </c>
      <c r="D23" s="113">
        <v>0</v>
      </c>
      <c r="E23" s="113">
        <v>5881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1102</v>
      </c>
      <c r="L23" s="113">
        <v>0</v>
      </c>
      <c r="M23" s="113">
        <v>0</v>
      </c>
      <c r="N23" s="113">
        <v>0</v>
      </c>
      <c r="O23" s="113">
        <v>0</v>
      </c>
      <c r="P23" s="113">
        <v>0</v>
      </c>
      <c r="Q23" s="113">
        <v>0</v>
      </c>
      <c r="R23" s="113">
        <v>0</v>
      </c>
      <c r="S23" s="113">
        <v>0</v>
      </c>
      <c r="T23" s="113">
        <v>0</v>
      </c>
      <c r="U23" s="113">
        <v>0</v>
      </c>
      <c r="V23" s="113">
        <v>0</v>
      </c>
      <c r="W23" s="113">
        <v>0</v>
      </c>
      <c r="X23" s="113">
        <v>0</v>
      </c>
      <c r="Y23" s="113">
        <v>0</v>
      </c>
      <c r="Z23" s="113">
        <v>0</v>
      </c>
      <c r="AA23" s="113">
        <v>0</v>
      </c>
      <c r="AB23" s="113">
        <v>0</v>
      </c>
      <c r="AC23" s="113">
        <v>0</v>
      </c>
      <c r="AD23" s="113">
        <v>0</v>
      </c>
      <c r="AE23" s="113">
        <v>0</v>
      </c>
      <c r="AF23" s="113">
        <v>0</v>
      </c>
      <c r="AG23" s="113">
        <v>0</v>
      </c>
      <c r="AH23" s="113">
        <v>0</v>
      </c>
      <c r="AI23" s="113">
        <v>0</v>
      </c>
      <c r="AJ23" s="113">
        <v>0</v>
      </c>
      <c r="AK23" s="113">
        <v>0</v>
      </c>
      <c r="AL23" s="113">
        <v>0</v>
      </c>
      <c r="AM23" s="113">
        <v>0</v>
      </c>
      <c r="AN23" s="113">
        <v>0</v>
      </c>
      <c r="AO23" s="113">
        <v>0</v>
      </c>
      <c r="AP23" s="113">
        <v>0</v>
      </c>
      <c r="AQ23" s="113">
        <v>0</v>
      </c>
      <c r="AR23" s="113">
        <v>0</v>
      </c>
      <c r="AS23" s="113">
        <v>0</v>
      </c>
      <c r="AT23" s="113">
        <v>0</v>
      </c>
      <c r="AU23" s="113">
        <v>0</v>
      </c>
      <c r="AV23" s="113">
        <v>0</v>
      </c>
      <c r="AW23" s="113">
        <v>0</v>
      </c>
      <c r="AX23" s="113">
        <v>0</v>
      </c>
      <c r="AY23" s="113">
        <v>0</v>
      </c>
      <c r="AZ23" s="113">
        <v>0</v>
      </c>
      <c r="BA23" s="113">
        <v>0</v>
      </c>
      <c r="BB23" s="113">
        <v>0</v>
      </c>
      <c r="BC23" s="113">
        <v>0</v>
      </c>
      <c r="BD23" s="113">
        <v>0</v>
      </c>
      <c r="BF23" s="113">
        <f t="shared" si="0"/>
        <v>6983</v>
      </c>
      <c r="BG23" s="113">
        <f t="shared" si="1"/>
        <v>0</v>
      </c>
      <c r="BH23" s="113">
        <f t="shared" si="2"/>
        <v>0</v>
      </c>
      <c r="BI23" s="113">
        <f t="shared" si="3"/>
        <v>0</v>
      </c>
    </row>
    <row r="24" spans="1:61">
      <c r="A24" s="102" t="s">
        <v>46</v>
      </c>
      <c r="B24" s="24" t="s">
        <v>451</v>
      </c>
      <c r="C24" s="103" t="s">
        <v>47</v>
      </c>
      <c r="D24" s="113">
        <v>0</v>
      </c>
      <c r="E24" s="113">
        <v>49876</v>
      </c>
      <c r="F24" s="113">
        <v>0</v>
      </c>
      <c r="G24" s="113">
        <v>0</v>
      </c>
      <c r="H24" s="113">
        <v>0</v>
      </c>
      <c r="I24" s="113">
        <v>0</v>
      </c>
      <c r="J24" s="113">
        <v>0</v>
      </c>
      <c r="K24" s="113">
        <v>14572</v>
      </c>
      <c r="L24" s="113">
        <v>0</v>
      </c>
      <c r="M24" s="113">
        <v>0</v>
      </c>
      <c r="N24" s="113">
        <v>0</v>
      </c>
      <c r="O24" s="113">
        <v>0</v>
      </c>
      <c r="P24" s="113">
        <v>0</v>
      </c>
      <c r="Q24" s="113">
        <v>0</v>
      </c>
      <c r="R24" s="113">
        <v>0</v>
      </c>
      <c r="S24" s="113">
        <v>0</v>
      </c>
      <c r="T24" s="113">
        <v>0</v>
      </c>
      <c r="U24" s="113">
        <v>0</v>
      </c>
      <c r="V24" s="113">
        <v>0</v>
      </c>
      <c r="W24" s="113">
        <v>0</v>
      </c>
      <c r="X24" s="113">
        <v>0</v>
      </c>
      <c r="Y24" s="113">
        <v>0</v>
      </c>
      <c r="Z24" s="113">
        <v>0</v>
      </c>
      <c r="AA24" s="113">
        <v>0</v>
      </c>
      <c r="AB24" s="113">
        <v>0</v>
      </c>
      <c r="AC24" s="113">
        <v>0</v>
      </c>
      <c r="AD24" s="113">
        <v>25214</v>
      </c>
      <c r="AE24" s="113">
        <v>0</v>
      </c>
      <c r="AF24" s="113">
        <v>0</v>
      </c>
      <c r="AG24" s="113">
        <v>0</v>
      </c>
      <c r="AH24" s="113">
        <v>0</v>
      </c>
      <c r="AI24" s="113">
        <v>0</v>
      </c>
      <c r="AJ24" s="113">
        <v>0</v>
      </c>
      <c r="AK24" s="113">
        <v>0</v>
      </c>
      <c r="AL24" s="113">
        <v>0</v>
      </c>
      <c r="AM24" s="113">
        <v>0</v>
      </c>
      <c r="AN24" s="113">
        <v>0</v>
      </c>
      <c r="AO24" s="113">
        <v>0</v>
      </c>
      <c r="AP24" s="113">
        <v>0</v>
      </c>
      <c r="AQ24" s="113">
        <v>0</v>
      </c>
      <c r="AR24" s="113">
        <v>0</v>
      </c>
      <c r="AS24" s="113">
        <v>0</v>
      </c>
      <c r="AT24" s="113">
        <v>0</v>
      </c>
      <c r="AU24" s="113">
        <v>0</v>
      </c>
      <c r="AV24" s="113">
        <v>0</v>
      </c>
      <c r="AW24" s="113">
        <v>0</v>
      </c>
      <c r="AX24" s="113">
        <v>0</v>
      </c>
      <c r="AY24" s="113">
        <v>15349</v>
      </c>
      <c r="AZ24" s="113">
        <v>0</v>
      </c>
      <c r="BA24" s="113">
        <v>0</v>
      </c>
      <c r="BB24" s="113">
        <v>222</v>
      </c>
      <c r="BC24" s="113">
        <v>0</v>
      </c>
      <c r="BD24" s="113">
        <v>0</v>
      </c>
      <c r="BF24" s="113">
        <f t="shared" si="0"/>
        <v>89662</v>
      </c>
      <c r="BG24" s="113">
        <f t="shared" si="1"/>
        <v>0</v>
      </c>
      <c r="BH24" s="113">
        <f t="shared" si="2"/>
        <v>0</v>
      </c>
      <c r="BI24" s="113">
        <f t="shared" si="3"/>
        <v>0</v>
      </c>
    </row>
    <row r="25" spans="1:61">
      <c r="A25" s="102" t="s">
        <v>48</v>
      </c>
      <c r="B25" s="24" t="s">
        <v>452</v>
      </c>
      <c r="C25" s="103" t="s">
        <v>49</v>
      </c>
      <c r="D25" s="113">
        <v>0</v>
      </c>
      <c r="E25" s="113">
        <v>6562</v>
      </c>
      <c r="F25" s="113">
        <v>284</v>
      </c>
      <c r="G25" s="113">
        <v>0</v>
      </c>
      <c r="H25" s="113">
        <v>0</v>
      </c>
      <c r="I25" s="113">
        <v>0</v>
      </c>
      <c r="J25" s="113">
        <v>0</v>
      </c>
      <c r="K25" s="113">
        <v>4443</v>
      </c>
      <c r="L25" s="113">
        <v>190</v>
      </c>
      <c r="M25" s="113">
        <v>0</v>
      </c>
      <c r="N25" s="113">
        <v>0</v>
      </c>
      <c r="O25" s="113">
        <v>0</v>
      </c>
      <c r="P25" s="113">
        <v>0</v>
      </c>
      <c r="Q25" s="113">
        <v>0</v>
      </c>
      <c r="R25" s="113">
        <v>0</v>
      </c>
      <c r="S25" s="113">
        <v>0</v>
      </c>
      <c r="T25" s="113">
        <v>0</v>
      </c>
      <c r="U25" s="113">
        <v>0</v>
      </c>
      <c r="V25" s="113">
        <v>0</v>
      </c>
      <c r="W25" s="113">
        <v>0</v>
      </c>
      <c r="X25" s="113">
        <v>0</v>
      </c>
      <c r="Y25" s="113">
        <v>0</v>
      </c>
      <c r="Z25" s="113">
        <v>0</v>
      </c>
      <c r="AA25" s="113">
        <v>0</v>
      </c>
      <c r="AB25" s="113">
        <v>0</v>
      </c>
      <c r="AC25" s="113">
        <v>0</v>
      </c>
      <c r="AD25" s="113">
        <v>0</v>
      </c>
      <c r="AE25" s="113">
        <v>0</v>
      </c>
      <c r="AF25" s="113">
        <v>0</v>
      </c>
      <c r="AG25" s="113">
        <v>0</v>
      </c>
      <c r="AH25" s="113">
        <v>0</v>
      </c>
      <c r="AI25" s="113">
        <v>0</v>
      </c>
      <c r="AJ25" s="113">
        <v>0</v>
      </c>
      <c r="AK25" s="113">
        <v>0</v>
      </c>
      <c r="AL25" s="113">
        <v>0</v>
      </c>
      <c r="AM25" s="113">
        <v>0</v>
      </c>
      <c r="AN25" s="113">
        <v>0</v>
      </c>
      <c r="AO25" s="113">
        <v>0</v>
      </c>
      <c r="AP25" s="113">
        <v>0</v>
      </c>
      <c r="AQ25" s="113">
        <v>0</v>
      </c>
      <c r="AR25" s="113">
        <v>0</v>
      </c>
      <c r="AS25" s="113">
        <v>0</v>
      </c>
      <c r="AT25" s="113">
        <v>0</v>
      </c>
      <c r="AU25" s="113">
        <v>0</v>
      </c>
      <c r="AV25" s="113">
        <v>0</v>
      </c>
      <c r="AW25" s="113">
        <v>0</v>
      </c>
      <c r="AX25" s="113">
        <v>0</v>
      </c>
      <c r="AY25" s="113">
        <v>1910</v>
      </c>
      <c r="AZ25" s="113">
        <v>83</v>
      </c>
      <c r="BA25" s="113">
        <v>0</v>
      </c>
      <c r="BB25" s="113">
        <v>122</v>
      </c>
      <c r="BC25" s="113">
        <v>4</v>
      </c>
      <c r="BD25" s="113">
        <v>0</v>
      </c>
      <c r="BF25" s="113">
        <f t="shared" si="0"/>
        <v>11005</v>
      </c>
      <c r="BG25" s="113">
        <f t="shared" si="1"/>
        <v>474</v>
      </c>
      <c r="BH25" s="113">
        <f t="shared" si="2"/>
        <v>0</v>
      </c>
      <c r="BI25" s="113">
        <f t="shared" si="3"/>
        <v>0</v>
      </c>
    </row>
    <row r="26" spans="1:61">
      <c r="A26" s="102" t="s">
        <v>50</v>
      </c>
      <c r="B26" s="24" t="s">
        <v>453</v>
      </c>
      <c r="C26" s="103" t="s">
        <v>49</v>
      </c>
      <c r="D26" s="113">
        <v>0</v>
      </c>
      <c r="E26" s="113">
        <v>30008</v>
      </c>
      <c r="F26" s="113">
        <v>929</v>
      </c>
      <c r="G26" s="113">
        <v>0</v>
      </c>
      <c r="H26" s="113">
        <v>0</v>
      </c>
      <c r="I26" s="113">
        <v>0</v>
      </c>
      <c r="J26" s="113">
        <v>0</v>
      </c>
      <c r="K26" s="113">
        <v>16389</v>
      </c>
      <c r="L26" s="113">
        <v>508</v>
      </c>
      <c r="M26" s="113">
        <v>0</v>
      </c>
      <c r="N26" s="113">
        <v>0</v>
      </c>
      <c r="O26" s="113">
        <v>0</v>
      </c>
      <c r="P26" s="113">
        <v>0</v>
      </c>
      <c r="Q26" s="113">
        <v>0</v>
      </c>
      <c r="R26" s="113">
        <v>0</v>
      </c>
      <c r="S26" s="113">
        <v>0</v>
      </c>
      <c r="T26" s="113">
        <v>0</v>
      </c>
      <c r="U26" s="113">
        <v>0</v>
      </c>
      <c r="V26" s="113">
        <v>0</v>
      </c>
      <c r="W26" s="113">
        <v>0</v>
      </c>
      <c r="X26" s="113">
        <v>0</v>
      </c>
      <c r="Y26" s="113">
        <v>0</v>
      </c>
      <c r="Z26" s="113">
        <v>0</v>
      </c>
      <c r="AA26" s="113">
        <v>0</v>
      </c>
      <c r="AB26" s="113">
        <v>0</v>
      </c>
      <c r="AC26" s="113">
        <v>0</v>
      </c>
      <c r="AD26" s="113">
        <v>0</v>
      </c>
      <c r="AE26" s="113">
        <v>0</v>
      </c>
      <c r="AF26" s="113">
        <v>0</v>
      </c>
      <c r="AG26" s="113">
        <v>0</v>
      </c>
      <c r="AH26" s="113">
        <v>0</v>
      </c>
      <c r="AI26" s="113">
        <v>0</v>
      </c>
      <c r="AJ26" s="113">
        <v>0</v>
      </c>
      <c r="AK26" s="113">
        <v>0</v>
      </c>
      <c r="AL26" s="113">
        <v>0</v>
      </c>
      <c r="AM26" s="113">
        <v>0</v>
      </c>
      <c r="AN26" s="113">
        <v>0</v>
      </c>
      <c r="AO26" s="113">
        <v>0</v>
      </c>
      <c r="AP26" s="113">
        <v>0</v>
      </c>
      <c r="AQ26" s="113">
        <v>0</v>
      </c>
      <c r="AR26" s="113">
        <v>0</v>
      </c>
      <c r="AS26" s="113">
        <v>0</v>
      </c>
      <c r="AT26" s="113">
        <v>0</v>
      </c>
      <c r="AU26" s="113">
        <v>0</v>
      </c>
      <c r="AV26" s="113">
        <v>0</v>
      </c>
      <c r="AW26" s="113">
        <v>0</v>
      </c>
      <c r="AX26" s="113">
        <v>0</v>
      </c>
      <c r="AY26" s="113">
        <v>13912</v>
      </c>
      <c r="AZ26" s="113">
        <v>345</v>
      </c>
      <c r="BA26" s="113">
        <v>0</v>
      </c>
      <c r="BB26" s="113">
        <v>392</v>
      </c>
      <c r="BC26" s="113">
        <v>12</v>
      </c>
      <c r="BD26" s="113">
        <v>0</v>
      </c>
      <c r="BF26" s="113">
        <f t="shared" si="0"/>
        <v>46397</v>
      </c>
      <c r="BG26" s="113">
        <f t="shared" si="1"/>
        <v>1437</v>
      </c>
      <c r="BH26" s="113">
        <f t="shared" si="2"/>
        <v>0</v>
      </c>
      <c r="BI26" s="113">
        <f t="shared" si="3"/>
        <v>0</v>
      </c>
    </row>
    <row r="27" spans="1:61">
      <c r="A27" s="102" t="s">
        <v>51</v>
      </c>
      <c r="B27" s="24" t="s">
        <v>52</v>
      </c>
      <c r="C27" s="103" t="s">
        <v>52</v>
      </c>
      <c r="D27" s="113">
        <v>3114</v>
      </c>
      <c r="E27" s="113">
        <v>56447</v>
      </c>
      <c r="F27" s="113">
        <v>1448</v>
      </c>
      <c r="G27" s="113">
        <v>2630</v>
      </c>
      <c r="H27" s="113">
        <v>0</v>
      </c>
      <c r="I27" s="113">
        <v>0</v>
      </c>
      <c r="J27" s="113">
        <v>0</v>
      </c>
      <c r="K27" s="113">
        <v>9061</v>
      </c>
      <c r="L27" s="113">
        <v>236</v>
      </c>
      <c r="M27" s="113">
        <v>0</v>
      </c>
      <c r="N27" s="113">
        <v>524</v>
      </c>
      <c r="O27" s="113">
        <v>0</v>
      </c>
      <c r="P27" s="113">
        <v>0</v>
      </c>
      <c r="Q27" s="113">
        <v>0</v>
      </c>
      <c r="R27" s="113">
        <v>0</v>
      </c>
      <c r="S27" s="113">
        <v>0</v>
      </c>
      <c r="T27" s="113">
        <v>0</v>
      </c>
      <c r="U27" s="113">
        <v>0</v>
      </c>
      <c r="V27" s="113">
        <v>0</v>
      </c>
      <c r="W27" s="113">
        <v>0</v>
      </c>
      <c r="X27" s="113">
        <v>0</v>
      </c>
      <c r="Y27" s="113">
        <v>0</v>
      </c>
      <c r="Z27" s="113">
        <v>0</v>
      </c>
      <c r="AA27" s="113">
        <v>0</v>
      </c>
      <c r="AB27" s="113">
        <v>0</v>
      </c>
      <c r="AC27" s="113">
        <v>0</v>
      </c>
      <c r="AD27" s="113">
        <v>0</v>
      </c>
      <c r="AE27" s="113">
        <v>0</v>
      </c>
      <c r="AF27" s="113">
        <v>0</v>
      </c>
      <c r="AG27" s="113">
        <v>0</v>
      </c>
      <c r="AH27" s="113">
        <v>0</v>
      </c>
      <c r="AI27" s="113">
        <v>0</v>
      </c>
      <c r="AJ27" s="113">
        <v>0</v>
      </c>
      <c r="AK27" s="113">
        <v>0</v>
      </c>
      <c r="AL27" s="113">
        <v>0</v>
      </c>
      <c r="AM27" s="113">
        <v>0</v>
      </c>
      <c r="AN27" s="113">
        <v>0</v>
      </c>
      <c r="AO27" s="113">
        <v>0</v>
      </c>
      <c r="AP27" s="113">
        <v>0</v>
      </c>
      <c r="AQ27" s="113">
        <v>0</v>
      </c>
      <c r="AR27" s="113">
        <v>0</v>
      </c>
      <c r="AS27" s="113">
        <v>0</v>
      </c>
      <c r="AT27" s="113">
        <v>0</v>
      </c>
      <c r="AU27" s="113">
        <v>0</v>
      </c>
      <c r="AV27" s="113">
        <v>0</v>
      </c>
      <c r="AW27" s="113">
        <v>0</v>
      </c>
      <c r="AX27" s="113">
        <v>0</v>
      </c>
      <c r="AY27" s="113">
        <v>11663</v>
      </c>
      <c r="AZ27" s="113">
        <v>298</v>
      </c>
      <c r="BA27" s="113">
        <v>467</v>
      </c>
      <c r="BB27" s="113">
        <v>0</v>
      </c>
      <c r="BC27" s="113">
        <v>0</v>
      </c>
      <c r="BD27" s="113">
        <v>0</v>
      </c>
      <c r="BF27" s="113">
        <f t="shared" si="0"/>
        <v>65508</v>
      </c>
      <c r="BG27" s="113">
        <f t="shared" si="1"/>
        <v>1684</v>
      </c>
      <c r="BH27" s="113">
        <f t="shared" si="2"/>
        <v>0</v>
      </c>
      <c r="BI27" s="113">
        <f t="shared" si="3"/>
        <v>6268</v>
      </c>
    </row>
    <row r="28" spans="1:61">
      <c r="A28" s="102" t="s">
        <v>53</v>
      </c>
      <c r="B28" s="24" t="s">
        <v>454</v>
      </c>
      <c r="C28" s="103" t="s">
        <v>52</v>
      </c>
      <c r="D28" s="113">
        <v>0</v>
      </c>
      <c r="E28" s="113">
        <v>24098</v>
      </c>
      <c r="F28" s="113">
        <v>532</v>
      </c>
      <c r="G28" s="113">
        <v>0</v>
      </c>
      <c r="H28" s="113">
        <v>0</v>
      </c>
      <c r="I28" s="113">
        <v>0</v>
      </c>
      <c r="J28" s="113">
        <v>0</v>
      </c>
      <c r="K28" s="113">
        <v>6064</v>
      </c>
      <c r="L28" s="113">
        <v>133</v>
      </c>
      <c r="M28" s="113">
        <v>0</v>
      </c>
      <c r="N28" s="113">
        <v>0</v>
      </c>
      <c r="O28" s="113">
        <v>0</v>
      </c>
      <c r="P28" s="113">
        <v>0</v>
      </c>
      <c r="Q28" s="113">
        <v>0</v>
      </c>
      <c r="R28" s="113">
        <v>0</v>
      </c>
      <c r="S28" s="113">
        <v>0</v>
      </c>
      <c r="T28" s="113">
        <v>0</v>
      </c>
      <c r="U28" s="113">
        <v>0</v>
      </c>
      <c r="V28" s="113">
        <v>0</v>
      </c>
      <c r="W28" s="113">
        <v>0</v>
      </c>
      <c r="X28" s="113">
        <v>0</v>
      </c>
      <c r="Y28" s="113">
        <v>0</v>
      </c>
      <c r="Z28" s="113">
        <v>0</v>
      </c>
      <c r="AA28" s="113">
        <v>0</v>
      </c>
      <c r="AB28" s="113">
        <v>0</v>
      </c>
      <c r="AC28" s="113">
        <v>0</v>
      </c>
      <c r="AD28" s="113">
        <v>0</v>
      </c>
      <c r="AE28" s="113">
        <v>0</v>
      </c>
      <c r="AF28" s="113">
        <v>0</v>
      </c>
      <c r="AG28" s="113">
        <v>0</v>
      </c>
      <c r="AH28" s="113">
        <v>0</v>
      </c>
      <c r="AI28" s="113">
        <v>0</v>
      </c>
      <c r="AJ28" s="113">
        <v>0</v>
      </c>
      <c r="AK28" s="113">
        <v>0</v>
      </c>
      <c r="AL28" s="113">
        <v>0</v>
      </c>
      <c r="AM28" s="113">
        <v>0</v>
      </c>
      <c r="AN28" s="113">
        <v>0</v>
      </c>
      <c r="AO28" s="113">
        <v>0</v>
      </c>
      <c r="AP28" s="113">
        <v>0</v>
      </c>
      <c r="AQ28" s="113">
        <v>0</v>
      </c>
      <c r="AR28" s="113">
        <v>0</v>
      </c>
      <c r="AS28" s="113">
        <v>0</v>
      </c>
      <c r="AT28" s="113">
        <v>0</v>
      </c>
      <c r="AU28" s="113">
        <v>0</v>
      </c>
      <c r="AV28" s="113">
        <v>0</v>
      </c>
      <c r="AW28" s="113">
        <v>0</v>
      </c>
      <c r="AX28" s="113">
        <v>0</v>
      </c>
      <c r="AY28" s="113">
        <v>0</v>
      </c>
      <c r="AZ28" s="113">
        <v>0</v>
      </c>
      <c r="BA28" s="113">
        <v>0</v>
      </c>
      <c r="BB28" s="113">
        <v>0</v>
      </c>
      <c r="BC28" s="113">
        <v>0</v>
      </c>
      <c r="BD28" s="113">
        <v>0</v>
      </c>
      <c r="BF28" s="113">
        <f t="shared" si="0"/>
        <v>30162</v>
      </c>
      <c r="BG28" s="113">
        <f t="shared" si="1"/>
        <v>665</v>
      </c>
      <c r="BH28" s="113">
        <f t="shared" si="2"/>
        <v>0</v>
      </c>
      <c r="BI28" s="113">
        <f t="shared" si="3"/>
        <v>0</v>
      </c>
    </row>
    <row r="29" spans="1:61">
      <c r="A29" s="102" t="s">
        <v>54</v>
      </c>
      <c r="B29" s="24" t="s">
        <v>455</v>
      </c>
      <c r="C29" s="103" t="s">
        <v>52</v>
      </c>
      <c r="D29" s="113">
        <v>0</v>
      </c>
      <c r="E29" s="113">
        <v>10657</v>
      </c>
      <c r="F29" s="113">
        <v>0</v>
      </c>
      <c r="G29" s="113">
        <v>0</v>
      </c>
      <c r="H29" s="113">
        <v>0</v>
      </c>
      <c r="I29" s="113">
        <v>0</v>
      </c>
      <c r="J29" s="113">
        <v>0</v>
      </c>
      <c r="K29" s="113">
        <v>0</v>
      </c>
      <c r="L29" s="113">
        <v>0</v>
      </c>
      <c r="M29" s="113">
        <v>0</v>
      </c>
      <c r="N29" s="113">
        <v>0</v>
      </c>
      <c r="O29" s="113">
        <v>0</v>
      </c>
      <c r="P29" s="113">
        <v>0</v>
      </c>
      <c r="Q29" s="113">
        <v>0</v>
      </c>
      <c r="R29" s="113">
        <v>0</v>
      </c>
      <c r="S29" s="113">
        <v>0</v>
      </c>
      <c r="T29" s="113">
        <v>0</v>
      </c>
      <c r="U29" s="113">
        <v>0</v>
      </c>
      <c r="V29" s="113">
        <v>0</v>
      </c>
      <c r="W29" s="113">
        <v>0</v>
      </c>
      <c r="X29" s="113">
        <v>0</v>
      </c>
      <c r="Y29" s="113">
        <v>0</v>
      </c>
      <c r="Z29" s="113">
        <v>0</v>
      </c>
      <c r="AA29" s="113">
        <v>0</v>
      </c>
      <c r="AB29" s="113">
        <v>0</v>
      </c>
      <c r="AC29" s="113">
        <v>0</v>
      </c>
      <c r="AD29" s="113">
        <v>0</v>
      </c>
      <c r="AE29" s="113">
        <v>0</v>
      </c>
      <c r="AF29" s="113">
        <v>0</v>
      </c>
      <c r="AG29" s="113">
        <v>0</v>
      </c>
      <c r="AH29" s="113">
        <v>0</v>
      </c>
      <c r="AI29" s="113">
        <v>0</v>
      </c>
      <c r="AJ29" s="113">
        <v>0</v>
      </c>
      <c r="AK29" s="113">
        <v>0</v>
      </c>
      <c r="AL29" s="113">
        <v>0</v>
      </c>
      <c r="AM29" s="113">
        <v>0</v>
      </c>
      <c r="AN29" s="113">
        <v>0</v>
      </c>
      <c r="AO29" s="113">
        <v>0</v>
      </c>
      <c r="AP29" s="113">
        <v>0</v>
      </c>
      <c r="AQ29" s="113">
        <v>0</v>
      </c>
      <c r="AR29" s="113">
        <v>0</v>
      </c>
      <c r="AS29" s="113">
        <v>0</v>
      </c>
      <c r="AT29" s="113">
        <v>0</v>
      </c>
      <c r="AU29" s="113">
        <v>0</v>
      </c>
      <c r="AV29" s="113">
        <v>0</v>
      </c>
      <c r="AW29" s="113">
        <v>0</v>
      </c>
      <c r="AX29" s="113">
        <v>0</v>
      </c>
      <c r="AY29" s="113">
        <v>0</v>
      </c>
      <c r="AZ29" s="113">
        <v>0</v>
      </c>
      <c r="BA29" s="113">
        <v>0</v>
      </c>
      <c r="BB29" s="113">
        <v>0</v>
      </c>
      <c r="BC29" s="113">
        <v>0</v>
      </c>
      <c r="BD29" s="113">
        <v>0</v>
      </c>
      <c r="BF29" s="113">
        <f t="shared" si="0"/>
        <v>10657</v>
      </c>
      <c r="BG29" s="113">
        <f t="shared" si="1"/>
        <v>0</v>
      </c>
      <c r="BH29" s="113">
        <f t="shared" si="2"/>
        <v>0</v>
      </c>
      <c r="BI29" s="113">
        <f t="shared" si="3"/>
        <v>0</v>
      </c>
    </row>
    <row r="30" spans="1:61">
      <c r="A30" s="102" t="s">
        <v>55</v>
      </c>
      <c r="B30" s="24" t="s">
        <v>456</v>
      </c>
      <c r="C30" s="103" t="s">
        <v>56</v>
      </c>
      <c r="D30" s="113">
        <v>0</v>
      </c>
      <c r="E30" s="113">
        <v>81243</v>
      </c>
      <c r="F30" s="113">
        <v>2194</v>
      </c>
      <c r="G30" s="113">
        <v>0</v>
      </c>
      <c r="H30" s="113">
        <v>0</v>
      </c>
      <c r="I30" s="113">
        <v>0</v>
      </c>
      <c r="J30" s="113">
        <v>0</v>
      </c>
      <c r="K30" s="113">
        <v>27947</v>
      </c>
      <c r="L30" s="113">
        <v>757</v>
      </c>
      <c r="M30" s="113">
        <v>0</v>
      </c>
      <c r="N30" s="113">
        <v>0</v>
      </c>
      <c r="O30" s="113">
        <v>0</v>
      </c>
      <c r="P30" s="113">
        <v>0</v>
      </c>
      <c r="Q30" s="113">
        <v>0</v>
      </c>
      <c r="R30" s="113">
        <v>0</v>
      </c>
      <c r="S30" s="113">
        <v>0</v>
      </c>
      <c r="T30" s="113">
        <v>0</v>
      </c>
      <c r="U30" s="113">
        <v>0</v>
      </c>
      <c r="V30" s="113">
        <v>0</v>
      </c>
      <c r="W30" s="113">
        <v>0</v>
      </c>
      <c r="X30" s="113">
        <v>0</v>
      </c>
      <c r="Y30" s="113">
        <v>0</v>
      </c>
      <c r="Z30" s="113">
        <v>0</v>
      </c>
      <c r="AA30" s="113">
        <v>0</v>
      </c>
      <c r="AB30" s="113">
        <v>0</v>
      </c>
      <c r="AC30" s="113">
        <v>0</v>
      </c>
      <c r="AD30" s="113">
        <v>32441</v>
      </c>
      <c r="AE30" s="113">
        <v>882</v>
      </c>
      <c r="AF30" s="113">
        <v>21</v>
      </c>
      <c r="AG30" s="113">
        <v>0</v>
      </c>
      <c r="AH30" s="113">
        <v>0</v>
      </c>
      <c r="AI30" s="113">
        <v>0</v>
      </c>
      <c r="AJ30" s="113">
        <v>0</v>
      </c>
      <c r="AK30" s="113">
        <v>0</v>
      </c>
      <c r="AL30" s="113">
        <v>0</v>
      </c>
      <c r="AM30" s="113">
        <v>0</v>
      </c>
      <c r="AN30" s="113">
        <v>0</v>
      </c>
      <c r="AO30" s="113">
        <v>0</v>
      </c>
      <c r="AP30" s="113">
        <v>0</v>
      </c>
      <c r="AQ30" s="113">
        <v>0</v>
      </c>
      <c r="AR30" s="113">
        <v>0</v>
      </c>
      <c r="AS30" s="113">
        <v>0</v>
      </c>
      <c r="AT30" s="113">
        <v>0</v>
      </c>
      <c r="AU30" s="113">
        <v>0</v>
      </c>
      <c r="AV30" s="113">
        <v>0</v>
      </c>
      <c r="AW30" s="113">
        <v>0</v>
      </c>
      <c r="AX30" s="113">
        <v>0</v>
      </c>
      <c r="AY30" s="113">
        <v>37378</v>
      </c>
      <c r="AZ30" s="113">
        <v>724</v>
      </c>
      <c r="BA30" s="113">
        <v>0</v>
      </c>
      <c r="BB30" s="113">
        <v>6274</v>
      </c>
      <c r="BC30" s="113">
        <v>167</v>
      </c>
      <c r="BD30" s="113">
        <v>0</v>
      </c>
      <c r="BF30" s="113">
        <f t="shared" si="0"/>
        <v>141631</v>
      </c>
      <c r="BG30" s="113">
        <f t="shared" si="1"/>
        <v>3833</v>
      </c>
      <c r="BH30" s="113">
        <f t="shared" si="2"/>
        <v>0</v>
      </c>
      <c r="BI30" s="113">
        <f t="shared" si="3"/>
        <v>21</v>
      </c>
    </row>
    <row r="31" spans="1:61">
      <c r="A31" s="102" t="s">
        <v>57</v>
      </c>
      <c r="B31" s="24" t="s">
        <v>457</v>
      </c>
      <c r="C31" s="103" t="s">
        <v>58</v>
      </c>
      <c r="D31" s="113">
        <v>0</v>
      </c>
      <c r="E31" s="113">
        <v>20173</v>
      </c>
      <c r="F31" s="113">
        <v>892</v>
      </c>
      <c r="G31" s="113">
        <v>0</v>
      </c>
      <c r="H31" s="113">
        <v>0</v>
      </c>
      <c r="I31" s="113">
        <v>0</v>
      </c>
      <c r="J31" s="113">
        <v>0</v>
      </c>
      <c r="K31" s="113">
        <v>16214</v>
      </c>
      <c r="L31" s="113">
        <v>715</v>
      </c>
      <c r="M31" s="113">
        <v>2465</v>
      </c>
      <c r="N31" s="113">
        <v>0</v>
      </c>
      <c r="O31" s="113">
        <v>0</v>
      </c>
      <c r="P31" s="113">
        <v>0</v>
      </c>
      <c r="Q31" s="113">
        <v>0</v>
      </c>
      <c r="R31" s="113">
        <v>0</v>
      </c>
      <c r="S31" s="113">
        <v>0</v>
      </c>
      <c r="T31" s="113">
        <v>0</v>
      </c>
      <c r="U31" s="113">
        <v>0</v>
      </c>
      <c r="V31" s="113">
        <v>0</v>
      </c>
      <c r="W31" s="113">
        <v>0</v>
      </c>
      <c r="X31" s="113">
        <v>0</v>
      </c>
      <c r="Y31" s="113">
        <v>0</v>
      </c>
      <c r="Z31" s="113">
        <v>0</v>
      </c>
      <c r="AA31" s="113">
        <v>0</v>
      </c>
      <c r="AB31" s="113">
        <v>0</v>
      </c>
      <c r="AC31" s="113">
        <v>0</v>
      </c>
      <c r="AD31" s="113">
        <v>17646</v>
      </c>
      <c r="AE31" s="113">
        <v>783</v>
      </c>
      <c r="AF31" s="113">
        <v>0</v>
      </c>
      <c r="AG31" s="113">
        <v>0</v>
      </c>
      <c r="AH31" s="113">
        <v>0</v>
      </c>
      <c r="AI31" s="113">
        <v>0</v>
      </c>
      <c r="AJ31" s="113">
        <v>0</v>
      </c>
      <c r="AK31" s="113">
        <v>0</v>
      </c>
      <c r="AL31" s="113">
        <v>0</v>
      </c>
      <c r="AM31" s="113">
        <v>0</v>
      </c>
      <c r="AN31" s="113">
        <v>0</v>
      </c>
      <c r="AO31" s="113">
        <v>0</v>
      </c>
      <c r="AP31" s="113">
        <v>0</v>
      </c>
      <c r="AQ31" s="113">
        <v>0</v>
      </c>
      <c r="AR31" s="113">
        <v>0</v>
      </c>
      <c r="AS31" s="113">
        <v>0</v>
      </c>
      <c r="AT31" s="113">
        <v>0</v>
      </c>
      <c r="AU31" s="113">
        <v>0</v>
      </c>
      <c r="AV31" s="113">
        <v>0</v>
      </c>
      <c r="AW31" s="113">
        <v>0</v>
      </c>
      <c r="AX31" s="113">
        <v>0</v>
      </c>
      <c r="AY31" s="113">
        <v>13056</v>
      </c>
      <c r="AZ31" s="113">
        <v>576</v>
      </c>
      <c r="BA31" s="113">
        <v>0</v>
      </c>
      <c r="BB31" s="113">
        <v>826</v>
      </c>
      <c r="BC31" s="113">
        <v>37</v>
      </c>
      <c r="BD31" s="113">
        <v>0</v>
      </c>
      <c r="BF31" s="113">
        <f t="shared" si="0"/>
        <v>54033</v>
      </c>
      <c r="BG31" s="113">
        <f t="shared" si="1"/>
        <v>2390</v>
      </c>
      <c r="BH31" s="113">
        <f t="shared" si="2"/>
        <v>2465</v>
      </c>
      <c r="BI31" s="113">
        <f t="shared" si="3"/>
        <v>0</v>
      </c>
    </row>
    <row r="32" spans="1:61">
      <c r="A32" s="102" t="s">
        <v>59</v>
      </c>
      <c r="B32" s="24" t="s">
        <v>458</v>
      </c>
      <c r="C32" s="103" t="s">
        <v>58</v>
      </c>
      <c r="D32" s="113">
        <v>0</v>
      </c>
      <c r="E32" s="113">
        <v>9530</v>
      </c>
      <c r="F32" s="113">
        <v>324</v>
      </c>
      <c r="G32" s="113">
        <v>0</v>
      </c>
      <c r="H32" s="113">
        <v>0</v>
      </c>
      <c r="I32" s="113">
        <v>0</v>
      </c>
      <c r="J32" s="113">
        <v>0</v>
      </c>
      <c r="K32" s="113">
        <v>5635</v>
      </c>
      <c r="L32" s="113">
        <v>192</v>
      </c>
      <c r="M32" s="113">
        <v>58</v>
      </c>
      <c r="N32" s="113">
        <v>0</v>
      </c>
      <c r="O32" s="113">
        <v>0</v>
      </c>
      <c r="P32" s="113">
        <v>0</v>
      </c>
      <c r="Q32" s="113">
        <v>0</v>
      </c>
      <c r="R32" s="113">
        <v>0</v>
      </c>
      <c r="S32" s="113">
        <v>0</v>
      </c>
      <c r="T32" s="113">
        <v>0</v>
      </c>
      <c r="U32" s="113">
        <v>0</v>
      </c>
      <c r="V32" s="113">
        <v>0</v>
      </c>
      <c r="W32" s="113">
        <v>0</v>
      </c>
      <c r="X32" s="113">
        <v>0</v>
      </c>
      <c r="Y32" s="113">
        <v>0</v>
      </c>
      <c r="Z32" s="113">
        <v>0</v>
      </c>
      <c r="AA32" s="113">
        <v>0</v>
      </c>
      <c r="AB32" s="113">
        <v>0</v>
      </c>
      <c r="AC32" s="113">
        <v>0</v>
      </c>
      <c r="AD32" s="113">
        <v>0</v>
      </c>
      <c r="AE32" s="113">
        <v>0</v>
      </c>
      <c r="AF32" s="113">
        <v>0</v>
      </c>
      <c r="AG32" s="113">
        <v>0</v>
      </c>
      <c r="AH32" s="113">
        <v>0</v>
      </c>
      <c r="AI32" s="113">
        <v>0</v>
      </c>
      <c r="AJ32" s="113">
        <v>0</v>
      </c>
      <c r="AK32" s="113">
        <v>0</v>
      </c>
      <c r="AL32" s="113">
        <v>0</v>
      </c>
      <c r="AM32" s="113">
        <v>0</v>
      </c>
      <c r="AN32" s="113">
        <v>0</v>
      </c>
      <c r="AO32" s="113">
        <v>0</v>
      </c>
      <c r="AP32" s="113">
        <v>0</v>
      </c>
      <c r="AQ32" s="113">
        <v>0</v>
      </c>
      <c r="AR32" s="113">
        <v>0</v>
      </c>
      <c r="AS32" s="113">
        <v>0</v>
      </c>
      <c r="AT32" s="113">
        <v>0</v>
      </c>
      <c r="AU32" s="113">
        <v>0</v>
      </c>
      <c r="AV32" s="113">
        <v>0</v>
      </c>
      <c r="AW32" s="113">
        <v>0</v>
      </c>
      <c r="AX32" s="113">
        <v>0</v>
      </c>
      <c r="AY32" s="113">
        <v>2504</v>
      </c>
      <c r="AZ32" s="113">
        <v>85</v>
      </c>
      <c r="BA32" s="113">
        <v>0</v>
      </c>
      <c r="BB32" s="113">
        <v>299</v>
      </c>
      <c r="BC32" s="113">
        <v>10</v>
      </c>
      <c r="BD32" s="113">
        <v>0</v>
      </c>
      <c r="BF32" s="113">
        <f t="shared" si="0"/>
        <v>15165</v>
      </c>
      <c r="BG32" s="113">
        <f t="shared" si="1"/>
        <v>516</v>
      </c>
      <c r="BH32" s="113">
        <f t="shared" si="2"/>
        <v>58</v>
      </c>
      <c r="BI32" s="113">
        <f t="shared" si="3"/>
        <v>0</v>
      </c>
    </row>
    <row r="33" spans="1:61">
      <c r="A33" s="102" t="s">
        <v>60</v>
      </c>
      <c r="B33" s="24" t="s">
        <v>459</v>
      </c>
      <c r="C33" s="103" t="s">
        <v>61</v>
      </c>
      <c r="D33" s="113">
        <v>3191</v>
      </c>
      <c r="E33" s="113">
        <v>4752</v>
      </c>
      <c r="F33" s="113">
        <v>232</v>
      </c>
      <c r="G33" s="113">
        <v>890</v>
      </c>
      <c r="H33" s="113">
        <v>0</v>
      </c>
      <c r="I33" s="113">
        <v>0</v>
      </c>
      <c r="J33" s="113">
        <v>0</v>
      </c>
      <c r="K33" s="113">
        <v>4820</v>
      </c>
      <c r="L33" s="113">
        <v>210</v>
      </c>
      <c r="M33" s="113">
        <v>0</v>
      </c>
      <c r="N33" s="113">
        <v>796</v>
      </c>
      <c r="O33" s="113">
        <v>0</v>
      </c>
      <c r="P33" s="113">
        <v>0</v>
      </c>
      <c r="Q33" s="113">
        <v>0</v>
      </c>
      <c r="R33" s="113">
        <v>0</v>
      </c>
      <c r="S33" s="113">
        <v>0</v>
      </c>
      <c r="T33" s="113">
        <v>0</v>
      </c>
      <c r="U33" s="113">
        <v>0</v>
      </c>
      <c r="V33" s="113">
        <v>0</v>
      </c>
      <c r="W33" s="113">
        <v>0</v>
      </c>
      <c r="X33" s="113">
        <v>0</v>
      </c>
      <c r="Y33" s="113">
        <v>0</v>
      </c>
      <c r="Z33" s="113">
        <v>0</v>
      </c>
      <c r="AA33" s="113">
        <v>0</v>
      </c>
      <c r="AB33" s="113">
        <v>0</v>
      </c>
      <c r="AC33" s="113">
        <v>0</v>
      </c>
      <c r="AD33" s="113">
        <v>5128</v>
      </c>
      <c r="AE33" s="113">
        <v>224</v>
      </c>
      <c r="AF33" s="113">
        <v>930</v>
      </c>
      <c r="AG33" s="113">
        <v>0</v>
      </c>
      <c r="AH33" s="113">
        <v>0</v>
      </c>
      <c r="AI33" s="113">
        <v>0</v>
      </c>
      <c r="AJ33" s="113">
        <v>0</v>
      </c>
      <c r="AK33" s="113">
        <v>0</v>
      </c>
      <c r="AL33" s="113">
        <v>0</v>
      </c>
      <c r="AM33" s="113">
        <v>0</v>
      </c>
      <c r="AN33" s="113">
        <v>0</v>
      </c>
      <c r="AO33" s="113">
        <v>0</v>
      </c>
      <c r="AP33" s="113">
        <v>0</v>
      </c>
      <c r="AQ33" s="113">
        <v>0</v>
      </c>
      <c r="AR33" s="113">
        <v>0</v>
      </c>
      <c r="AS33" s="113">
        <v>0</v>
      </c>
      <c r="AT33" s="113">
        <v>0</v>
      </c>
      <c r="AU33" s="113">
        <v>0</v>
      </c>
      <c r="AV33" s="113">
        <v>0</v>
      </c>
      <c r="AW33" s="113">
        <v>0</v>
      </c>
      <c r="AX33" s="113">
        <v>0</v>
      </c>
      <c r="AY33" s="113">
        <v>1937</v>
      </c>
      <c r="AZ33" s="113">
        <v>84</v>
      </c>
      <c r="BA33" s="113">
        <v>235</v>
      </c>
      <c r="BB33" s="113">
        <v>101</v>
      </c>
      <c r="BC33" s="113">
        <v>4</v>
      </c>
      <c r="BD33" s="113">
        <v>14</v>
      </c>
      <c r="BF33" s="113">
        <f t="shared" si="0"/>
        <v>14700</v>
      </c>
      <c r="BG33" s="113">
        <f t="shared" si="1"/>
        <v>666</v>
      </c>
      <c r="BH33" s="113">
        <f t="shared" si="2"/>
        <v>0</v>
      </c>
      <c r="BI33" s="113">
        <f t="shared" si="3"/>
        <v>5807</v>
      </c>
    </row>
    <row r="34" spans="1:61">
      <c r="A34" s="102" t="s">
        <v>62</v>
      </c>
      <c r="B34" s="24" t="s">
        <v>460</v>
      </c>
      <c r="C34" s="103" t="s">
        <v>61</v>
      </c>
      <c r="D34" s="113">
        <v>2325</v>
      </c>
      <c r="E34" s="113">
        <v>30719</v>
      </c>
      <c r="F34" s="113">
        <v>0</v>
      </c>
      <c r="G34" s="113">
        <v>1727</v>
      </c>
      <c r="H34" s="113">
        <v>0</v>
      </c>
      <c r="I34" s="113">
        <v>0</v>
      </c>
      <c r="J34" s="113">
        <v>0</v>
      </c>
      <c r="K34" s="113">
        <v>10588</v>
      </c>
      <c r="L34" s="113">
        <v>0</v>
      </c>
      <c r="M34" s="113">
        <v>0</v>
      </c>
      <c r="N34" s="113">
        <v>694</v>
      </c>
      <c r="O34" s="113">
        <v>0</v>
      </c>
      <c r="P34" s="113">
        <v>0</v>
      </c>
      <c r="Q34" s="113">
        <v>0</v>
      </c>
      <c r="R34" s="113">
        <v>0</v>
      </c>
      <c r="S34" s="113">
        <v>0</v>
      </c>
      <c r="T34" s="113">
        <v>0</v>
      </c>
      <c r="U34" s="113">
        <v>0</v>
      </c>
      <c r="V34" s="113">
        <v>0</v>
      </c>
      <c r="W34" s="113">
        <v>0</v>
      </c>
      <c r="X34" s="113">
        <v>0</v>
      </c>
      <c r="Y34" s="113">
        <v>0</v>
      </c>
      <c r="Z34" s="113">
        <v>0</v>
      </c>
      <c r="AA34" s="113">
        <v>0</v>
      </c>
      <c r="AB34" s="113">
        <v>0</v>
      </c>
      <c r="AC34" s="113">
        <v>0</v>
      </c>
      <c r="AD34" s="113">
        <v>7953</v>
      </c>
      <c r="AE34" s="113">
        <v>0</v>
      </c>
      <c r="AF34" s="113">
        <v>0</v>
      </c>
      <c r="AG34" s="113">
        <v>0</v>
      </c>
      <c r="AH34" s="113">
        <v>0</v>
      </c>
      <c r="AI34" s="113">
        <v>0</v>
      </c>
      <c r="AJ34" s="113">
        <v>0</v>
      </c>
      <c r="AK34" s="113">
        <v>0</v>
      </c>
      <c r="AL34" s="113">
        <v>0</v>
      </c>
      <c r="AM34" s="113">
        <v>0</v>
      </c>
      <c r="AN34" s="113">
        <v>0</v>
      </c>
      <c r="AO34" s="113">
        <v>0</v>
      </c>
      <c r="AP34" s="113">
        <v>0</v>
      </c>
      <c r="AQ34" s="113">
        <v>0</v>
      </c>
      <c r="AR34" s="113">
        <v>0</v>
      </c>
      <c r="AS34" s="113">
        <v>0</v>
      </c>
      <c r="AT34" s="113">
        <v>0</v>
      </c>
      <c r="AU34" s="113">
        <v>0</v>
      </c>
      <c r="AV34" s="113">
        <v>0</v>
      </c>
      <c r="AW34" s="113">
        <v>0</v>
      </c>
      <c r="AX34" s="113">
        <v>0</v>
      </c>
      <c r="AY34" s="113">
        <v>8268</v>
      </c>
      <c r="AZ34" s="113">
        <v>0</v>
      </c>
      <c r="BA34" s="113">
        <v>0</v>
      </c>
      <c r="BB34" s="113">
        <v>0</v>
      </c>
      <c r="BC34" s="113">
        <v>0</v>
      </c>
      <c r="BD34" s="113">
        <v>0</v>
      </c>
      <c r="BF34" s="113">
        <f t="shared" si="0"/>
        <v>49260</v>
      </c>
      <c r="BG34" s="113">
        <f t="shared" si="1"/>
        <v>0</v>
      </c>
      <c r="BH34" s="113">
        <f t="shared" si="2"/>
        <v>0</v>
      </c>
      <c r="BI34" s="113">
        <f t="shared" si="3"/>
        <v>4746</v>
      </c>
    </row>
    <row r="35" spans="1:61">
      <c r="A35" s="102" t="s">
        <v>63</v>
      </c>
      <c r="B35" s="24" t="s">
        <v>461</v>
      </c>
      <c r="C35" s="103" t="s">
        <v>64</v>
      </c>
      <c r="D35" s="113">
        <v>0</v>
      </c>
      <c r="E35" s="113">
        <v>18773</v>
      </c>
      <c r="F35" s="113">
        <v>0</v>
      </c>
      <c r="G35" s="113">
        <v>0</v>
      </c>
      <c r="H35" s="113">
        <v>0</v>
      </c>
      <c r="I35" s="113">
        <v>0</v>
      </c>
      <c r="J35" s="113">
        <v>0</v>
      </c>
      <c r="K35" s="113">
        <v>3753</v>
      </c>
      <c r="L35" s="113">
        <v>0</v>
      </c>
      <c r="M35" s="113">
        <v>0</v>
      </c>
      <c r="N35" s="113">
        <v>0</v>
      </c>
      <c r="O35" s="113">
        <v>0</v>
      </c>
      <c r="P35" s="113">
        <v>0</v>
      </c>
      <c r="Q35" s="113">
        <v>0</v>
      </c>
      <c r="R35" s="113">
        <v>0</v>
      </c>
      <c r="S35" s="113">
        <v>0</v>
      </c>
      <c r="T35" s="113">
        <v>0</v>
      </c>
      <c r="U35" s="113">
        <v>0</v>
      </c>
      <c r="V35" s="113">
        <v>0</v>
      </c>
      <c r="W35" s="113">
        <v>0</v>
      </c>
      <c r="X35" s="113">
        <v>0</v>
      </c>
      <c r="Y35" s="113">
        <v>0</v>
      </c>
      <c r="Z35" s="113">
        <v>0</v>
      </c>
      <c r="AA35" s="113">
        <v>0</v>
      </c>
      <c r="AB35" s="113">
        <v>0</v>
      </c>
      <c r="AC35" s="113">
        <v>0</v>
      </c>
      <c r="AD35" s="113">
        <v>13357</v>
      </c>
      <c r="AE35" s="113">
        <v>0</v>
      </c>
      <c r="AF35" s="113">
        <v>0</v>
      </c>
      <c r="AG35" s="113">
        <v>0</v>
      </c>
      <c r="AH35" s="113">
        <v>0</v>
      </c>
      <c r="AI35" s="113">
        <v>0</v>
      </c>
      <c r="AJ35" s="113">
        <v>0</v>
      </c>
      <c r="AK35" s="113">
        <v>0</v>
      </c>
      <c r="AL35" s="113">
        <v>0</v>
      </c>
      <c r="AM35" s="113">
        <v>0</v>
      </c>
      <c r="AN35" s="113">
        <v>0</v>
      </c>
      <c r="AO35" s="113">
        <v>0</v>
      </c>
      <c r="AP35" s="113">
        <v>0</v>
      </c>
      <c r="AQ35" s="113">
        <v>0</v>
      </c>
      <c r="AR35" s="113">
        <v>0</v>
      </c>
      <c r="AS35" s="113">
        <v>0</v>
      </c>
      <c r="AT35" s="113">
        <v>0</v>
      </c>
      <c r="AU35" s="113">
        <v>0</v>
      </c>
      <c r="AV35" s="113">
        <v>0</v>
      </c>
      <c r="AW35" s="113">
        <v>0</v>
      </c>
      <c r="AX35" s="113">
        <v>0</v>
      </c>
      <c r="AY35" s="113">
        <v>939</v>
      </c>
      <c r="AZ35" s="113">
        <v>0</v>
      </c>
      <c r="BA35" s="113">
        <v>0</v>
      </c>
      <c r="BB35" s="113">
        <v>0</v>
      </c>
      <c r="BC35" s="113">
        <v>0</v>
      </c>
      <c r="BD35" s="113">
        <v>0</v>
      </c>
      <c r="BF35" s="113">
        <f t="shared" si="0"/>
        <v>35883</v>
      </c>
      <c r="BG35" s="113">
        <f t="shared" si="1"/>
        <v>0</v>
      </c>
      <c r="BH35" s="113">
        <f t="shared" si="2"/>
        <v>0</v>
      </c>
      <c r="BI35" s="113">
        <f t="shared" si="3"/>
        <v>0</v>
      </c>
    </row>
    <row r="36" spans="1:61">
      <c r="A36" s="102" t="s">
        <v>65</v>
      </c>
      <c r="B36" s="24" t="s">
        <v>462</v>
      </c>
      <c r="C36" s="103" t="s">
        <v>64</v>
      </c>
      <c r="D36" s="113">
        <v>0</v>
      </c>
      <c r="E36" s="113">
        <v>22249</v>
      </c>
      <c r="F36" s="113">
        <v>314</v>
      </c>
      <c r="G36" s="113">
        <v>0</v>
      </c>
      <c r="H36" s="113">
        <v>0</v>
      </c>
      <c r="I36" s="113">
        <v>0</v>
      </c>
      <c r="J36" s="113">
        <v>0</v>
      </c>
      <c r="K36" s="113">
        <v>6521</v>
      </c>
      <c r="L36" s="113">
        <v>91</v>
      </c>
      <c r="M36" s="113">
        <v>0</v>
      </c>
      <c r="N36" s="113">
        <v>0</v>
      </c>
      <c r="O36" s="113">
        <v>0</v>
      </c>
      <c r="P36" s="113">
        <v>0</v>
      </c>
      <c r="Q36" s="113">
        <v>0</v>
      </c>
      <c r="R36" s="113">
        <v>0</v>
      </c>
      <c r="S36" s="113">
        <v>0</v>
      </c>
      <c r="T36" s="113">
        <v>0</v>
      </c>
      <c r="U36" s="113">
        <v>0</v>
      </c>
      <c r="V36" s="113">
        <v>0</v>
      </c>
      <c r="W36" s="113">
        <v>0</v>
      </c>
      <c r="X36" s="113">
        <v>0</v>
      </c>
      <c r="Y36" s="113">
        <v>0</v>
      </c>
      <c r="Z36" s="113">
        <v>0</v>
      </c>
      <c r="AA36" s="113">
        <v>0</v>
      </c>
      <c r="AB36" s="113">
        <v>0</v>
      </c>
      <c r="AC36" s="113">
        <v>0</v>
      </c>
      <c r="AD36" s="113">
        <v>0</v>
      </c>
      <c r="AE36" s="113">
        <v>0</v>
      </c>
      <c r="AF36" s="113">
        <v>0</v>
      </c>
      <c r="AG36" s="113">
        <v>0</v>
      </c>
      <c r="AH36" s="113">
        <v>0</v>
      </c>
      <c r="AI36" s="113">
        <v>0</v>
      </c>
      <c r="AJ36" s="113">
        <v>0</v>
      </c>
      <c r="AK36" s="113">
        <v>0</v>
      </c>
      <c r="AL36" s="113">
        <v>0</v>
      </c>
      <c r="AM36" s="113">
        <v>0</v>
      </c>
      <c r="AN36" s="113">
        <v>0</v>
      </c>
      <c r="AO36" s="113">
        <v>0</v>
      </c>
      <c r="AP36" s="113">
        <v>0</v>
      </c>
      <c r="AQ36" s="113">
        <v>0</v>
      </c>
      <c r="AR36" s="113">
        <v>0</v>
      </c>
      <c r="AS36" s="113">
        <v>0</v>
      </c>
      <c r="AT36" s="113">
        <v>0</v>
      </c>
      <c r="AU36" s="113">
        <v>0</v>
      </c>
      <c r="AV36" s="113">
        <v>0</v>
      </c>
      <c r="AW36" s="113">
        <v>0</v>
      </c>
      <c r="AX36" s="113">
        <v>0</v>
      </c>
      <c r="AY36" s="113">
        <v>2630</v>
      </c>
      <c r="AZ36" s="113">
        <v>1</v>
      </c>
      <c r="BA36" s="113">
        <v>0</v>
      </c>
      <c r="BB36" s="113">
        <v>0</v>
      </c>
      <c r="BC36" s="113">
        <v>0</v>
      </c>
      <c r="BD36" s="113">
        <v>0</v>
      </c>
      <c r="BF36" s="113">
        <f t="shared" si="0"/>
        <v>28770</v>
      </c>
      <c r="BG36" s="113">
        <f t="shared" si="1"/>
        <v>405</v>
      </c>
      <c r="BH36" s="113">
        <f t="shared" si="2"/>
        <v>0</v>
      </c>
      <c r="BI36" s="113">
        <f t="shared" si="3"/>
        <v>0</v>
      </c>
    </row>
    <row r="37" spans="1:61">
      <c r="A37" s="102" t="s">
        <v>66</v>
      </c>
      <c r="B37" s="24" t="s">
        <v>463</v>
      </c>
      <c r="C37" s="103" t="s">
        <v>28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F37" s="113">
        <f t="shared" si="0"/>
        <v>0</v>
      </c>
      <c r="BG37" s="113">
        <f t="shared" si="1"/>
        <v>0</v>
      </c>
      <c r="BH37" s="113">
        <f t="shared" si="2"/>
        <v>0</v>
      </c>
      <c r="BI37" s="113">
        <f t="shared" si="3"/>
        <v>0</v>
      </c>
    </row>
    <row r="38" spans="1:61">
      <c r="A38" s="102" t="s">
        <v>67</v>
      </c>
      <c r="B38" s="24" t="s">
        <v>28</v>
      </c>
      <c r="C38" s="103" t="s">
        <v>28</v>
      </c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F38" s="113">
        <f t="shared" si="0"/>
        <v>0</v>
      </c>
      <c r="BG38" s="113">
        <f t="shared" si="1"/>
        <v>0</v>
      </c>
      <c r="BH38" s="113">
        <f t="shared" si="2"/>
        <v>0</v>
      </c>
      <c r="BI38" s="113">
        <f t="shared" si="3"/>
        <v>0</v>
      </c>
    </row>
    <row r="39" spans="1:61">
      <c r="A39" s="102" t="s">
        <v>68</v>
      </c>
      <c r="B39" s="24" t="s">
        <v>464</v>
      </c>
      <c r="C39" s="103" t="s">
        <v>28</v>
      </c>
      <c r="D39" s="113">
        <v>0</v>
      </c>
      <c r="E39" s="113">
        <v>59459</v>
      </c>
      <c r="F39" s="113">
        <v>638</v>
      </c>
      <c r="G39" s="113">
        <v>0</v>
      </c>
      <c r="H39" s="113">
        <v>0</v>
      </c>
      <c r="I39" s="113">
        <v>0</v>
      </c>
      <c r="J39" s="113">
        <v>0</v>
      </c>
      <c r="K39" s="113">
        <v>9825</v>
      </c>
      <c r="L39" s="113">
        <v>102</v>
      </c>
      <c r="M39" s="113">
        <v>0</v>
      </c>
      <c r="N39" s="113">
        <v>0</v>
      </c>
      <c r="O39" s="113">
        <v>0</v>
      </c>
      <c r="P39" s="113">
        <v>0</v>
      </c>
      <c r="Q39" s="113">
        <v>0</v>
      </c>
      <c r="R39" s="113">
        <v>0</v>
      </c>
      <c r="S39" s="113">
        <v>0</v>
      </c>
      <c r="T39" s="113">
        <v>0</v>
      </c>
      <c r="U39" s="113">
        <v>0</v>
      </c>
      <c r="V39" s="113">
        <v>0</v>
      </c>
      <c r="W39" s="113">
        <v>0</v>
      </c>
      <c r="X39" s="113">
        <v>0</v>
      </c>
      <c r="Y39" s="113">
        <v>0</v>
      </c>
      <c r="Z39" s="113">
        <v>0</v>
      </c>
      <c r="AA39" s="113">
        <v>0</v>
      </c>
      <c r="AB39" s="113">
        <v>0</v>
      </c>
      <c r="AC39" s="113">
        <v>0</v>
      </c>
      <c r="AD39" s="113">
        <v>17060</v>
      </c>
      <c r="AE39" s="113">
        <v>180</v>
      </c>
      <c r="AF39" s="113">
        <v>0</v>
      </c>
      <c r="AG39" s="113">
        <v>0</v>
      </c>
      <c r="AH39" s="113">
        <v>0</v>
      </c>
      <c r="AI39" s="113">
        <v>0</v>
      </c>
      <c r="AJ39" s="113">
        <v>0</v>
      </c>
      <c r="AK39" s="113">
        <v>0</v>
      </c>
      <c r="AL39" s="113">
        <v>0</v>
      </c>
      <c r="AM39" s="113">
        <v>0</v>
      </c>
      <c r="AN39" s="113">
        <v>0</v>
      </c>
      <c r="AO39" s="113">
        <v>0</v>
      </c>
      <c r="AP39" s="113">
        <v>0</v>
      </c>
      <c r="AQ39" s="113">
        <v>0</v>
      </c>
      <c r="AR39" s="113">
        <v>0</v>
      </c>
      <c r="AS39" s="113">
        <v>0</v>
      </c>
      <c r="AT39" s="113">
        <v>0</v>
      </c>
      <c r="AU39" s="113">
        <v>0</v>
      </c>
      <c r="AV39" s="113">
        <v>0</v>
      </c>
      <c r="AW39" s="113">
        <v>0</v>
      </c>
      <c r="AX39" s="113">
        <v>0</v>
      </c>
      <c r="AY39" s="113">
        <v>0</v>
      </c>
      <c r="AZ39" s="113">
        <v>0</v>
      </c>
      <c r="BA39" s="113">
        <v>0</v>
      </c>
      <c r="BB39" s="113">
        <v>0</v>
      </c>
      <c r="BC39" s="113">
        <v>0</v>
      </c>
      <c r="BD39" s="113">
        <v>0</v>
      </c>
      <c r="BF39" s="113">
        <f t="shared" si="0"/>
        <v>86344</v>
      </c>
      <c r="BG39" s="113">
        <f t="shared" si="1"/>
        <v>920</v>
      </c>
      <c r="BH39" s="113">
        <f t="shared" si="2"/>
        <v>0</v>
      </c>
      <c r="BI39" s="113">
        <f t="shared" si="3"/>
        <v>0</v>
      </c>
    </row>
    <row r="40" spans="1:61">
      <c r="A40" s="102" t="s">
        <v>69</v>
      </c>
      <c r="B40" s="24" t="s">
        <v>465</v>
      </c>
      <c r="C40" s="103" t="s">
        <v>28</v>
      </c>
      <c r="D40" s="113">
        <v>0</v>
      </c>
      <c r="E40" s="113">
        <v>33216</v>
      </c>
      <c r="F40" s="113">
        <v>487</v>
      </c>
      <c r="G40" s="113">
        <v>0</v>
      </c>
      <c r="H40" s="113">
        <v>0</v>
      </c>
      <c r="I40" s="113">
        <v>0</v>
      </c>
      <c r="J40" s="113">
        <v>0</v>
      </c>
      <c r="K40" s="113">
        <v>10115</v>
      </c>
      <c r="L40" s="113">
        <v>148</v>
      </c>
      <c r="M40" s="113">
        <v>0</v>
      </c>
      <c r="N40" s="113">
        <v>0</v>
      </c>
      <c r="O40" s="113">
        <v>0</v>
      </c>
      <c r="P40" s="113">
        <v>0</v>
      </c>
      <c r="Q40" s="113">
        <v>0</v>
      </c>
      <c r="R40" s="113">
        <v>0</v>
      </c>
      <c r="S40" s="113">
        <v>0</v>
      </c>
      <c r="T40" s="113">
        <v>0</v>
      </c>
      <c r="U40" s="113">
        <v>0</v>
      </c>
      <c r="V40" s="113">
        <v>0</v>
      </c>
      <c r="W40" s="113">
        <v>0</v>
      </c>
      <c r="X40" s="113">
        <v>0</v>
      </c>
      <c r="Y40" s="113">
        <v>0</v>
      </c>
      <c r="Z40" s="113">
        <v>0</v>
      </c>
      <c r="AA40" s="113">
        <v>0</v>
      </c>
      <c r="AB40" s="113">
        <v>0</v>
      </c>
      <c r="AC40" s="113">
        <v>0</v>
      </c>
      <c r="AD40" s="113">
        <v>0</v>
      </c>
      <c r="AE40" s="113">
        <v>0</v>
      </c>
      <c r="AF40" s="113">
        <v>0</v>
      </c>
      <c r="AG40" s="113">
        <v>0</v>
      </c>
      <c r="AH40" s="113">
        <v>0</v>
      </c>
      <c r="AI40" s="113">
        <v>0</v>
      </c>
      <c r="AJ40" s="113">
        <v>0</v>
      </c>
      <c r="AK40" s="113">
        <v>0</v>
      </c>
      <c r="AL40" s="113">
        <v>0</v>
      </c>
      <c r="AM40" s="113">
        <v>0</v>
      </c>
      <c r="AN40" s="113">
        <v>0</v>
      </c>
      <c r="AO40" s="113">
        <v>0</v>
      </c>
      <c r="AP40" s="113">
        <v>0</v>
      </c>
      <c r="AQ40" s="113">
        <v>0</v>
      </c>
      <c r="AR40" s="113">
        <v>0</v>
      </c>
      <c r="AS40" s="113">
        <v>0</v>
      </c>
      <c r="AT40" s="113">
        <v>0</v>
      </c>
      <c r="AU40" s="113">
        <v>0</v>
      </c>
      <c r="AV40" s="113">
        <v>0</v>
      </c>
      <c r="AW40" s="113">
        <v>0</v>
      </c>
      <c r="AX40" s="113">
        <v>0</v>
      </c>
      <c r="AY40" s="113">
        <v>0</v>
      </c>
      <c r="AZ40" s="113">
        <v>0</v>
      </c>
      <c r="BA40" s="113">
        <v>0</v>
      </c>
      <c r="BB40" s="113">
        <v>0</v>
      </c>
      <c r="BC40" s="113">
        <v>0</v>
      </c>
      <c r="BD40" s="113">
        <v>0</v>
      </c>
      <c r="BF40" s="113">
        <f t="shared" si="0"/>
        <v>43331</v>
      </c>
      <c r="BG40" s="113">
        <f t="shared" si="1"/>
        <v>635</v>
      </c>
      <c r="BH40" s="113">
        <f t="shared" si="2"/>
        <v>0</v>
      </c>
      <c r="BI40" s="113">
        <f t="shared" si="3"/>
        <v>0</v>
      </c>
    </row>
    <row r="41" spans="1:61">
      <c r="A41" s="102" t="s">
        <v>70</v>
      </c>
      <c r="B41" s="24" t="s">
        <v>466</v>
      </c>
      <c r="C41" s="103" t="s">
        <v>71</v>
      </c>
      <c r="D41" s="113">
        <v>0</v>
      </c>
      <c r="E41" s="113">
        <v>23240</v>
      </c>
      <c r="F41" s="113">
        <v>548</v>
      </c>
      <c r="G41" s="113">
        <v>0</v>
      </c>
      <c r="H41" s="113">
        <v>0</v>
      </c>
      <c r="I41" s="113">
        <v>0</v>
      </c>
      <c r="J41" s="113">
        <v>0</v>
      </c>
      <c r="K41" s="113">
        <v>3315</v>
      </c>
      <c r="L41" s="113">
        <v>78</v>
      </c>
      <c r="M41" s="113">
        <v>0</v>
      </c>
      <c r="N41" s="113">
        <v>0</v>
      </c>
      <c r="O41" s="113">
        <v>0</v>
      </c>
      <c r="P41" s="113">
        <v>0</v>
      </c>
      <c r="Q41" s="113">
        <v>0</v>
      </c>
      <c r="R41" s="113">
        <v>0</v>
      </c>
      <c r="S41" s="113">
        <v>0</v>
      </c>
      <c r="T41" s="113">
        <v>0</v>
      </c>
      <c r="U41" s="113">
        <v>0</v>
      </c>
      <c r="V41" s="113">
        <v>0</v>
      </c>
      <c r="W41" s="113">
        <v>0</v>
      </c>
      <c r="X41" s="113">
        <v>0</v>
      </c>
      <c r="Y41" s="113">
        <v>0</v>
      </c>
      <c r="Z41" s="113">
        <v>0</v>
      </c>
      <c r="AA41" s="113">
        <v>0</v>
      </c>
      <c r="AB41" s="113">
        <v>0</v>
      </c>
      <c r="AC41" s="113">
        <v>0</v>
      </c>
      <c r="AD41" s="113">
        <v>0</v>
      </c>
      <c r="AE41" s="113">
        <v>0</v>
      </c>
      <c r="AF41" s="113">
        <v>0</v>
      </c>
      <c r="AG41" s="113">
        <v>0</v>
      </c>
      <c r="AH41" s="113">
        <v>0</v>
      </c>
      <c r="AI41" s="113">
        <v>0</v>
      </c>
      <c r="AJ41" s="113">
        <v>0</v>
      </c>
      <c r="AK41" s="113">
        <v>0</v>
      </c>
      <c r="AL41" s="113">
        <v>0</v>
      </c>
      <c r="AM41" s="113">
        <v>0</v>
      </c>
      <c r="AN41" s="113">
        <v>0</v>
      </c>
      <c r="AO41" s="113">
        <v>0</v>
      </c>
      <c r="AP41" s="113">
        <v>0</v>
      </c>
      <c r="AQ41" s="113">
        <v>0</v>
      </c>
      <c r="AR41" s="113">
        <v>0</v>
      </c>
      <c r="AS41" s="113">
        <v>0</v>
      </c>
      <c r="AT41" s="113">
        <v>0</v>
      </c>
      <c r="AU41" s="113">
        <v>0</v>
      </c>
      <c r="AV41" s="113">
        <v>0</v>
      </c>
      <c r="AW41" s="113">
        <v>0</v>
      </c>
      <c r="AX41" s="113">
        <v>0</v>
      </c>
      <c r="AY41" s="113">
        <v>1752</v>
      </c>
      <c r="AZ41" s="113">
        <v>41</v>
      </c>
      <c r="BA41" s="113">
        <v>0</v>
      </c>
      <c r="BB41" s="113">
        <v>0</v>
      </c>
      <c r="BC41" s="113">
        <v>0</v>
      </c>
      <c r="BD41" s="113">
        <v>0</v>
      </c>
      <c r="BF41" s="113">
        <f t="shared" si="0"/>
        <v>26555</v>
      </c>
      <c r="BG41" s="113">
        <f t="shared" si="1"/>
        <v>626</v>
      </c>
      <c r="BH41" s="113">
        <f t="shared" si="2"/>
        <v>0</v>
      </c>
      <c r="BI41" s="113">
        <f t="shared" si="3"/>
        <v>0</v>
      </c>
    </row>
    <row r="42" spans="1:61">
      <c r="A42" s="102" t="s">
        <v>72</v>
      </c>
      <c r="B42" s="24" t="s">
        <v>71</v>
      </c>
      <c r="C42" s="103" t="s">
        <v>71</v>
      </c>
      <c r="D42" s="113">
        <v>0</v>
      </c>
      <c r="E42" s="113">
        <v>26251</v>
      </c>
      <c r="F42" s="113">
        <v>605</v>
      </c>
      <c r="G42" s="113">
        <v>0</v>
      </c>
      <c r="H42" s="113">
        <v>0</v>
      </c>
      <c r="I42" s="113">
        <v>0</v>
      </c>
      <c r="J42" s="113">
        <v>0</v>
      </c>
      <c r="K42" s="113">
        <v>8776</v>
      </c>
      <c r="L42" s="113">
        <v>192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Z42" s="113">
        <v>0</v>
      </c>
      <c r="AA42" s="113">
        <v>0</v>
      </c>
      <c r="AB42" s="113">
        <v>0</v>
      </c>
      <c r="AC42" s="113">
        <v>0</v>
      </c>
      <c r="AD42" s="113">
        <v>15593</v>
      </c>
      <c r="AE42" s="113">
        <v>322</v>
      </c>
      <c r="AF42" s="113">
        <v>0</v>
      </c>
      <c r="AG42" s="113">
        <v>0</v>
      </c>
      <c r="AH42" s="113">
        <v>0</v>
      </c>
      <c r="AI42" s="113">
        <v>0</v>
      </c>
      <c r="AJ42" s="113">
        <v>0</v>
      </c>
      <c r="AK42" s="113">
        <v>0</v>
      </c>
      <c r="AL42" s="113">
        <v>0</v>
      </c>
      <c r="AM42" s="113">
        <v>0</v>
      </c>
      <c r="AN42" s="113">
        <v>0</v>
      </c>
      <c r="AO42" s="113">
        <v>0</v>
      </c>
      <c r="AP42" s="113">
        <v>0</v>
      </c>
      <c r="AQ42" s="113">
        <v>0</v>
      </c>
      <c r="AR42" s="113">
        <v>0</v>
      </c>
      <c r="AS42" s="113">
        <v>0</v>
      </c>
      <c r="AT42" s="113">
        <v>0</v>
      </c>
      <c r="AU42" s="113">
        <v>0</v>
      </c>
      <c r="AV42" s="113">
        <v>0</v>
      </c>
      <c r="AW42" s="113">
        <v>0</v>
      </c>
      <c r="AX42" s="113">
        <v>0</v>
      </c>
      <c r="AY42" s="113">
        <v>3133</v>
      </c>
      <c r="AZ42" s="113">
        <v>68</v>
      </c>
      <c r="BA42" s="113">
        <v>0</v>
      </c>
      <c r="BB42" s="113">
        <v>0</v>
      </c>
      <c r="BC42" s="113">
        <v>0</v>
      </c>
      <c r="BD42" s="113">
        <v>0</v>
      </c>
      <c r="BF42" s="113">
        <f t="shared" si="0"/>
        <v>50620</v>
      </c>
      <c r="BG42" s="113">
        <f t="shared" si="1"/>
        <v>1119</v>
      </c>
      <c r="BH42" s="113">
        <f t="shared" si="2"/>
        <v>0</v>
      </c>
      <c r="BI42" s="113">
        <f t="shared" si="3"/>
        <v>0</v>
      </c>
    </row>
    <row r="43" spans="1:61">
      <c r="A43" s="102" t="s">
        <v>73</v>
      </c>
      <c r="B43" s="24" t="s">
        <v>467</v>
      </c>
      <c r="C43" s="103" t="s">
        <v>74</v>
      </c>
      <c r="D43" s="113">
        <v>0</v>
      </c>
      <c r="E43" s="113">
        <v>37085</v>
      </c>
      <c r="F43" s="113">
        <v>382</v>
      </c>
      <c r="G43" s="113">
        <v>0</v>
      </c>
      <c r="H43" s="113">
        <v>0</v>
      </c>
      <c r="I43" s="113">
        <v>0</v>
      </c>
      <c r="J43" s="113">
        <v>0</v>
      </c>
      <c r="K43" s="113">
        <v>6237</v>
      </c>
      <c r="L43" s="113">
        <v>64</v>
      </c>
      <c r="M43" s="113">
        <v>0</v>
      </c>
      <c r="N43" s="113">
        <v>0</v>
      </c>
      <c r="O43" s="113">
        <v>0</v>
      </c>
      <c r="P43" s="113">
        <v>0</v>
      </c>
      <c r="Q43" s="113">
        <v>0</v>
      </c>
      <c r="R43" s="113">
        <v>0</v>
      </c>
      <c r="S43" s="113">
        <v>0</v>
      </c>
      <c r="T43" s="113">
        <v>0</v>
      </c>
      <c r="U43" s="113">
        <v>0</v>
      </c>
      <c r="V43" s="113">
        <v>0</v>
      </c>
      <c r="W43" s="113">
        <v>0</v>
      </c>
      <c r="X43" s="113">
        <v>0</v>
      </c>
      <c r="Y43" s="113">
        <v>0</v>
      </c>
      <c r="Z43" s="113">
        <v>0</v>
      </c>
      <c r="AA43" s="113">
        <v>0</v>
      </c>
      <c r="AB43" s="113">
        <v>0</v>
      </c>
      <c r="AC43" s="113">
        <v>0</v>
      </c>
      <c r="AD43" s="113">
        <v>21589</v>
      </c>
      <c r="AE43" s="113">
        <v>222</v>
      </c>
      <c r="AF43" s="113">
        <v>0</v>
      </c>
      <c r="AG43" s="113">
        <v>0</v>
      </c>
      <c r="AH43" s="113">
        <v>0</v>
      </c>
      <c r="AI43" s="113">
        <v>0</v>
      </c>
      <c r="AJ43" s="113">
        <v>0</v>
      </c>
      <c r="AK43" s="113">
        <v>0</v>
      </c>
      <c r="AL43" s="113">
        <v>0</v>
      </c>
      <c r="AM43" s="113">
        <v>0</v>
      </c>
      <c r="AN43" s="113">
        <v>0</v>
      </c>
      <c r="AO43" s="113">
        <v>0</v>
      </c>
      <c r="AP43" s="113">
        <v>0</v>
      </c>
      <c r="AQ43" s="113">
        <v>0</v>
      </c>
      <c r="AR43" s="113">
        <v>0</v>
      </c>
      <c r="AS43" s="113">
        <v>0</v>
      </c>
      <c r="AT43" s="113">
        <v>0</v>
      </c>
      <c r="AU43" s="113">
        <v>0</v>
      </c>
      <c r="AV43" s="113">
        <v>0</v>
      </c>
      <c r="AW43" s="113">
        <v>0</v>
      </c>
      <c r="AX43" s="113">
        <v>0</v>
      </c>
      <c r="AY43" s="113">
        <v>2192</v>
      </c>
      <c r="AZ43" s="113">
        <v>23</v>
      </c>
      <c r="BA43" s="113">
        <v>0</v>
      </c>
      <c r="BB43" s="113">
        <v>0</v>
      </c>
      <c r="BC43" s="113">
        <v>0</v>
      </c>
      <c r="BD43" s="113">
        <v>0</v>
      </c>
      <c r="BF43" s="113">
        <f t="shared" si="0"/>
        <v>64911</v>
      </c>
      <c r="BG43" s="113">
        <f t="shared" si="1"/>
        <v>668</v>
      </c>
      <c r="BH43" s="113">
        <f t="shared" si="2"/>
        <v>0</v>
      </c>
      <c r="BI43" s="113">
        <f t="shared" si="3"/>
        <v>0</v>
      </c>
    </row>
    <row r="44" spans="1:61">
      <c r="A44" s="102" t="s">
        <v>75</v>
      </c>
      <c r="B44" s="24" t="s">
        <v>468</v>
      </c>
      <c r="C44" s="103" t="s">
        <v>74</v>
      </c>
      <c r="D44" s="113">
        <v>0</v>
      </c>
      <c r="E44" s="113">
        <v>16208</v>
      </c>
      <c r="F44" s="113">
        <v>85</v>
      </c>
      <c r="G44" s="113">
        <v>0</v>
      </c>
      <c r="H44" s="113">
        <v>0</v>
      </c>
      <c r="I44" s="113">
        <v>0</v>
      </c>
      <c r="J44" s="113">
        <v>0</v>
      </c>
      <c r="K44" s="113">
        <v>80</v>
      </c>
      <c r="L44" s="113">
        <v>0</v>
      </c>
      <c r="M44" s="113">
        <v>0</v>
      </c>
      <c r="N44" s="113">
        <v>0</v>
      </c>
      <c r="O44" s="113">
        <v>0</v>
      </c>
      <c r="P44" s="113">
        <v>0</v>
      </c>
      <c r="Q44" s="113">
        <v>0</v>
      </c>
      <c r="R44" s="113">
        <v>0</v>
      </c>
      <c r="S44" s="113">
        <v>0</v>
      </c>
      <c r="T44" s="113">
        <v>0</v>
      </c>
      <c r="U44" s="113">
        <v>0</v>
      </c>
      <c r="V44" s="113">
        <v>0</v>
      </c>
      <c r="W44" s="113">
        <v>0</v>
      </c>
      <c r="X44" s="113">
        <v>0</v>
      </c>
      <c r="Y44" s="113">
        <v>0</v>
      </c>
      <c r="Z44" s="113">
        <v>0</v>
      </c>
      <c r="AA44" s="113">
        <v>0</v>
      </c>
      <c r="AB44" s="113">
        <v>0</v>
      </c>
      <c r="AC44" s="113">
        <v>0</v>
      </c>
      <c r="AD44" s="113">
        <v>0</v>
      </c>
      <c r="AE44" s="113">
        <v>0</v>
      </c>
      <c r="AF44" s="113">
        <v>0</v>
      </c>
      <c r="AG44" s="113">
        <v>0</v>
      </c>
      <c r="AH44" s="113">
        <v>0</v>
      </c>
      <c r="AI44" s="113">
        <v>0</v>
      </c>
      <c r="AJ44" s="113">
        <v>0</v>
      </c>
      <c r="AK44" s="113">
        <v>0</v>
      </c>
      <c r="AL44" s="113">
        <v>0</v>
      </c>
      <c r="AM44" s="113">
        <v>0</v>
      </c>
      <c r="AN44" s="113">
        <v>0</v>
      </c>
      <c r="AO44" s="113">
        <v>0</v>
      </c>
      <c r="AP44" s="113">
        <v>0</v>
      </c>
      <c r="AQ44" s="113">
        <v>0</v>
      </c>
      <c r="AR44" s="113">
        <v>0</v>
      </c>
      <c r="AS44" s="113">
        <v>0</v>
      </c>
      <c r="AT44" s="113">
        <v>0</v>
      </c>
      <c r="AU44" s="113">
        <v>0</v>
      </c>
      <c r="AV44" s="113">
        <v>0</v>
      </c>
      <c r="AW44" s="113">
        <v>0</v>
      </c>
      <c r="AX44" s="113">
        <v>0</v>
      </c>
      <c r="AY44" s="113">
        <v>800</v>
      </c>
      <c r="AZ44" s="113">
        <v>4</v>
      </c>
      <c r="BA44" s="113">
        <v>0</v>
      </c>
      <c r="BB44" s="113">
        <v>0</v>
      </c>
      <c r="BC44" s="113">
        <v>0</v>
      </c>
      <c r="BD44" s="113">
        <v>0</v>
      </c>
      <c r="BF44" s="113">
        <f t="shared" si="0"/>
        <v>16288</v>
      </c>
      <c r="BG44" s="113">
        <f t="shared" si="1"/>
        <v>85</v>
      </c>
      <c r="BH44" s="113">
        <f t="shared" si="2"/>
        <v>0</v>
      </c>
      <c r="BI44" s="113">
        <f t="shared" si="3"/>
        <v>0</v>
      </c>
    </row>
    <row r="45" spans="1:61">
      <c r="A45" s="102" t="s">
        <v>76</v>
      </c>
      <c r="B45" s="24" t="s">
        <v>469</v>
      </c>
      <c r="C45" s="103" t="s">
        <v>77</v>
      </c>
      <c r="D45" s="113">
        <v>0</v>
      </c>
      <c r="E45" s="113">
        <v>3119283</v>
      </c>
      <c r="F45" s="113">
        <v>8854</v>
      </c>
      <c r="G45" s="113">
        <v>0</v>
      </c>
      <c r="H45" s="113">
        <v>0</v>
      </c>
      <c r="I45" s="113">
        <v>0</v>
      </c>
      <c r="J45" s="113">
        <v>0</v>
      </c>
      <c r="K45" s="113">
        <v>1710287</v>
      </c>
      <c r="L45" s="113">
        <v>4844</v>
      </c>
      <c r="M45" s="113">
        <v>0</v>
      </c>
      <c r="N45" s="113">
        <v>0</v>
      </c>
      <c r="O45" s="113">
        <v>0</v>
      </c>
      <c r="P45" s="113">
        <v>0</v>
      </c>
      <c r="Q45" s="113">
        <v>0</v>
      </c>
      <c r="R45" s="113">
        <v>124852</v>
      </c>
      <c r="S45" s="113">
        <v>339</v>
      </c>
      <c r="T45" s="113">
        <v>0</v>
      </c>
      <c r="U45" s="113">
        <v>0</v>
      </c>
      <c r="V45" s="113">
        <v>0</v>
      </c>
      <c r="W45" s="113">
        <v>0</v>
      </c>
      <c r="X45" s="113">
        <v>0</v>
      </c>
      <c r="Y45" s="113">
        <v>0</v>
      </c>
      <c r="Z45" s="113">
        <v>0</v>
      </c>
      <c r="AA45" s="113">
        <v>457285</v>
      </c>
      <c r="AB45" s="113">
        <v>1320</v>
      </c>
      <c r="AC45" s="113">
        <v>0</v>
      </c>
      <c r="AD45" s="113">
        <v>3174208</v>
      </c>
      <c r="AE45" s="113">
        <v>8991</v>
      </c>
      <c r="AF45" s="113">
        <v>0</v>
      </c>
      <c r="AG45" s="113">
        <v>0</v>
      </c>
      <c r="AH45" s="113">
        <v>0</v>
      </c>
      <c r="AI45" s="113">
        <v>0</v>
      </c>
      <c r="AJ45" s="113">
        <v>0</v>
      </c>
      <c r="AK45" s="113">
        <v>0</v>
      </c>
      <c r="AL45" s="113">
        <v>0</v>
      </c>
      <c r="AM45" s="113">
        <v>39472</v>
      </c>
      <c r="AN45" s="113">
        <v>113</v>
      </c>
      <c r="AO45" s="113">
        <v>0</v>
      </c>
      <c r="AP45" s="113">
        <v>0</v>
      </c>
      <c r="AQ45" s="113">
        <v>0</v>
      </c>
      <c r="AR45" s="113">
        <v>0</v>
      </c>
      <c r="AS45" s="113">
        <v>0</v>
      </c>
      <c r="AT45" s="113">
        <v>0</v>
      </c>
      <c r="AU45" s="113">
        <v>0</v>
      </c>
      <c r="AV45" s="113">
        <v>0</v>
      </c>
      <c r="AW45" s="113">
        <v>0</v>
      </c>
      <c r="AX45" s="113">
        <v>0</v>
      </c>
      <c r="AY45" s="113">
        <v>291780</v>
      </c>
      <c r="AZ45" s="113">
        <v>823</v>
      </c>
      <c r="BA45" s="113">
        <v>0</v>
      </c>
      <c r="BB45" s="113">
        <v>64976</v>
      </c>
      <c r="BC45" s="113">
        <v>189</v>
      </c>
      <c r="BD45" s="113">
        <v>0</v>
      </c>
      <c r="BF45" s="113">
        <f t="shared" si="0"/>
        <v>8625387</v>
      </c>
      <c r="BG45" s="113">
        <f t="shared" si="1"/>
        <v>24461</v>
      </c>
      <c r="BH45" s="113">
        <f t="shared" si="2"/>
        <v>0</v>
      </c>
      <c r="BI45" s="113">
        <f t="shared" si="3"/>
        <v>0</v>
      </c>
    </row>
    <row r="46" spans="1:61">
      <c r="A46" s="102" t="s">
        <v>78</v>
      </c>
      <c r="B46" s="24" t="s">
        <v>470</v>
      </c>
      <c r="C46" s="103" t="s">
        <v>77</v>
      </c>
      <c r="D46" s="113">
        <v>0</v>
      </c>
      <c r="E46" s="113">
        <v>221739</v>
      </c>
      <c r="F46" s="113">
        <v>3504</v>
      </c>
      <c r="G46" s="113">
        <v>0</v>
      </c>
      <c r="H46" s="113">
        <v>0</v>
      </c>
      <c r="I46" s="113">
        <v>0</v>
      </c>
      <c r="J46" s="113">
        <v>0</v>
      </c>
      <c r="K46" s="113">
        <v>24</v>
      </c>
      <c r="L46" s="113">
        <v>0</v>
      </c>
      <c r="M46" s="113">
        <v>0</v>
      </c>
      <c r="N46" s="113">
        <v>0</v>
      </c>
      <c r="O46" s="113">
        <v>0</v>
      </c>
      <c r="P46" s="113">
        <v>0</v>
      </c>
      <c r="Q46" s="113">
        <v>0</v>
      </c>
      <c r="R46" s="113">
        <v>0</v>
      </c>
      <c r="S46" s="113">
        <v>0</v>
      </c>
      <c r="T46" s="113">
        <v>0</v>
      </c>
      <c r="U46" s="113">
        <v>18635</v>
      </c>
      <c r="V46" s="113">
        <v>294</v>
      </c>
      <c r="W46" s="113">
        <v>0</v>
      </c>
      <c r="X46" s="113">
        <v>0</v>
      </c>
      <c r="Y46" s="113">
        <v>0</v>
      </c>
      <c r="Z46" s="113">
        <v>0</v>
      </c>
      <c r="AA46" s="113">
        <v>0</v>
      </c>
      <c r="AB46" s="113">
        <v>0</v>
      </c>
      <c r="AC46" s="113">
        <v>0</v>
      </c>
      <c r="AD46" s="113">
        <v>316232</v>
      </c>
      <c r="AE46" s="113">
        <v>5028</v>
      </c>
      <c r="AF46" s="113">
        <v>0</v>
      </c>
      <c r="AG46" s="113">
        <v>0</v>
      </c>
      <c r="AH46" s="113">
        <v>0</v>
      </c>
      <c r="AI46" s="113">
        <v>0</v>
      </c>
      <c r="AJ46" s="113">
        <v>0</v>
      </c>
      <c r="AK46" s="113">
        <v>0</v>
      </c>
      <c r="AL46" s="113">
        <v>0</v>
      </c>
      <c r="AM46" s="113">
        <v>18416</v>
      </c>
      <c r="AN46" s="113">
        <v>291</v>
      </c>
      <c r="AO46" s="113">
        <v>0</v>
      </c>
      <c r="AP46" s="113">
        <v>0</v>
      </c>
      <c r="AQ46" s="113">
        <v>0</v>
      </c>
      <c r="AR46" s="113">
        <v>0</v>
      </c>
      <c r="AS46" s="113">
        <v>0</v>
      </c>
      <c r="AT46" s="113">
        <v>0</v>
      </c>
      <c r="AU46" s="113">
        <v>0</v>
      </c>
      <c r="AV46" s="113">
        <v>0</v>
      </c>
      <c r="AW46" s="113">
        <v>0</v>
      </c>
      <c r="AX46" s="113">
        <v>0</v>
      </c>
      <c r="AY46" s="113">
        <v>28861</v>
      </c>
      <c r="AZ46" s="113">
        <v>424</v>
      </c>
      <c r="BA46" s="113">
        <v>0</v>
      </c>
      <c r="BB46" s="113">
        <v>0</v>
      </c>
      <c r="BC46" s="113">
        <v>0</v>
      </c>
      <c r="BD46" s="113">
        <v>0</v>
      </c>
      <c r="BF46" s="113">
        <f t="shared" si="0"/>
        <v>575046</v>
      </c>
      <c r="BG46" s="113">
        <f t="shared" si="1"/>
        <v>9117</v>
      </c>
      <c r="BH46" s="113">
        <f t="shared" si="2"/>
        <v>0</v>
      </c>
      <c r="BI46" s="113">
        <f t="shared" si="3"/>
        <v>0</v>
      </c>
    </row>
    <row r="47" spans="1:61">
      <c r="A47" s="102" t="s">
        <v>79</v>
      </c>
      <c r="B47" s="24" t="s">
        <v>471</v>
      </c>
      <c r="C47" s="103" t="s">
        <v>77</v>
      </c>
      <c r="D47" s="113">
        <v>0</v>
      </c>
      <c r="E47" s="113">
        <v>385018</v>
      </c>
      <c r="F47" s="113">
        <v>4730</v>
      </c>
      <c r="G47" s="113">
        <v>0</v>
      </c>
      <c r="H47" s="113">
        <v>0</v>
      </c>
      <c r="I47" s="113">
        <v>0</v>
      </c>
      <c r="J47" s="113">
        <v>0</v>
      </c>
      <c r="K47" s="113">
        <v>151295</v>
      </c>
      <c r="L47" s="113">
        <v>1858</v>
      </c>
      <c r="M47" s="113">
        <v>0</v>
      </c>
      <c r="N47" s="113">
        <v>0</v>
      </c>
      <c r="O47" s="113">
        <v>0</v>
      </c>
      <c r="P47" s="113">
        <v>0</v>
      </c>
      <c r="Q47" s="113">
        <v>0</v>
      </c>
      <c r="R47" s="113">
        <v>0</v>
      </c>
      <c r="S47" s="113">
        <v>0</v>
      </c>
      <c r="T47" s="113">
        <v>0</v>
      </c>
      <c r="U47" s="113">
        <v>0</v>
      </c>
      <c r="V47" s="113">
        <v>0</v>
      </c>
      <c r="W47" s="113">
        <v>0</v>
      </c>
      <c r="X47" s="113">
        <v>0</v>
      </c>
      <c r="Y47" s="113">
        <v>0</v>
      </c>
      <c r="Z47" s="113">
        <v>0</v>
      </c>
      <c r="AA47" s="113">
        <v>0</v>
      </c>
      <c r="AB47" s="113">
        <v>0</v>
      </c>
      <c r="AC47" s="113">
        <v>0</v>
      </c>
      <c r="AD47" s="113">
        <v>678269</v>
      </c>
      <c r="AE47" s="113">
        <v>8328</v>
      </c>
      <c r="AF47" s="113">
        <v>0</v>
      </c>
      <c r="AG47" s="113">
        <v>0</v>
      </c>
      <c r="AH47" s="113">
        <v>0</v>
      </c>
      <c r="AI47" s="113">
        <v>0</v>
      </c>
      <c r="AJ47" s="113">
        <v>0</v>
      </c>
      <c r="AK47" s="113">
        <v>0</v>
      </c>
      <c r="AL47" s="113">
        <v>0</v>
      </c>
      <c r="AM47" s="113">
        <v>7777</v>
      </c>
      <c r="AN47" s="113">
        <v>96</v>
      </c>
      <c r="AO47" s="113">
        <v>0</v>
      </c>
      <c r="AP47" s="113">
        <v>0</v>
      </c>
      <c r="AQ47" s="113">
        <v>0</v>
      </c>
      <c r="AR47" s="113">
        <v>0</v>
      </c>
      <c r="AS47" s="113">
        <v>0</v>
      </c>
      <c r="AT47" s="113">
        <v>0</v>
      </c>
      <c r="AU47" s="113">
        <v>0</v>
      </c>
      <c r="AV47" s="113">
        <v>0</v>
      </c>
      <c r="AW47" s="113">
        <v>0</v>
      </c>
      <c r="AX47" s="113">
        <v>0</v>
      </c>
      <c r="AY47" s="113">
        <v>0</v>
      </c>
      <c r="AZ47" s="113">
        <v>0</v>
      </c>
      <c r="BA47" s="113">
        <v>0</v>
      </c>
      <c r="BB47" s="113">
        <v>0</v>
      </c>
      <c r="BC47" s="113">
        <v>0</v>
      </c>
      <c r="BD47" s="113">
        <v>0</v>
      </c>
      <c r="BF47" s="113">
        <f t="shared" si="0"/>
        <v>1222359</v>
      </c>
      <c r="BG47" s="113">
        <f t="shared" si="1"/>
        <v>15012</v>
      </c>
      <c r="BH47" s="113">
        <f t="shared" si="2"/>
        <v>0</v>
      </c>
      <c r="BI47" s="113">
        <f t="shared" si="3"/>
        <v>0</v>
      </c>
    </row>
    <row r="48" spans="1:61">
      <c r="A48" s="102" t="s">
        <v>80</v>
      </c>
      <c r="B48" s="24" t="s">
        <v>472</v>
      </c>
      <c r="C48" s="103" t="s">
        <v>77</v>
      </c>
      <c r="D48" s="113">
        <v>0</v>
      </c>
      <c r="E48" s="113">
        <v>741095</v>
      </c>
      <c r="F48" s="113">
        <v>6066</v>
      </c>
      <c r="G48" s="113">
        <v>0</v>
      </c>
      <c r="H48" s="113">
        <v>0</v>
      </c>
      <c r="I48" s="113">
        <v>0</v>
      </c>
      <c r="J48" s="113">
        <v>0</v>
      </c>
      <c r="K48" s="113">
        <v>164416</v>
      </c>
      <c r="L48" s="113">
        <v>1345</v>
      </c>
      <c r="M48" s="113">
        <v>0</v>
      </c>
      <c r="N48" s="113">
        <v>0</v>
      </c>
      <c r="O48" s="113">
        <v>0</v>
      </c>
      <c r="P48" s="113">
        <v>0</v>
      </c>
      <c r="Q48" s="113">
        <v>0</v>
      </c>
      <c r="R48" s="113">
        <v>0</v>
      </c>
      <c r="S48" s="113">
        <v>0</v>
      </c>
      <c r="T48" s="113">
        <v>0</v>
      </c>
      <c r="U48" s="113">
        <v>0</v>
      </c>
      <c r="V48" s="113">
        <v>0</v>
      </c>
      <c r="W48" s="113">
        <v>0</v>
      </c>
      <c r="X48" s="113">
        <v>0</v>
      </c>
      <c r="Y48" s="113">
        <v>0</v>
      </c>
      <c r="Z48" s="113">
        <v>0</v>
      </c>
      <c r="AA48" s="113">
        <v>102740</v>
      </c>
      <c r="AB48" s="113">
        <v>832</v>
      </c>
      <c r="AC48" s="113">
        <v>0</v>
      </c>
      <c r="AD48" s="113">
        <v>949990</v>
      </c>
      <c r="AE48" s="113">
        <v>7784</v>
      </c>
      <c r="AF48" s="113">
        <v>0</v>
      </c>
      <c r="AG48" s="113">
        <v>0</v>
      </c>
      <c r="AH48" s="113">
        <v>0</v>
      </c>
      <c r="AI48" s="113">
        <v>0</v>
      </c>
      <c r="AJ48" s="113">
        <v>0</v>
      </c>
      <c r="AK48" s="113">
        <v>0</v>
      </c>
      <c r="AL48" s="113">
        <v>0</v>
      </c>
      <c r="AM48" s="113">
        <v>16385</v>
      </c>
      <c r="AN48" s="113">
        <v>135</v>
      </c>
      <c r="AO48" s="113">
        <v>0</v>
      </c>
      <c r="AP48" s="113">
        <v>0</v>
      </c>
      <c r="AQ48" s="113">
        <v>0</v>
      </c>
      <c r="AR48" s="113">
        <v>0</v>
      </c>
      <c r="AS48" s="113">
        <v>0</v>
      </c>
      <c r="AT48" s="113">
        <v>0</v>
      </c>
      <c r="AU48" s="113">
        <v>0</v>
      </c>
      <c r="AV48" s="113">
        <v>0</v>
      </c>
      <c r="AW48" s="113">
        <v>0</v>
      </c>
      <c r="AX48" s="113">
        <v>0</v>
      </c>
      <c r="AY48" s="113">
        <v>0</v>
      </c>
      <c r="AZ48" s="113">
        <v>0</v>
      </c>
      <c r="BA48" s="113">
        <v>0</v>
      </c>
      <c r="BB48" s="113">
        <v>0</v>
      </c>
      <c r="BC48" s="113">
        <v>0</v>
      </c>
      <c r="BD48" s="113">
        <v>0</v>
      </c>
      <c r="BF48" s="113">
        <f t="shared" si="0"/>
        <v>1974626</v>
      </c>
      <c r="BG48" s="113">
        <f t="shared" si="1"/>
        <v>16162</v>
      </c>
      <c r="BH48" s="113">
        <f t="shared" si="2"/>
        <v>0</v>
      </c>
      <c r="BI48" s="113">
        <f t="shared" si="3"/>
        <v>0</v>
      </c>
    </row>
    <row r="49" spans="1:61">
      <c r="A49" s="102" t="s">
        <v>81</v>
      </c>
      <c r="B49" s="24" t="s">
        <v>473</v>
      </c>
      <c r="C49" s="103" t="s">
        <v>77</v>
      </c>
      <c r="D49" s="113">
        <v>0</v>
      </c>
      <c r="E49" s="113">
        <v>3274762</v>
      </c>
      <c r="F49" s="113">
        <v>14734</v>
      </c>
      <c r="G49" s="113">
        <v>0</v>
      </c>
      <c r="H49" s="113">
        <v>0</v>
      </c>
      <c r="I49" s="113">
        <v>0</v>
      </c>
      <c r="J49" s="113">
        <v>0</v>
      </c>
      <c r="K49" s="113">
        <v>812761</v>
      </c>
      <c r="L49" s="113">
        <v>0</v>
      </c>
      <c r="M49" s="113">
        <v>9344</v>
      </c>
      <c r="N49" s="113">
        <v>0</v>
      </c>
      <c r="O49" s="113">
        <v>0</v>
      </c>
      <c r="P49" s="113">
        <v>0</v>
      </c>
      <c r="Q49" s="113">
        <v>0</v>
      </c>
      <c r="R49" s="113">
        <v>0</v>
      </c>
      <c r="S49" s="113">
        <v>0</v>
      </c>
      <c r="T49" s="113">
        <v>0</v>
      </c>
      <c r="U49" s="113">
        <v>0</v>
      </c>
      <c r="V49" s="113">
        <v>0</v>
      </c>
      <c r="W49" s="113">
        <v>0</v>
      </c>
      <c r="X49" s="113">
        <v>0</v>
      </c>
      <c r="Y49" s="113">
        <v>0</v>
      </c>
      <c r="Z49" s="113">
        <v>0</v>
      </c>
      <c r="AA49" s="113">
        <v>995457</v>
      </c>
      <c r="AB49" s="113">
        <v>4471</v>
      </c>
      <c r="AC49" s="113">
        <v>0</v>
      </c>
      <c r="AD49" s="113">
        <v>3093072</v>
      </c>
      <c r="AE49" s="113">
        <v>40401</v>
      </c>
      <c r="AF49" s="113">
        <v>0</v>
      </c>
      <c r="AG49" s="113">
        <v>0</v>
      </c>
      <c r="AH49" s="113">
        <v>0</v>
      </c>
      <c r="AI49" s="113">
        <v>0</v>
      </c>
      <c r="AJ49" s="113">
        <v>0</v>
      </c>
      <c r="AK49" s="113">
        <v>0</v>
      </c>
      <c r="AL49" s="113">
        <v>0</v>
      </c>
      <c r="AM49" s="113">
        <v>66915</v>
      </c>
      <c r="AN49" s="113">
        <v>598</v>
      </c>
      <c r="AO49" s="113">
        <v>0</v>
      </c>
      <c r="AP49" s="113">
        <v>0</v>
      </c>
      <c r="AQ49" s="113">
        <v>0</v>
      </c>
      <c r="AR49" s="113">
        <v>0</v>
      </c>
      <c r="AS49" s="113">
        <v>0</v>
      </c>
      <c r="AT49" s="113">
        <v>0</v>
      </c>
      <c r="AU49" s="113">
        <v>0</v>
      </c>
      <c r="AV49" s="113">
        <v>0</v>
      </c>
      <c r="AW49" s="113">
        <v>0</v>
      </c>
      <c r="AX49" s="113">
        <v>0</v>
      </c>
      <c r="AY49" s="113">
        <v>0</v>
      </c>
      <c r="AZ49" s="113">
        <v>0</v>
      </c>
      <c r="BA49" s="113">
        <v>0</v>
      </c>
      <c r="BB49" s="113">
        <v>0</v>
      </c>
      <c r="BC49" s="113">
        <v>0</v>
      </c>
      <c r="BD49" s="113">
        <v>0</v>
      </c>
      <c r="BF49" s="113">
        <f t="shared" si="0"/>
        <v>8242967</v>
      </c>
      <c r="BG49" s="113">
        <f t="shared" si="1"/>
        <v>60204</v>
      </c>
      <c r="BH49" s="113">
        <f t="shared" si="2"/>
        <v>9344</v>
      </c>
      <c r="BI49" s="113">
        <f t="shared" si="3"/>
        <v>0</v>
      </c>
    </row>
    <row r="50" spans="1:61">
      <c r="A50" s="102" t="s">
        <v>82</v>
      </c>
      <c r="B50" s="24" t="s">
        <v>474</v>
      </c>
      <c r="C50" s="103" t="s">
        <v>83</v>
      </c>
      <c r="D50" s="113">
        <v>4395</v>
      </c>
      <c r="E50" s="113">
        <v>125794</v>
      </c>
      <c r="F50" s="113">
        <v>1501</v>
      </c>
      <c r="G50" s="113">
        <v>51</v>
      </c>
      <c r="H50" s="113">
        <v>0</v>
      </c>
      <c r="I50" s="113">
        <v>0</v>
      </c>
      <c r="J50" s="113">
        <v>0</v>
      </c>
      <c r="K50" s="113">
        <v>16510</v>
      </c>
      <c r="L50" s="113">
        <v>187</v>
      </c>
      <c r="M50" s="113">
        <v>4</v>
      </c>
      <c r="N50" s="113">
        <v>0</v>
      </c>
      <c r="O50" s="113">
        <v>0</v>
      </c>
      <c r="P50" s="113">
        <v>0</v>
      </c>
      <c r="Q50" s="113">
        <v>0</v>
      </c>
      <c r="R50" s="113">
        <v>0</v>
      </c>
      <c r="S50" s="113">
        <v>0</v>
      </c>
      <c r="T50" s="113">
        <v>0</v>
      </c>
      <c r="U50" s="113">
        <v>0</v>
      </c>
      <c r="V50" s="113">
        <v>0</v>
      </c>
      <c r="W50" s="113">
        <v>0</v>
      </c>
      <c r="X50" s="113">
        <v>0</v>
      </c>
      <c r="Y50" s="113">
        <v>0</v>
      </c>
      <c r="Z50" s="113">
        <v>0</v>
      </c>
      <c r="AA50" s="113">
        <v>0</v>
      </c>
      <c r="AB50" s="113">
        <v>0</v>
      </c>
      <c r="AC50" s="113">
        <v>0</v>
      </c>
      <c r="AD50" s="113">
        <v>83974</v>
      </c>
      <c r="AE50" s="113">
        <v>962</v>
      </c>
      <c r="AF50" s="113">
        <v>34</v>
      </c>
      <c r="AG50" s="113">
        <v>0</v>
      </c>
      <c r="AH50" s="113">
        <v>0</v>
      </c>
      <c r="AI50" s="113">
        <v>0</v>
      </c>
      <c r="AJ50" s="113">
        <v>0</v>
      </c>
      <c r="AK50" s="113">
        <v>0</v>
      </c>
      <c r="AL50" s="113">
        <v>0</v>
      </c>
      <c r="AM50" s="113">
        <v>0</v>
      </c>
      <c r="AN50" s="113">
        <v>0</v>
      </c>
      <c r="AO50" s="113">
        <v>0</v>
      </c>
      <c r="AP50" s="113">
        <v>0</v>
      </c>
      <c r="AQ50" s="113">
        <v>0</v>
      </c>
      <c r="AR50" s="113">
        <v>0</v>
      </c>
      <c r="AS50" s="113">
        <v>0</v>
      </c>
      <c r="AT50" s="113">
        <v>0</v>
      </c>
      <c r="AU50" s="113">
        <v>0</v>
      </c>
      <c r="AV50" s="113">
        <v>0</v>
      </c>
      <c r="AW50" s="113">
        <v>0</v>
      </c>
      <c r="AX50" s="113">
        <v>0</v>
      </c>
      <c r="AY50" s="113">
        <v>24604</v>
      </c>
      <c r="AZ50" s="113">
        <v>293</v>
      </c>
      <c r="BA50" s="113">
        <v>10</v>
      </c>
      <c r="BB50" s="113">
        <v>3154</v>
      </c>
      <c r="BC50" s="113">
        <v>38</v>
      </c>
      <c r="BD50" s="113">
        <v>1</v>
      </c>
      <c r="BF50" s="113">
        <f t="shared" si="0"/>
        <v>226278</v>
      </c>
      <c r="BG50" s="113">
        <f t="shared" si="1"/>
        <v>2650</v>
      </c>
      <c r="BH50" s="113">
        <f t="shared" si="2"/>
        <v>4</v>
      </c>
      <c r="BI50" s="113">
        <f t="shared" si="3"/>
        <v>4480</v>
      </c>
    </row>
    <row r="51" spans="1:61">
      <c r="A51" s="102" t="s">
        <v>84</v>
      </c>
      <c r="B51" s="24" t="s">
        <v>475</v>
      </c>
      <c r="C51" s="103" t="s">
        <v>83</v>
      </c>
      <c r="D51" s="113">
        <v>0</v>
      </c>
      <c r="E51" s="113">
        <v>33899</v>
      </c>
      <c r="F51" s="113">
        <v>435</v>
      </c>
      <c r="G51" s="113">
        <v>0</v>
      </c>
      <c r="H51" s="113">
        <v>0</v>
      </c>
      <c r="I51" s="113">
        <v>0</v>
      </c>
      <c r="J51" s="113">
        <v>0</v>
      </c>
      <c r="K51" s="113">
        <v>0</v>
      </c>
      <c r="L51" s="113">
        <v>0</v>
      </c>
      <c r="M51" s="113">
        <v>0</v>
      </c>
      <c r="N51" s="113">
        <v>0</v>
      </c>
      <c r="O51" s="113">
        <v>0</v>
      </c>
      <c r="P51" s="113">
        <v>0</v>
      </c>
      <c r="Q51" s="113">
        <v>0</v>
      </c>
      <c r="R51" s="113">
        <v>0</v>
      </c>
      <c r="S51" s="113">
        <v>0</v>
      </c>
      <c r="T51" s="113">
        <v>0</v>
      </c>
      <c r="U51" s="113">
        <v>0</v>
      </c>
      <c r="V51" s="113">
        <v>0</v>
      </c>
      <c r="W51" s="113">
        <v>0</v>
      </c>
      <c r="X51" s="113">
        <v>0</v>
      </c>
      <c r="Y51" s="113">
        <v>0</v>
      </c>
      <c r="Z51" s="113">
        <v>0</v>
      </c>
      <c r="AA51" s="113">
        <v>0</v>
      </c>
      <c r="AB51" s="113">
        <v>0</v>
      </c>
      <c r="AC51" s="113">
        <v>0</v>
      </c>
      <c r="AD51" s="113">
        <v>12158</v>
      </c>
      <c r="AE51" s="113">
        <v>156</v>
      </c>
      <c r="AF51" s="113">
        <v>0</v>
      </c>
      <c r="AG51" s="113">
        <v>0</v>
      </c>
      <c r="AH51" s="113">
        <v>0</v>
      </c>
      <c r="AI51" s="113">
        <v>0</v>
      </c>
      <c r="AJ51" s="113">
        <v>0</v>
      </c>
      <c r="AK51" s="113">
        <v>0</v>
      </c>
      <c r="AL51" s="113">
        <v>0</v>
      </c>
      <c r="AM51" s="113">
        <v>0</v>
      </c>
      <c r="AN51" s="113">
        <v>0</v>
      </c>
      <c r="AO51" s="113">
        <v>0</v>
      </c>
      <c r="AP51" s="113">
        <v>0</v>
      </c>
      <c r="AQ51" s="113">
        <v>0</v>
      </c>
      <c r="AR51" s="113">
        <v>0</v>
      </c>
      <c r="AS51" s="113">
        <v>0</v>
      </c>
      <c r="AT51" s="113">
        <v>0</v>
      </c>
      <c r="AU51" s="113">
        <v>0</v>
      </c>
      <c r="AV51" s="113">
        <v>0</v>
      </c>
      <c r="AW51" s="113">
        <v>0</v>
      </c>
      <c r="AX51" s="113">
        <v>0</v>
      </c>
      <c r="AY51" s="113">
        <v>0</v>
      </c>
      <c r="AZ51" s="113">
        <v>0</v>
      </c>
      <c r="BA51" s="113">
        <v>0</v>
      </c>
      <c r="BB51" s="113">
        <v>0</v>
      </c>
      <c r="BC51" s="113">
        <v>0</v>
      </c>
      <c r="BD51" s="113">
        <v>0</v>
      </c>
      <c r="BF51" s="113">
        <f t="shared" si="0"/>
        <v>46057</v>
      </c>
      <c r="BG51" s="113">
        <f t="shared" si="1"/>
        <v>591</v>
      </c>
      <c r="BH51" s="113">
        <f t="shared" si="2"/>
        <v>0</v>
      </c>
      <c r="BI51" s="113">
        <f t="shared" si="3"/>
        <v>0</v>
      </c>
    </row>
    <row r="52" spans="1:61">
      <c r="A52" s="102" t="s">
        <v>85</v>
      </c>
      <c r="B52" s="24" t="s">
        <v>476</v>
      </c>
      <c r="C52" s="103" t="s">
        <v>86</v>
      </c>
      <c r="D52" s="113">
        <v>0</v>
      </c>
      <c r="E52" s="113">
        <v>92853</v>
      </c>
      <c r="F52" s="113">
        <v>1267</v>
      </c>
      <c r="G52" s="113">
        <v>0</v>
      </c>
      <c r="H52" s="113">
        <v>0</v>
      </c>
      <c r="I52" s="113">
        <v>0</v>
      </c>
      <c r="J52" s="113">
        <v>0</v>
      </c>
      <c r="K52" s="113">
        <v>11742</v>
      </c>
      <c r="L52" s="113">
        <v>158</v>
      </c>
      <c r="M52" s="113">
        <v>0</v>
      </c>
      <c r="N52" s="113">
        <v>0</v>
      </c>
      <c r="O52" s="113">
        <v>0</v>
      </c>
      <c r="P52" s="113">
        <v>0</v>
      </c>
      <c r="Q52" s="113">
        <v>0</v>
      </c>
      <c r="R52" s="113">
        <v>0</v>
      </c>
      <c r="S52" s="113">
        <v>0</v>
      </c>
      <c r="T52" s="113">
        <v>0</v>
      </c>
      <c r="U52" s="113">
        <v>0</v>
      </c>
      <c r="V52" s="113">
        <v>0</v>
      </c>
      <c r="W52" s="113">
        <v>0</v>
      </c>
      <c r="X52" s="113">
        <v>0</v>
      </c>
      <c r="Y52" s="113">
        <v>0</v>
      </c>
      <c r="Z52" s="113">
        <v>0</v>
      </c>
      <c r="AA52" s="113">
        <v>0</v>
      </c>
      <c r="AB52" s="113">
        <v>0</v>
      </c>
      <c r="AC52" s="113">
        <v>0</v>
      </c>
      <c r="AD52" s="113">
        <v>0</v>
      </c>
      <c r="AE52" s="113">
        <v>0</v>
      </c>
      <c r="AF52" s="113">
        <v>0</v>
      </c>
      <c r="AG52" s="113">
        <v>0</v>
      </c>
      <c r="AH52" s="113">
        <v>0</v>
      </c>
      <c r="AI52" s="113">
        <v>0</v>
      </c>
      <c r="AJ52" s="113">
        <v>0</v>
      </c>
      <c r="AK52" s="113">
        <v>0</v>
      </c>
      <c r="AL52" s="113">
        <v>0</v>
      </c>
      <c r="AM52" s="113">
        <v>0</v>
      </c>
      <c r="AN52" s="113">
        <v>0</v>
      </c>
      <c r="AO52" s="113">
        <v>0</v>
      </c>
      <c r="AP52" s="113">
        <v>0</v>
      </c>
      <c r="AQ52" s="113">
        <v>0</v>
      </c>
      <c r="AR52" s="113">
        <v>0</v>
      </c>
      <c r="AS52" s="113">
        <v>0</v>
      </c>
      <c r="AT52" s="113">
        <v>0</v>
      </c>
      <c r="AU52" s="113">
        <v>0</v>
      </c>
      <c r="AV52" s="113">
        <v>0</v>
      </c>
      <c r="AW52" s="113">
        <v>0</v>
      </c>
      <c r="AX52" s="113">
        <v>0</v>
      </c>
      <c r="AY52" s="113">
        <v>0</v>
      </c>
      <c r="AZ52" s="113">
        <v>0</v>
      </c>
      <c r="BA52" s="113">
        <v>0</v>
      </c>
      <c r="BB52" s="113">
        <v>0</v>
      </c>
      <c r="BC52" s="113">
        <v>0</v>
      </c>
      <c r="BD52" s="113">
        <v>0</v>
      </c>
      <c r="BF52" s="113">
        <f t="shared" si="0"/>
        <v>104595</v>
      </c>
      <c r="BG52" s="113">
        <f t="shared" si="1"/>
        <v>1425</v>
      </c>
      <c r="BH52" s="113">
        <f t="shared" si="2"/>
        <v>0</v>
      </c>
      <c r="BI52" s="113">
        <f t="shared" si="3"/>
        <v>0</v>
      </c>
    </row>
    <row r="53" spans="1:61">
      <c r="A53" s="102" t="s">
        <v>87</v>
      </c>
      <c r="B53" s="24" t="s">
        <v>477</v>
      </c>
      <c r="C53" s="103" t="s">
        <v>86</v>
      </c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F53" s="113">
        <f t="shared" si="0"/>
        <v>0</v>
      </c>
      <c r="BG53" s="113">
        <f t="shared" si="1"/>
        <v>0</v>
      </c>
      <c r="BH53" s="113">
        <f t="shared" si="2"/>
        <v>0</v>
      </c>
      <c r="BI53" s="113">
        <f t="shared" si="3"/>
        <v>0</v>
      </c>
    </row>
    <row r="54" spans="1:61">
      <c r="A54" s="102" t="s">
        <v>88</v>
      </c>
      <c r="B54" s="24" t="s">
        <v>478</v>
      </c>
      <c r="C54" s="103" t="s">
        <v>89</v>
      </c>
      <c r="D54" s="113">
        <v>0</v>
      </c>
      <c r="E54" s="113">
        <v>66906</v>
      </c>
      <c r="F54" s="113">
        <v>1291</v>
      </c>
      <c r="G54" s="113">
        <v>0</v>
      </c>
      <c r="H54" s="113">
        <v>0</v>
      </c>
      <c r="I54" s="113">
        <v>0</v>
      </c>
      <c r="J54" s="113">
        <v>0</v>
      </c>
      <c r="K54" s="113">
        <v>9475</v>
      </c>
      <c r="L54" s="113">
        <v>186</v>
      </c>
      <c r="M54" s="113">
        <v>0</v>
      </c>
      <c r="N54" s="113">
        <v>0</v>
      </c>
      <c r="O54" s="113">
        <v>0</v>
      </c>
      <c r="P54" s="113">
        <v>0</v>
      </c>
      <c r="Q54" s="113">
        <v>0</v>
      </c>
      <c r="R54" s="113">
        <v>0</v>
      </c>
      <c r="S54" s="113">
        <v>0</v>
      </c>
      <c r="T54" s="113">
        <v>0</v>
      </c>
      <c r="U54" s="113">
        <v>0</v>
      </c>
      <c r="V54" s="113">
        <v>0</v>
      </c>
      <c r="W54" s="113">
        <v>0</v>
      </c>
      <c r="X54" s="113">
        <v>0</v>
      </c>
      <c r="Y54" s="113">
        <v>0</v>
      </c>
      <c r="Z54" s="113">
        <v>0</v>
      </c>
      <c r="AA54" s="113">
        <v>0</v>
      </c>
      <c r="AB54" s="113">
        <v>0</v>
      </c>
      <c r="AC54" s="113">
        <v>0</v>
      </c>
      <c r="AD54" s="113">
        <v>8733</v>
      </c>
      <c r="AE54" s="113">
        <v>183</v>
      </c>
      <c r="AF54" s="113">
        <v>0</v>
      </c>
      <c r="AG54" s="113">
        <v>0</v>
      </c>
      <c r="AH54" s="113">
        <v>0</v>
      </c>
      <c r="AI54" s="113">
        <v>0</v>
      </c>
      <c r="AJ54" s="113">
        <v>0</v>
      </c>
      <c r="AK54" s="113">
        <v>0</v>
      </c>
      <c r="AL54" s="113">
        <v>0</v>
      </c>
      <c r="AM54" s="113">
        <v>0</v>
      </c>
      <c r="AN54" s="113">
        <v>0</v>
      </c>
      <c r="AO54" s="113">
        <v>0</v>
      </c>
      <c r="AP54" s="113">
        <v>0</v>
      </c>
      <c r="AQ54" s="113">
        <v>0</v>
      </c>
      <c r="AR54" s="113">
        <v>0</v>
      </c>
      <c r="AS54" s="113">
        <v>0</v>
      </c>
      <c r="AT54" s="113">
        <v>0</v>
      </c>
      <c r="AU54" s="113">
        <v>0</v>
      </c>
      <c r="AV54" s="113">
        <v>0</v>
      </c>
      <c r="AW54" s="113">
        <v>0</v>
      </c>
      <c r="AX54" s="113">
        <v>0</v>
      </c>
      <c r="AY54" s="113">
        <v>0</v>
      </c>
      <c r="AZ54" s="113">
        <v>0</v>
      </c>
      <c r="BA54" s="113">
        <v>0</v>
      </c>
      <c r="BB54" s="113">
        <v>0</v>
      </c>
      <c r="BC54" s="113">
        <v>0</v>
      </c>
      <c r="BD54" s="113">
        <v>0</v>
      </c>
      <c r="BF54" s="113">
        <f t="shared" si="0"/>
        <v>85114</v>
      </c>
      <c r="BG54" s="113">
        <f t="shared" si="1"/>
        <v>1660</v>
      </c>
      <c r="BH54" s="113">
        <f t="shared" si="2"/>
        <v>0</v>
      </c>
      <c r="BI54" s="113">
        <f t="shared" si="3"/>
        <v>0</v>
      </c>
    </row>
    <row r="55" spans="1:61">
      <c r="A55" s="102" t="s">
        <v>90</v>
      </c>
      <c r="B55" s="24" t="s">
        <v>479</v>
      </c>
      <c r="C55" s="103" t="s">
        <v>89</v>
      </c>
      <c r="D55" s="113">
        <v>0</v>
      </c>
      <c r="E55" s="113">
        <v>59143</v>
      </c>
      <c r="F55" s="113">
        <v>5379</v>
      </c>
      <c r="G55" s="113">
        <v>0</v>
      </c>
      <c r="H55" s="113">
        <v>0</v>
      </c>
      <c r="I55" s="113">
        <v>0</v>
      </c>
      <c r="J55" s="113">
        <v>0</v>
      </c>
      <c r="K55" s="113">
        <v>0</v>
      </c>
      <c r="L55" s="113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3">
        <v>0</v>
      </c>
      <c r="T55" s="113">
        <v>0</v>
      </c>
      <c r="U55" s="113">
        <v>0</v>
      </c>
      <c r="V55" s="113">
        <v>0</v>
      </c>
      <c r="W55" s="113">
        <v>0</v>
      </c>
      <c r="X55" s="113">
        <v>0</v>
      </c>
      <c r="Y55" s="113">
        <v>0</v>
      </c>
      <c r="Z55" s="113">
        <v>0</v>
      </c>
      <c r="AA55" s="113">
        <v>0</v>
      </c>
      <c r="AB55" s="113">
        <v>0</v>
      </c>
      <c r="AC55" s="113">
        <v>0</v>
      </c>
      <c r="AD55" s="113">
        <v>26314</v>
      </c>
      <c r="AE55" s="113">
        <v>2243</v>
      </c>
      <c r="AF55" s="113">
        <v>0</v>
      </c>
      <c r="AG55" s="113">
        <v>0</v>
      </c>
      <c r="AH55" s="113">
        <v>0</v>
      </c>
      <c r="AI55" s="113">
        <v>0</v>
      </c>
      <c r="AJ55" s="113">
        <v>0</v>
      </c>
      <c r="AK55" s="113">
        <v>0</v>
      </c>
      <c r="AL55" s="113">
        <v>0</v>
      </c>
      <c r="AM55" s="113">
        <v>0</v>
      </c>
      <c r="AN55" s="113">
        <v>0</v>
      </c>
      <c r="AO55" s="113">
        <v>0</v>
      </c>
      <c r="AP55" s="113">
        <v>0</v>
      </c>
      <c r="AQ55" s="113">
        <v>0</v>
      </c>
      <c r="AR55" s="113">
        <v>0</v>
      </c>
      <c r="AS55" s="113">
        <v>0</v>
      </c>
      <c r="AT55" s="113">
        <v>0</v>
      </c>
      <c r="AU55" s="113">
        <v>0</v>
      </c>
      <c r="AV55" s="113">
        <v>0</v>
      </c>
      <c r="AW55" s="113">
        <v>0</v>
      </c>
      <c r="AX55" s="113">
        <v>0</v>
      </c>
      <c r="AY55" s="113">
        <v>0</v>
      </c>
      <c r="AZ55" s="113">
        <v>0</v>
      </c>
      <c r="BA55" s="113">
        <v>0</v>
      </c>
      <c r="BB55" s="113">
        <v>0</v>
      </c>
      <c r="BC55" s="113">
        <v>0</v>
      </c>
      <c r="BD55" s="113">
        <v>0</v>
      </c>
      <c r="BF55" s="113">
        <f t="shared" si="0"/>
        <v>85457</v>
      </c>
      <c r="BG55" s="113">
        <f t="shared" si="1"/>
        <v>7622</v>
      </c>
      <c r="BH55" s="113">
        <f t="shared" si="2"/>
        <v>0</v>
      </c>
      <c r="BI55" s="113">
        <f t="shared" si="3"/>
        <v>0</v>
      </c>
    </row>
    <row r="56" spans="1:61">
      <c r="A56" s="102" t="s">
        <v>91</v>
      </c>
      <c r="B56" s="24" t="s">
        <v>92</v>
      </c>
      <c r="C56" s="103" t="s">
        <v>92</v>
      </c>
      <c r="D56" s="113">
        <v>0</v>
      </c>
      <c r="E56" s="113">
        <v>20572</v>
      </c>
      <c r="F56" s="113">
        <v>471</v>
      </c>
      <c r="G56" s="113">
        <v>0</v>
      </c>
      <c r="H56" s="113">
        <v>0</v>
      </c>
      <c r="I56" s="113">
        <v>0</v>
      </c>
      <c r="J56" s="113">
        <v>0</v>
      </c>
      <c r="K56" s="113">
        <v>6311</v>
      </c>
      <c r="L56" s="113">
        <v>147</v>
      </c>
      <c r="M56" s="113">
        <v>0</v>
      </c>
      <c r="N56" s="113">
        <v>0</v>
      </c>
      <c r="O56" s="113">
        <v>0</v>
      </c>
      <c r="P56" s="113">
        <v>0</v>
      </c>
      <c r="Q56" s="113">
        <v>0</v>
      </c>
      <c r="R56" s="113">
        <v>0</v>
      </c>
      <c r="S56" s="113">
        <v>0</v>
      </c>
      <c r="T56" s="113">
        <v>0</v>
      </c>
      <c r="U56" s="113">
        <v>0</v>
      </c>
      <c r="V56" s="113">
        <v>0</v>
      </c>
      <c r="W56" s="113">
        <v>0</v>
      </c>
      <c r="X56" s="113">
        <v>0</v>
      </c>
      <c r="Y56" s="113">
        <v>0</v>
      </c>
      <c r="Z56" s="113">
        <v>0</v>
      </c>
      <c r="AA56" s="113">
        <v>0</v>
      </c>
      <c r="AB56" s="113">
        <v>0</v>
      </c>
      <c r="AC56" s="113">
        <v>0</v>
      </c>
      <c r="AD56" s="113">
        <v>18496</v>
      </c>
      <c r="AE56" s="113">
        <v>428</v>
      </c>
      <c r="AF56" s="113">
        <v>0</v>
      </c>
      <c r="AG56" s="113">
        <v>0</v>
      </c>
      <c r="AH56" s="113">
        <v>0</v>
      </c>
      <c r="AI56" s="113">
        <v>0</v>
      </c>
      <c r="AJ56" s="113">
        <v>0</v>
      </c>
      <c r="AK56" s="113">
        <v>0</v>
      </c>
      <c r="AL56" s="113">
        <v>0</v>
      </c>
      <c r="AM56" s="113">
        <v>0</v>
      </c>
      <c r="AN56" s="113">
        <v>0</v>
      </c>
      <c r="AO56" s="113">
        <v>0</v>
      </c>
      <c r="AP56" s="113">
        <v>0</v>
      </c>
      <c r="AQ56" s="113">
        <v>0</v>
      </c>
      <c r="AR56" s="113">
        <v>0</v>
      </c>
      <c r="AS56" s="113">
        <v>0</v>
      </c>
      <c r="AT56" s="113">
        <v>0</v>
      </c>
      <c r="AU56" s="113">
        <v>0</v>
      </c>
      <c r="AV56" s="113">
        <v>0</v>
      </c>
      <c r="AW56" s="113">
        <v>0</v>
      </c>
      <c r="AX56" s="113">
        <v>0</v>
      </c>
      <c r="AY56" s="113">
        <v>0</v>
      </c>
      <c r="AZ56" s="113">
        <v>0</v>
      </c>
      <c r="BA56" s="113">
        <v>0</v>
      </c>
      <c r="BB56" s="113">
        <v>0</v>
      </c>
      <c r="BC56" s="113">
        <v>0</v>
      </c>
      <c r="BD56" s="113">
        <v>0</v>
      </c>
      <c r="BF56" s="113">
        <f t="shared" si="0"/>
        <v>45379</v>
      </c>
      <c r="BG56" s="113">
        <f t="shared" si="1"/>
        <v>1046</v>
      </c>
      <c r="BH56" s="113">
        <f t="shared" si="2"/>
        <v>0</v>
      </c>
      <c r="BI56" s="113">
        <f t="shared" si="3"/>
        <v>0</v>
      </c>
    </row>
    <row r="57" spans="1:61">
      <c r="A57" s="102" t="s">
        <v>93</v>
      </c>
      <c r="B57" s="24" t="s">
        <v>480</v>
      </c>
      <c r="C57" s="103" t="s">
        <v>92</v>
      </c>
      <c r="D57" s="113">
        <v>0</v>
      </c>
      <c r="E57" s="113">
        <v>11097</v>
      </c>
      <c r="F57" s="113">
        <v>130</v>
      </c>
      <c r="G57" s="113">
        <v>0</v>
      </c>
      <c r="H57" s="113">
        <v>0</v>
      </c>
      <c r="I57" s="113">
        <v>0</v>
      </c>
      <c r="J57" s="113">
        <v>0</v>
      </c>
      <c r="K57" s="113">
        <v>3055</v>
      </c>
      <c r="L57" s="113">
        <v>37</v>
      </c>
      <c r="M57" s="113">
        <v>0</v>
      </c>
      <c r="N57" s="113">
        <v>0</v>
      </c>
      <c r="O57" s="113">
        <v>0</v>
      </c>
      <c r="P57" s="113">
        <v>0</v>
      </c>
      <c r="Q57" s="113">
        <v>0</v>
      </c>
      <c r="R57" s="113">
        <v>0</v>
      </c>
      <c r="S57" s="113">
        <v>0</v>
      </c>
      <c r="T57" s="113">
        <v>0</v>
      </c>
      <c r="U57" s="113">
        <v>0</v>
      </c>
      <c r="V57" s="113">
        <v>0</v>
      </c>
      <c r="W57" s="113">
        <v>0</v>
      </c>
      <c r="X57" s="113">
        <v>0</v>
      </c>
      <c r="Y57" s="113">
        <v>0</v>
      </c>
      <c r="Z57" s="113">
        <v>0</v>
      </c>
      <c r="AA57" s="113">
        <v>0</v>
      </c>
      <c r="AB57" s="113">
        <v>0</v>
      </c>
      <c r="AC57" s="113">
        <v>0</v>
      </c>
      <c r="AD57" s="113">
        <v>0</v>
      </c>
      <c r="AE57" s="113">
        <v>0</v>
      </c>
      <c r="AF57" s="113">
        <v>0</v>
      </c>
      <c r="AG57" s="113">
        <v>0</v>
      </c>
      <c r="AH57" s="113">
        <v>0</v>
      </c>
      <c r="AI57" s="113">
        <v>0</v>
      </c>
      <c r="AJ57" s="113">
        <v>0</v>
      </c>
      <c r="AK57" s="113">
        <v>0</v>
      </c>
      <c r="AL57" s="113">
        <v>0</v>
      </c>
      <c r="AM57" s="113">
        <v>0</v>
      </c>
      <c r="AN57" s="113">
        <v>0</v>
      </c>
      <c r="AO57" s="113">
        <v>0</v>
      </c>
      <c r="AP57" s="113">
        <v>0</v>
      </c>
      <c r="AQ57" s="113">
        <v>0</v>
      </c>
      <c r="AR57" s="113">
        <v>0</v>
      </c>
      <c r="AS57" s="113">
        <v>0</v>
      </c>
      <c r="AT57" s="113">
        <v>0</v>
      </c>
      <c r="AU57" s="113">
        <v>0</v>
      </c>
      <c r="AV57" s="113">
        <v>0</v>
      </c>
      <c r="AW57" s="113">
        <v>0</v>
      </c>
      <c r="AX57" s="113">
        <v>0</v>
      </c>
      <c r="AY57" s="113">
        <v>0</v>
      </c>
      <c r="AZ57" s="113">
        <v>0</v>
      </c>
      <c r="BA57" s="113">
        <v>0</v>
      </c>
      <c r="BB57" s="113">
        <v>0</v>
      </c>
      <c r="BC57" s="113">
        <v>0</v>
      </c>
      <c r="BD57" s="113">
        <v>0</v>
      </c>
      <c r="BF57" s="113">
        <f t="shared" si="0"/>
        <v>14152</v>
      </c>
      <c r="BG57" s="113">
        <f t="shared" si="1"/>
        <v>167</v>
      </c>
      <c r="BH57" s="113">
        <f t="shared" si="2"/>
        <v>0</v>
      </c>
      <c r="BI57" s="113">
        <f t="shared" si="3"/>
        <v>0</v>
      </c>
    </row>
    <row r="58" spans="1:61">
      <c r="A58" s="102" t="s">
        <v>94</v>
      </c>
      <c r="B58" s="24" t="s">
        <v>481</v>
      </c>
      <c r="C58" s="103" t="s">
        <v>95</v>
      </c>
      <c r="D58" s="113">
        <v>2379</v>
      </c>
      <c r="E58" s="113">
        <v>52237</v>
      </c>
      <c r="F58" s="113">
        <v>2752</v>
      </c>
      <c r="G58" s="113">
        <v>24</v>
      </c>
      <c r="H58" s="113">
        <v>0</v>
      </c>
      <c r="I58" s="113">
        <v>0</v>
      </c>
      <c r="J58" s="113">
        <v>0</v>
      </c>
      <c r="K58" s="113">
        <v>0</v>
      </c>
      <c r="L58" s="113">
        <v>0</v>
      </c>
      <c r="M58" s="113">
        <v>0</v>
      </c>
      <c r="N58" s="113">
        <v>0</v>
      </c>
      <c r="O58" s="113">
        <v>0</v>
      </c>
      <c r="P58" s="113">
        <v>0</v>
      </c>
      <c r="Q58" s="113">
        <v>0</v>
      </c>
      <c r="R58" s="113">
        <v>0</v>
      </c>
      <c r="S58" s="113">
        <v>0</v>
      </c>
      <c r="T58" s="113">
        <v>0</v>
      </c>
      <c r="U58" s="113">
        <v>0</v>
      </c>
      <c r="V58" s="113">
        <v>0</v>
      </c>
      <c r="W58" s="113">
        <v>0</v>
      </c>
      <c r="X58" s="113">
        <v>0</v>
      </c>
      <c r="Y58" s="113">
        <v>0</v>
      </c>
      <c r="Z58" s="113">
        <v>0</v>
      </c>
      <c r="AA58" s="113">
        <v>0</v>
      </c>
      <c r="AB58" s="113">
        <v>0</v>
      </c>
      <c r="AC58" s="113">
        <v>0</v>
      </c>
      <c r="AD58" s="113">
        <v>20932</v>
      </c>
      <c r="AE58" s="113">
        <v>2226</v>
      </c>
      <c r="AF58" s="113">
        <v>1251</v>
      </c>
      <c r="AG58" s="113">
        <v>0</v>
      </c>
      <c r="AH58" s="113">
        <v>0</v>
      </c>
      <c r="AI58" s="113">
        <v>0</v>
      </c>
      <c r="AJ58" s="113">
        <v>0</v>
      </c>
      <c r="AK58" s="113">
        <v>0</v>
      </c>
      <c r="AL58" s="113">
        <v>0</v>
      </c>
      <c r="AM58" s="113">
        <v>0</v>
      </c>
      <c r="AN58" s="113">
        <v>0</v>
      </c>
      <c r="AO58" s="113">
        <v>0</v>
      </c>
      <c r="AP58" s="113">
        <v>0</v>
      </c>
      <c r="AQ58" s="113">
        <v>0</v>
      </c>
      <c r="AR58" s="113">
        <v>0</v>
      </c>
      <c r="AS58" s="113">
        <v>0</v>
      </c>
      <c r="AT58" s="113">
        <v>0</v>
      </c>
      <c r="AU58" s="113">
        <v>0</v>
      </c>
      <c r="AV58" s="113">
        <v>0</v>
      </c>
      <c r="AW58" s="113">
        <v>0</v>
      </c>
      <c r="AX58" s="113">
        <v>0</v>
      </c>
      <c r="AY58" s="113">
        <v>0</v>
      </c>
      <c r="AZ58" s="113">
        <v>0</v>
      </c>
      <c r="BA58" s="113">
        <v>0</v>
      </c>
      <c r="BB58" s="113">
        <v>0</v>
      </c>
      <c r="BC58" s="113">
        <v>0</v>
      </c>
      <c r="BD58" s="113">
        <v>0</v>
      </c>
      <c r="BF58" s="113">
        <f t="shared" si="0"/>
        <v>73169</v>
      </c>
      <c r="BG58" s="113">
        <f t="shared" si="1"/>
        <v>4978</v>
      </c>
      <c r="BH58" s="113">
        <f t="shared" si="2"/>
        <v>0</v>
      </c>
      <c r="BI58" s="113">
        <f t="shared" si="3"/>
        <v>3654</v>
      </c>
    </row>
    <row r="59" spans="1:61">
      <c r="A59" s="102" t="s">
        <v>96</v>
      </c>
      <c r="B59" s="24" t="s">
        <v>482</v>
      </c>
      <c r="C59" s="103" t="s">
        <v>95</v>
      </c>
      <c r="D59" s="113">
        <v>0</v>
      </c>
      <c r="E59" s="113">
        <v>11834</v>
      </c>
      <c r="F59" s="113">
        <v>718</v>
      </c>
      <c r="G59" s="113">
        <v>2636</v>
      </c>
      <c r="H59" s="113">
        <v>0</v>
      </c>
      <c r="I59" s="113">
        <v>0</v>
      </c>
      <c r="J59" s="113">
        <v>0</v>
      </c>
      <c r="K59" s="113">
        <v>12306</v>
      </c>
      <c r="L59" s="113">
        <v>718</v>
      </c>
      <c r="M59" s="113">
        <v>7</v>
      </c>
      <c r="N59" s="113">
        <v>1834</v>
      </c>
      <c r="O59" s="113">
        <v>0</v>
      </c>
      <c r="P59" s="113">
        <v>0</v>
      </c>
      <c r="Q59" s="113">
        <v>0</v>
      </c>
      <c r="R59" s="113">
        <v>0</v>
      </c>
      <c r="S59" s="113">
        <v>0</v>
      </c>
      <c r="T59" s="113">
        <v>0</v>
      </c>
      <c r="U59" s="113">
        <v>0</v>
      </c>
      <c r="V59" s="113">
        <v>0</v>
      </c>
      <c r="W59" s="113">
        <v>0</v>
      </c>
      <c r="X59" s="113">
        <v>0</v>
      </c>
      <c r="Y59" s="113">
        <v>0</v>
      </c>
      <c r="Z59" s="113">
        <v>0</v>
      </c>
      <c r="AA59" s="113">
        <v>0</v>
      </c>
      <c r="AB59" s="113">
        <v>0</v>
      </c>
      <c r="AC59" s="113">
        <v>0</v>
      </c>
      <c r="AD59" s="113">
        <v>0</v>
      </c>
      <c r="AE59" s="113">
        <v>0</v>
      </c>
      <c r="AF59" s="113">
        <v>0</v>
      </c>
      <c r="AG59" s="113">
        <v>0</v>
      </c>
      <c r="AH59" s="113">
        <v>0</v>
      </c>
      <c r="AI59" s="113">
        <v>0</v>
      </c>
      <c r="AJ59" s="113">
        <v>0</v>
      </c>
      <c r="AK59" s="113">
        <v>0</v>
      </c>
      <c r="AL59" s="113">
        <v>0</v>
      </c>
      <c r="AM59" s="113">
        <v>0</v>
      </c>
      <c r="AN59" s="113">
        <v>0</v>
      </c>
      <c r="AO59" s="113">
        <v>0</v>
      </c>
      <c r="AP59" s="113">
        <v>0</v>
      </c>
      <c r="AQ59" s="113">
        <v>0</v>
      </c>
      <c r="AR59" s="113">
        <v>0</v>
      </c>
      <c r="AS59" s="113">
        <v>0</v>
      </c>
      <c r="AT59" s="113">
        <v>0</v>
      </c>
      <c r="AU59" s="113">
        <v>0</v>
      </c>
      <c r="AV59" s="113">
        <v>0</v>
      </c>
      <c r="AW59" s="113">
        <v>0</v>
      </c>
      <c r="AX59" s="113">
        <v>0</v>
      </c>
      <c r="AY59" s="113">
        <v>4469</v>
      </c>
      <c r="AZ59" s="113">
        <v>265</v>
      </c>
      <c r="BA59" s="113">
        <v>689</v>
      </c>
      <c r="BB59" s="113">
        <v>549</v>
      </c>
      <c r="BC59" s="113">
        <v>32</v>
      </c>
      <c r="BD59" s="113">
        <v>77</v>
      </c>
      <c r="BF59" s="113">
        <f t="shared" si="0"/>
        <v>24140</v>
      </c>
      <c r="BG59" s="113">
        <f t="shared" si="1"/>
        <v>1436</v>
      </c>
      <c r="BH59" s="113">
        <f t="shared" si="2"/>
        <v>7</v>
      </c>
      <c r="BI59" s="113">
        <f t="shared" si="3"/>
        <v>4470</v>
      </c>
    </row>
    <row r="60" spans="1:61">
      <c r="A60" s="102" t="s">
        <v>97</v>
      </c>
      <c r="B60" s="24" t="s">
        <v>483</v>
      </c>
      <c r="C60" s="103" t="s">
        <v>95</v>
      </c>
      <c r="D60" s="113">
        <v>0</v>
      </c>
      <c r="E60" s="113">
        <v>23300</v>
      </c>
      <c r="F60" s="113">
        <v>757</v>
      </c>
      <c r="G60" s="113">
        <v>0</v>
      </c>
      <c r="H60" s="113">
        <v>0</v>
      </c>
      <c r="I60" s="113">
        <v>0</v>
      </c>
      <c r="J60" s="113">
        <v>0</v>
      </c>
      <c r="K60" s="113">
        <v>4305</v>
      </c>
      <c r="L60" s="113">
        <v>140</v>
      </c>
      <c r="M60" s="113">
        <v>0</v>
      </c>
      <c r="N60" s="113">
        <v>0</v>
      </c>
      <c r="O60" s="113">
        <v>0</v>
      </c>
      <c r="P60" s="113">
        <v>0</v>
      </c>
      <c r="Q60" s="113">
        <v>0</v>
      </c>
      <c r="R60" s="113">
        <v>0</v>
      </c>
      <c r="S60" s="113">
        <v>0</v>
      </c>
      <c r="T60" s="113">
        <v>0</v>
      </c>
      <c r="U60" s="113">
        <v>0</v>
      </c>
      <c r="V60" s="113">
        <v>0</v>
      </c>
      <c r="W60" s="113">
        <v>0</v>
      </c>
      <c r="X60" s="113">
        <v>0</v>
      </c>
      <c r="Y60" s="113">
        <v>0</v>
      </c>
      <c r="Z60" s="113">
        <v>0</v>
      </c>
      <c r="AA60" s="113">
        <v>0</v>
      </c>
      <c r="AB60" s="113">
        <v>0</v>
      </c>
      <c r="AC60" s="113">
        <v>0</v>
      </c>
      <c r="AD60" s="113">
        <v>0</v>
      </c>
      <c r="AE60" s="113">
        <v>0</v>
      </c>
      <c r="AF60" s="113">
        <v>0</v>
      </c>
      <c r="AG60" s="113">
        <v>0</v>
      </c>
      <c r="AH60" s="113">
        <v>0</v>
      </c>
      <c r="AI60" s="113">
        <v>0</v>
      </c>
      <c r="AJ60" s="113">
        <v>0</v>
      </c>
      <c r="AK60" s="113">
        <v>0</v>
      </c>
      <c r="AL60" s="113">
        <v>0</v>
      </c>
      <c r="AM60" s="113">
        <v>0</v>
      </c>
      <c r="AN60" s="113">
        <v>0</v>
      </c>
      <c r="AO60" s="113">
        <v>0</v>
      </c>
      <c r="AP60" s="113">
        <v>0</v>
      </c>
      <c r="AQ60" s="113">
        <v>0</v>
      </c>
      <c r="AR60" s="113">
        <v>0</v>
      </c>
      <c r="AS60" s="113">
        <v>0</v>
      </c>
      <c r="AT60" s="113">
        <v>0</v>
      </c>
      <c r="AU60" s="113">
        <v>0</v>
      </c>
      <c r="AV60" s="113">
        <v>0</v>
      </c>
      <c r="AW60" s="113">
        <v>0</v>
      </c>
      <c r="AX60" s="113">
        <v>0</v>
      </c>
      <c r="AY60" s="113">
        <v>0</v>
      </c>
      <c r="AZ60" s="113">
        <v>0</v>
      </c>
      <c r="BA60" s="113">
        <v>0</v>
      </c>
      <c r="BB60" s="113">
        <v>0</v>
      </c>
      <c r="BC60" s="113">
        <v>0</v>
      </c>
      <c r="BD60" s="113">
        <v>0</v>
      </c>
      <c r="BF60" s="113">
        <f t="shared" si="0"/>
        <v>27605</v>
      </c>
      <c r="BG60" s="113">
        <f t="shared" si="1"/>
        <v>897</v>
      </c>
      <c r="BH60" s="113">
        <f t="shared" si="2"/>
        <v>0</v>
      </c>
      <c r="BI60" s="113">
        <f t="shared" si="3"/>
        <v>0</v>
      </c>
    </row>
    <row r="61" spans="1:61">
      <c r="A61" s="102" t="s">
        <v>98</v>
      </c>
      <c r="B61" s="24" t="s">
        <v>484</v>
      </c>
      <c r="C61" s="103" t="s">
        <v>99</v>
      </c>
      <c r="D61" s="113">
        <v>0</v>
      </c>
      <c r="E61" s="113">
        <v>93842</v>
      </c>
      <c r="F61" s="113">
        <v>1147</v>
      </c>
      <c r="G61" s="113">
        <v>0</v>
      </c>
      <c r="H61" s="113">
        <v>0</v>
      </c>
      <c r="I61" s="113">
        <v>0</v>
      </c>
      <c r="J61" s="113">
        <v>0</v>
      </c>
      <c r="K61" s="113">
        <v>0</v>
      </c>
      <c r="L61" s="113">
        <v>0</v>
      </c>
      <c r="M61" s="113">
        <v>0</v>
      </c>
      <c r="N61" s="113">
        <v>0</v>
      </c>
      <c r="O61" s="113">
        <v>0</v>
      </c>
      <c r="P61" s="113">
        <v>0</v>
      </c>
      <c r="Q61" s="113">
        <v>0</v>
      </c>
      <c r="R61" s="113">
        <v>0</v>
      </c>
      <c r="S61" s="113">
        <v>0</v>
      </c>
      <c r="T61" s="113">
        <v>0</v>
      </c>
      <c r="U61" s="113">
        <v>0</v>
      </c>
      <c r="V61" s="113">
        <v>0</v>
      </c>
      <c r="W61" s="113">
        <v>0</v>
      </c>
      <c r="X61" s="113">
        <v>0</v>
      </c>
      <c r="Y61" s="113">
        <v>0</v>
      </c>
      <c r="Z61" s="113">
        <v>0</v>
      </c>
      <c r="AA61" s="113">
        <v>0</v>
      </c>
      <c r="AB61" s="113">
        <v>0</v>
      </c>
      <c r="AC61" s="113">
        <v>0</v>
      </c>
      <c r="AD61" s="113">
        <v>50053</v>
      </c>
      <c r="AE61" s="113">
        <v>599</v>
      </c>
      <c r="AF61" s="113">
        <v>0</v>
      </c>
      <c r="AG61" s="113">
        <v>0</v>
      </c>
      <c r="AH61" s="113">
        <v>0</v>
      </c>
      <c r="AI61" s="113">
        <v>0</v>
      </c>
      <c r="AJ61" s="113">
        <v>0</v>
      </c>
      <c r="AK61" s="113">
        <v>0</v>
      </c>
      <c r="AL61" s="113">
        <v>0</v>
      </c>
      <c r="AM61" s="113">
        <v>0</v>
      </c>
      <c r="AN61" s="113">
        <v>0</v>
      </c>
      <c r="AO61" s="113">
        <v>0</v>
      </c>
      <c r="AP61" s="113">
        <v>0</v>
      </c>
      <c r="AQ61" s="113">
        <v>0</v>
      </c>
      <c r="AR61" s="113">
        <v>0</v>
      </c>
      <c r="AS61" s="113">
        <v>0</v>
      </c>
      <c r="AT61" s="113">
        <v>0</v>
      </c>
      <c r="AU61" s="113">
        <v>0</v>
      </c>
      <c r="AV61" s="113">
        <v>0</v>
      </c>
      <c r="AW61" s="113">
        <v>0</v>
      </c>
      <c r="AX61" s="113">
        <v>0</v>
      </c>
      <c r="AY61" s="113">
        <v>0</v>
      </c>
      <c r="AZ61" s="113">
        <v>0</v>
      </c>
      <c r="BA61" s="113">
        <v>0</v>
      </c>
      <c r="BB61" s="113">
        <v>0</v>
      </c>
      <c r="BC61" s="113">
        <v>0</v>
      </c>
      <c r="BD61" s="113">
        <v>0</v>
      </c>
      <c r="BF61" s="113">
        <f t="shared" si="0"/>
        <v>143895</v>
      </c>
      <c r="BG61" s="113">
        <f t="shared" si="1"/>
        <v>1746</v>
      </c>
      <c r="BH61" s="113">
        <f t="shared" si="2"/>
        <v>0</v>
      </c>
      <c r="BI61" s="113">
        <f t="shared" si="3"/>
        <v>0</v>
      </c>
    </row>
    <row r="62" spans="1:61">
      <c r="A62" s="102" t="s">
        <v>100</v>
      </c>
      <c r="B62" s="24" t="s">
        <v>306</v>
      </c>
      <c r="C62" s="103" t="s">
        <v>99</v>
      </c>
      <c r="D62" s="113">
        <v>0</v>
      </c>
      <c r="E62" s="113">
        <v>99875</v>
      </c>
      <c r="F62" s="113">
        <v>2220</v>
      </c>
      <c r="G62" s="113">
        <v>0</v>
      </c>
      <c r="H62" s="113">
        <v>0</v>
      </c>
      <c r="I62" s="113">
        <v>0</v>
      </c>
      <c r="J62" s="113">
        <v>0</v>
      </c>
      <c r="K62" s="113">
        <v>0</v>
      </c>
      <c r="L62" s="113">
        <v>0</v>
      </c>
      <c r="M62" s="113">
        <v>0</v>
      </c>
      <c r="N62" s="113">
        <v>0</v>
      </c>
      <c r="O62" s="113">
        <v>0</v>
      </c>
      <c r="P62" s="113">
        <v>0</v>
      </c>
      <c r="Q62" s="113">
        <v>0</v>
      </c>
      <c r="R62" s="113">
        <v>0</v>
      </c>
      <c r="S62" s="113">
        <v>0</v>
      </c>
      <c r="T62" s="113">
        <v>0</v>
      </c>
      <c r="U62" s="113">
        <v>0</v>
      </c>
      <c r="V62" s="113">
        <v>0</v>
      </c>
      <c r="W62" s="113">
        <v>0</v>
      </c>
      <c r="X62" s="113">
        <v>0</v>
      </c>
      <c r="Y62" s="113">
        <v>0</v>
      </c>
      <c r="Z62" s="113">
        <v>0</v>
      </c>
      <c r="AA62" s="113">
        <v>0</v>
      </c>
      <c r="AB62" s="113">
        <v>0</v>
      </c>
      <c r="AC62" s="113">
        <v>0</v>
      </c>
      <c r="AD62" s="113">
        <v>0</v>
      </c>
      <c r="AE62" s="113">
        <v>0</v>
      </c>
      <c r="AF62" s="113">
        <v>0</v>
      </c>
      <c r="AG62" s="113">
        <v>0</v>
      </c>
      <c r="AH62" s="113">
        <v>0</v>
      </c>
      <c r="AI62" s="113">
        <v>0</v>
      </c>
      <c r="AJ62" s="113">
        <v>0</v>
      </c>
      <c r="AK62" s="113">
        <v>0</v>
      </c>
      <c r="AL62" s="113">
        <v>0</v>
      </c>
      <c r="AM62" s="113">
        <v>0</v>
      </c>
      <c r="AN62" s="113">
        <v>0</v>
      </c>
      <c r="AO62" s="113">
        <v>0</v>
      </c>
      <c r="AP62" s="113">
        <v>0</v>
      </c>
      <c r="AQ62" s="113">
        <v>0</v>
      </c>
      <c r="AR62" s="113">
        <v>0</v>
      </c>
      <c r="AS62" s="113">
        <v>0</v>
      </c>
      <c r="AT62" s="113">
        <v>0</v>
      </c>
      <c r="AU62" s="113">
        <v>0</v>
      </c>
      <c r="AV62" s="113">
        <v>0</v>
      </c>
      <c r="AW62" s="113">
        <v>0</v>
      </c>
      <c r="AX62" s="113">
        <v>0</v>
      </c>
      <c r="AY62" s="113">
        <v>0</v>
      </c>
      <c r="AZ62" s="113">
        <v>0</v>
      </c>
      <c r="BA62" s="113">
        <v>0</v>
      </c>
      <c r="BB62" s="113">
        <v>0</v>
      </c>
      <c r="BC62" s="113">
        <v>0</v>
      </c>
      <c r="BD62" s="113">
        <v>0</v>
      </c>
      <c r="BF62" s="113">
        <f t="shared" si="0"/>
        <v>99875</v>
      </c>
      <c r="BG62" s="113">
        <f t="shared" si="1"/>
        <v>2220</v>
      </c>
      <c r="BH62" s="113">
        <f t="shared" si="2"/>
        <v>0</v>
      </c>
      <c r="BI62" s="113">
        <f t="shared" si="3"/>
        <v>0</v>
      </c>
    </row>
    <row r="63" spans="1:61">
      <c r="A63" s="102" t="s">
        <v>101</v>
      </c>
      <c r="B63" s="24" t="s">
        <v>485</v>
      </c>
      <c r="C63" s="103" t="s">
        <v>99</v>
      </c>
      <c r="D63" s="113">
        <v>0</v>
      </c>
      <c r="E63" s="113">
        <v>103025</v>
      </c>
      <c r="F63" s="113">
        <v>1310</v>
      </c>
      <c r="G63" s="113">
        <v>0</v>
      </c>
      <c r="H63" s="113">
        <v>0</v>
      </c>
      <c r="I63" s="113">
        <v>0</v>
      </c>
      <c r="J63" s="113">
        <v>0</v>
      </c>
      <c r="K63" s="113">
        <v>28417</v>
      </c>
      <c r="L63" s="113">
        <v>361</v>
      </c>
      <c r="M63" s="113">
        <v>0</v>
      </c>
      <c r="N63" s="113">
        <v>0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  <c r="Z63" s="113">
        <v>0</v>
      </c>
      <c r="AA63" s="113">
        <v>0</v>
      </c>
      <c r="AB63" s="113">
        <v>0</v>
      </c>
      <c r="AC63" s="113">
        <v>0</v>
      </c>
      <c r="AD63" s="113">
        <v>34300</v>
      </c>
      <c r="AE63" s="113">
        <v>434</v>
      </c>
      <c r="AF63" s="113">
        <v>0</v>
      </c>
      <c r="AG63" s="113">
        <v>0</v>
      </c>
      <c r="AH63" s="113">
        <v>0</v>
      </c>
      <c r="AI63" s="113">
        <v>0</v>
      </c>
      <c r="AJ63" s="113">
        <v>0</v>
      </c>
      <c r="AK63" s="113">
        <v>0</v>
      </c>
      <c r="AL63" s="113">
        <v>0</v>
      </c>
      <c r="AM63" s="113">
        <v>0</v>
      </c>
      <c r="AN63" s="113">
        <v>0</v>
      </c>
      <c r="AO63" s="113">
        <v>0</v>
      </c>
      <c r="AP63" s="113">
        <v>0</v>
      </c>
      <c r="AQ63" s="113">
        <v>0</v>
      </c>
      <c r="AR63" s="113">
        <v>0</v>
      </c>
      <c r="AS63" s="113">
        <v>0</v>
      </c>
      <c r="AT63" s="113">
        <v>0</v>
      </c>
      <c r="AU63" s="113">
        <v>0</v>
      </c>
      <c r="AV63" s="113">
        <v>0</v>
      </c>
      <c r="AW63" s="113">
        <v>0</v>
      </c>
      <c r="AX63" s="113">
        <v>0</v>
      </c>
      <c r="AY63" s="113">
        <v>7095</v>
      </c>
      <c r="AZ63" s="113">
        <v>91</v>
      </c>
      <c r="BA63" s="113">
        <v>0</v>
      </c>
      <c r="BB63" s="113">
        <v>0</v>
      </c>
      <c r="BC63" s="113">
        <v>0</v>
      </c>
      <c r="BD63" s="113">
        <v>0</v>
      </c>
      <c r="BF63" s="113">
        <f t="shared" si="0"/>
        <v>165742</v>
      </c>
      <c r="BG63" s="113">
        <f t="shared" si="1"/>
        <v>2105</v>
      </c>
      <c r="BH63" s="113">
        <f t="shared" si="2"/>
        <v>0</v>
      </c>
      <c r="BI63" s="113">
        <f t="shared" si="3"/>
        <v>0</v>
      </c>
    </row>
    <row r="64" spans="1:61">
      <c r="A64" s="102" t="s">
        <v>102</v>
      </c>
      <c r="B64" s="24" t="s">
        <v>486</v>
      </c>
      <c r="C64" s="103" t="s">
        <v>99</v>
      </c>
      <c r="D64" s="113">
        <v>0</v>
      </c>
      <c r="E64" s="113">
        <v>50686</v>
      </c>
      <c r="F64" s="113">
        <v>0</v>
      </c>
      <c r="G64" s="113">
        <v>0</v>
      </c>
      <c r="H64" s="113">
        <v>0</v>
      </c>
      <c r="I64" s="113">
        <v>0</v>
      </c>
      <c r="J64" s="113">
        <v>0</v>
      </c>
      <c r="K64" s="113">
        <v>0</v>
      </c>
      <c r="L64" s="113">
        <v>0</v>
      </c>
      <c r="M64" s="113">
        <v>0</v>
      </c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13">
        <v>0</v>
      </c>
      <c r="T64" s="113">
        <v>0</v>
      </c>
      <c r="U64" s="113">
        <v>0</v>
      </c>
      <c r="V64" s="113">
        <v>0</v>
      </c>
      <c r="W64" s="113">
        <v>0</v>
      </c>
      <c r="X64" s="113">
        <v>0</v>
      </c>
      <c r="Y64" s="113">
        <v>0</v>
      </c>
      <c r="Z64" s="113">
        <v>0</v>
      </c>
      <c r="AA64" s="113">
        <v>0</v>
      </c>
      <c r="AB64" s="113">
        <v>0</v>
      </c>
      <c r="AC64" s="113">
        <v>0</v>
      </c>
      <c r="AD64" s="113">
        <v>41111</v>
      </c>
      <c r="AE64" s="113">
        <v>0</v>
      </c>
      <c r="AF64" s="113">
        <v>0</v>
      </c>
      <c r="AG64" s="113">
        <v>0</v>
      </c>
      <c r="AH64" s="113">
        <v>0</v>
      </c>
      <c r="AI64" s="113">
        <v>0</v>
      </c>
      <c r="AJ64" s="113">
        <v>0</v>
      </c>
      <c r="AK64" s="113">
        <v>0</v>
      </c>
      <c r="AL64" s="113">
        <v>0</v>
      </c>
      <c r="AM64" s="113">
        <v>0</v>
      </c>
      <c r="AN64" s="113">
        <v>0</v>
      </c>
      <c r="AO64" s="113">
        <v>0</v>
      </c>
      <c r="AP64" s="113">
        <v>0</v>
      </c>
      <c r="AQ64" s="113">
        <v>0</v>
      </c>
      <c r="AR64" s="113">
        <v>0</v>
      </c>
      <c r="AS64" s="113">
        <v>0</v>
      </c>
      <c r="AT64" s="113">
        <v>0</v>
      </c>
      <c r="AU64" s="113">
        <v>0</v>
      </c>
      <c r="AV64" s="113">
        <v>0</v>
      </c>
      <c r="AW64" s="113">
        <v>0</v>
      </c>
      <c r="AX64" s="113">
        <v>0</v>
      </c>
      <c r="AY64" s="113">
        <v>9938</v>
      </c>
      <c r="AZ64" s="113">
        <v>0</v>
      </c>
      <c r="BA64" s="113">
        <v>0</v>
      </c>
      <c r="BB64" s="113">
        <v>0</v>
      </c>
      <c r="BC64" s="113">
        <v>0</v>
      </c>
      <c r="BD64" s="113">
        <v>0</v>
      </c>
      <c r="BF64" s="113">
        <f t="shared" si="0"/>
        <v>91797</v>
      </c>
      <c r="BG64" s="113">
        <f t="shared" si="1"/>
        <v>0</v>
      </c>
      <c r="BH64" s="113">
        <f t="shared" si="2"/>
        <v>0</v>
      </c>
      <c r="BI64" s="113">
        <f t="shared" si="3"/>
        <v>0</v>
      </c>
    </row>
    <row r="65" spans="1:61">
      <c r="A65" s="102" t="s">
        <v>103</v>
      </c>
      <c r="B65" s="24" t="s">
        <v>487</v>
      </c>
      <c r="C65" s="103" t="s">
        <v>99</v>
      </c>
      <c r="D65" s="113">
        <v>0</v>
      </c>
      <c r="E65" s="113">
        <v>315424</v>
      </c>
      <c r="F65" s="113">
        <v>2212</v>
      </c>
      <c r="G65" s="113">
        <v>0</v>
      </c>
      <c r="H65" s="113">
        <v>0</v>
      </c>
      <c r="I65" s="113">
        <v>0</v>
      </c>
      <c r="J65" s="113">
        <v>0</v>
      </c>
      <c r="K65" s="113">
        <v>84895</v>
      </c>
      <c r="L65" s="113">
        <v>594</v>
      </c>
      <c r="M65" s="113">
        <v>0</v>
      </c>
      <c r="N65" s="113">
        <v>0</v>
      </c>
      <c r="O65" s="113">
        <v>0</v>
      </c>
      <c r="P65" s="113">
        <v>0</v>
      </c>
      <c r="Q65" s="113">
        <v>0</v>
      </c>
      <c r="R65" s="113">
        <v>0</v>
      </c>
      <c r="S65" s="113">
        <v>0</v>
      </c>
      <c r="T65" s="113">
        <v>0</v>
      </c>
      <c r="U65" s="113">
        <v>0</v>
      </c>
      <c r="V65" s="113">
        <v>0</v>
      </c>
      <c r="W65" s="113">
        <v>0</v>
      </c>
      <c r="X65" s="113">
        <v>0</v>
      </c>
      <c r="Y65" s="113">
        <v>0</v>
      </c>
      <c r="Z65" s="113">
        <v>0</v>
      </c>
      <c r="AA65" s="113">
        <v>0</v>
      </c>
      <c r="AB65" s="113">
        <v>0</v>
      </c>
      <c r="AC65" s="113">
        <v>0</v>
      </c>
      <c r="AD65" s="113">
        <v>144323</v>
      </c>
      <c r="AE65" s="113">
        <v>1011</v>
      </c>
      <c r="AF65" s="113">
        <v>0</v>
      </c>
      <c r="AG65" s="113">
        <v>0</v>
      </c>
      <c r="AH65" s="113">
        <v>0</v>
      </c>
      <c r="AI65" s="113">
        <v>0</v>
      </c>
      <c r="AJ65" s="113">
        <v>0</v>
      </c>
      <c r="AK65" s="113">
        <v>0</v>
      </c>
      <c r="AL65" s="113">
        <v>0</v>
      </c>
      <c r="AM65" s="113">
        <v>0</v>
      </c>
      <c r="AN65" s="113">
        <v>0</v>
      </c>
      <c r="AO65" s="113">
        <v>0</v>
      </c>
      <c r="AP65" s="113">
        <v>0</v>
      </c>
      <c r="AQ65" s="113">
        <v>0</v>
      </c>
      <c r="AR65" s="113">
        <v>0</v>
      </c>
      <c r="AS65" s="113">
        <v>0</v>
      </c>
      <c r="AT65" s="113">
        <v>0</v>
      </c>
      <c r="AU65" s="113">
        <v>0</v>
      </c>
      <c r="AV65" s="113">
        <v>0</v>
      </c>
      <c r="AW65" s="113">
        <v>0</v>
      </c>
      <c r="AX65" s="113">
        <v>0</v>
      </c>
      <c r="AY65" s="113">
        <v>0</v>
      </c>
      <c r="AZ65" s="113">
        <v>0</v>
      </c>
      <c r="BA65" s="113">
        <v>0</v>
      </c>
      <c r="BB65" s="113">
        <v>0</v>
      </c>
      <c r="BC65" s="113">
        <v>0</v>
      </c>
      <c r="BD65" s="113">
        <v>0</v>
      </c>
      <c r="BF65" s="113">
        <f t="shared" si="0"/>
        <v>544642</v>
      </c>
      <c r="BG65" s="113">
        <f t="shared" si="1"/>
        <v>3817</v>
      </c>
      <c r="BH65" s="113">
        <f t="shared" si="2"/>
        <v>0</v>
      </c>
      <c r="BI65" s="113">
        <f t="shared" si="3"/>
        <v>0</v>
      </c>
    </row>
    <row r="66" spans="1:61">
      <c r="A66" s="102" t="s">
        <v>104</v>
      </c>
      <c r="B66" s="24" t="s">
        <v>488</v>
      </c>
      <c r="C66" s="103" t="s">
        <v>105</v>
      </c>
      <c r="D66" s="113">
        <v>0</v>
      </c>
      <c r="E66" s="113">
        <v>47299</v>
      </c>
      <c r="F66" s="113">
        <v>0</v>
      </c>
      <c r="G66" s="113">
        <v>0</v>
      </c>
      <c r="H66" s="113">
        <v>0</v>
      </c>
      <c r="I66" s="113">
        <v>0</v>
      </c>
      <c r="J66" s="113">
        <v>0</v>
      </c>
      <c r="K66" s="113">
        <v>11811</v>
      </c>
      <c r="L66" s="113">
        <v>0</v>
      </c>
      <c r="M66" s="113">
        <v>0</v>
      </c>
      <c r="N66" s="113">
        <v>0</v>
      </c>
      <c r="O66" s="113">
        <v>0</v>
      </c>
      <c r="P66" s="113">
        <v>0</v>
      </c>
      <c r="Q66" s="113">
        <v>0</v>
      </c>
      <c r="R66" s="113">
        <v>0</v>
      </c>
      <c r="S66" s="113">
        <v>0</v>
      </c>
      <c r="T66" s="113">
        <v>0</v>
      </c>
      <c r="U66" s="113">
        <v>0</v>
      </c>
      <c r="V66" s="113">
        <v>0</v>
      </c>
      <c r="W66" s="113">
        <v>0</v>
      </c>
      <c r="X66" s="113">
        <v>0</v>
      </c>
      <c r="Y66" s="113">
        <v>0</v>
      </c>
      <c r="Z66" s="113">
        <v>0</v>
      </c>
      <c r="AA66" s="113">
        <v>0</v>
      </c>
      <c r="AB66" s="113">
        <v>0</v>
      </c>
      <c r="AC66" s="113">
        <v>0</v>
      </c>
      <c r="AD66" s="113">
        <v>34255</v>
      </c>
      <c r="AE66" s="113">
        <v>0</v>
      </c>
      <c r="AF66" s="113">
        <v>0</v>
      </c>
      <c r="AG66" s="113">
        <v>0</v>
      </c>
      <c r="AH66" s="113">
        <v>0</v>
      </c>
      <c r="AI66" s="113">
        <v>0</v>
      </c>
      <c r="AJ66" s="113">
        <v>0</v>
      </c>
      <c r="AK66" s="113">
        <v>0</v>
      </c>
      <c r="AL66" s="113">
        <v>0</v>
      </c>
      <c r="AM66" s="113">
        <v>0</v>
      </c>
      <c r="AN66" s="113">
        <v>0</v>
      </c>
      <c r="AO66" s="113">
        <v>0</v>
      </c>
      <c r="AP66" s="113">
        <v>0</v>
      </c>
      <c r="AQ66" s="113">
        <v>0</v>
      </c>
      <c r="AR66" s="113">
        <v>0</v>
      </c>
      <c r="AS66" s="113">
        <v>0</v>
      </c>
      <c r="AT66" s="113">
        <v>0</v>
      </c>
      <c r="AU66" s="113">
        <v>0</v>
      </c>
      <c r="AV66" s="113">
        <v>0</v>
      </c>
      <c r="AW66" s="113">
        <v>0</v>
      </c>
      <c r="AX66" s="113">
        <v>0</v>
      </c>
      <c r="AY66" s="113">
        <v>0</v>
      </c>
      <c r="AZ66" s="113">
        <v>0</v>
      </c>
      <c r="BA66" s="113">
        <v>0</v>
      </c>
      <c r="BB66" s="113">
        <v>0</v>
      </c>
      <c r="BC66" s="113">
        <v>0</v>
      </c>
      <c r="BD66" s="113">
        <v>0</v>
      </c>
      <c r="BF66" s="113">
        <f t="shared" si="0"/>
        <v>93365</v>
      </c>
      <c r="BG66" s="113">
        <f t="shared" si="1"/>
        <v>0</v>
      </c>
      <c r="BH66" s="113">
        <f t="shared" si="2"/>
        <v>0</v>
      </c>
      <c r="BI66" s="113">
        <f t="shared" si="3"/>
        <v>0</v>
      </c>
    </row>
    <row r="67" spans="1:61">
      <c r="A67" s="102" t="s">
        <v>106</v>
      </c>
      <c r="B67" s="24" t="s">
        <v>489</v>
      </c>
      <c r="C67" s="103" t="s">
        <v>105</v>
      </c>
      <c r="D67" s="113">
        <v>2145</v>
      </c>
      <c r="E67" s="113">
        <v>51526</v>
      </c>
      <c r="F67" s="113">
        <v>854</v>
      </c>
      <c r="G67" s="113">
        <v>1904</v>
      </c>
      <c r="H67" s="113">
        <v>0</v>
      </c>
      <c r="I67" s="113">
        <v>0</v>
      </c>
      <c r="J67" s="113">
        <v>0</v>
      </c>
      <c r="K67" s="113">
        <v>17017</v>
      </c>
      <c r="L67" s="113">
        <v>282</v>
      </c>
      <c r="M67" s="113">
        <v>0</v>
      </c>
      <c r="N67" s="113">
        <v>641</v>
      </c>
      <c r="O67" s="113">
        <v>0</v>
      </c>
      <c r="P67" s="113">
        <v>0</v>
      </c>
      <c r="Q67" s="113">
        <v>0</v>
      </c>
      <c r="R67" s="113">
        <v>0</v>
      </c>
      <c r="S67" s="113">
        <v>0</v>
      </c>
      <c r="T67" s="113">
        <v>0</v>
      </c>
      <c r="U67" s="113">
        <v>0</v>
      </c>
      <c r="V67" s="113">
        <v>0</v>
      </c>
      <c r="W67" s="113">
        <v>0</v>
      </c>
      <c r="X67" s="113">
        <v>0</v>
      </c>
      <c r="Y67" s="113">
        <v>0</v>
      </c>
      <c r="Z67" s="113">
        <v>0</v>
      </c>
      <c r="AA67" s="113">
        <v>0</v>
      </c>
      <c r="AB67" s="113">
        <v>0</v>
      </c>
      <c r="AC67" s="113">
        <v>0</v>
      </c>
      <c r="AD67" s="113">
        <v>66570</v>
      </c>
      <c r="AE67" s="113">
        <v>1104</v>
      </c>
      <c r="AF67" s="113">
        <v>1704</v>
      </c>
      <c r="AG67" s="113">
        <v>0</v>
      </c>
      <c r="AH67" s="113">
        <v>0</v>
      </c>
      <c r="AI67" s="113">
        <v>0</v>
      </c>
      <c r="AJ67" s="113">
        <v>0</v>
      </c>
      <c r="AK67" s="113">
        <v>0</v>
      </c>
      <c r="AL67" s="113">
        <v>0</v>
      </c>
      <c r="AM67" s="113">
        <v>0</v>
      </c>
      <c r="AN67" s="113">
        <v>0</v>
      </c>
      <c r="AO67" s="113">
        <v>0</v>
      </c>
      <c r="AP67" s="113">
        <v>0</v>
      </c>
      <c r="AQ67" s="113">
        <v>0</v>
      </c>
      <c r="AR67" s="113">
        <v>0</v>
      </c>
      <c r="AS67" s="113">
        <v>0</v>
      </c>
      <c r="AT67" s="113">
        <v>0</v>
      </c>
      <c r="AU67" s="113">
        <v>0</v>
      </c>
      <c r="AV67" s="113">
        <v>0</v>
      </c>
      <c r="AW67" s="113">
        <v>0</v>
      </c>
      <c r="AX67" s="113">
        <v>0</v>
      </c>
      <c r="AY67" s="113">
        <v>0</v>
      </c>
      <c r="AZ67" s="113">
        <v>0</v>
      </c>
      <c r="BA67" s="113">
        <v>0</v>
      </c>
      <c r="BB67" s="113">
        <v>0</v>
      </c>
      <c r="BC67" s="113">
        <v>0</v>
      </c>
      <c r="BD67" s="113">
        <v>0</v>
      </c>
      <c r="BF67" s="113">
        <f t="shared" si="0"/>
        <v>135113</v>
      </c>
      <c r="BG67" s="113">
        <f t="shared" si="1"/>
        <v>2240</v>
      </c>
      <c r="BH67" s="113">
        <f t="shared" si="2"/>
        <v>0</v>
      </c>
      <c r="BI67" s="113">
        <f t="shared" si="3"/>
        <v>6394</v>
      </c>
    </row>
    <row r="68" spans="1:61">
      <c r="A68" s="102" t="s">
        <v>107</v>
      </c>
      <c r="B68" s="24" t="s">
        <v>490</v>
      </c>
      <c r="C68" s="103" t="s">
        <v>105</v>
      </c>
      <c r="D68" s="113">
        <v>0</v>
      </c>
      <c r="E68" s="113">
        <v>341893</v>
      </c>
      <c r="F68" s="113">
        <v>4406</v>
      </c>
      <c r="G68" s="113">
        <v>0</v>
      </c>
      <c r="H68" s="113">
        <v>11006</v>
      </c>
      <c r="I68" s="113">
        <v>142</v>
      </c>
      <c r="J68" s="113">
        <v>0</v>
      </c>
      <c r="K68" s="113">
        <v>88164</v>
      </c>
      <c r="L68" s="113">
        <v>1135</v>
      </c>
      <c r="M68" s="113">
        <v>60400</v>
      </c>
      <c r="N68" s="113">
        <v>0</v>
      </c>
      <c r="O68" s="113">
        <v>0</v>
      </c>
      <c r="P68" s="113">
        <v>0</v>
      </c>
      <c r="Q68" s="113">
        <v>0</v>
      </c>
      <c r="R68" s="113">
        <v>0</v>
      </c>
      <c r="S68" s="113">
        <v>0</v>
      </c>
      <c r="T68" s="113">
        <v>0</v>
      </c>
      <c r="U68" s="113">
        <v>0</v>
      </c>
      <c r="V68" s="113">
        <v>0</v>
      </c>
      <c r="W68" s="113">
        <v>0</v>
      </c>
      <c r="X68" s="113">
        <v>0</v>
      </c>
      <c r="Y68" s="113">
        <v>0</v>
      </c>
      <c r="Z68" s="113">
        <v>0</v>
      </c>
      <c r="AA68" s="113">
        <v>0</v>
      </c>
      <c r="AB68" s="113">
        <v>0</v>
      </c>
      <c r="AC68" s="113">
        <v>0</v>
      </c>
      <c r="AD68" s="113">
        <v>212049</v>
      </c>
      <c r="AE68" s="113">
        <v>2727</v>
      </c>
      <c r="AF68" s="113">
        <v>0</v>
      </c>
      <c r="AG68" s="113">
        <v>0</v>
      </c>
      <c r="AH68" s="113">
        <v>0</v>
      </c>
      <c r="AI68" s="113">
        <v>0</v>
      </c>
      <c r="AJ68" s="113">
        <v>0</v>
      </c>
      <c r="AK68" s="113">
        <v>0</v>
      </c>
      <c r="AL68" s="113">
        <v>0</v>
      </c>
      <c r="AM68" s="113">
        <v>0</v>
      </c>
      <c r="AN68" s="113">
        <v>0</v>
      </c>
      <c r="AO68" s="113">
        <v>0</v>
      </c>
      <c r="AP68" s="113">
        <v>0</v>
      </c>
      <c r="AQ68" s="113">
        <v>0</v>
      </c>
      <c r="AR68" s="113">
        <v>0</v>
      </c>
      <c r="AS68" s="113">
        <v>0</v>
      </c>
      <c r="AT68" s="113">
        <v>0</v>
      </c>
      <c r="AU68" s="113">
        <v>0</v>
      </c>
      <c r="AV68" s="113">
        <v>0</v>
      </c>
      <c r="AW68" s="113">
        <v>0</v>
      </c>
      <c r="AX68" s="113">
        <v>0</v>
      </c>
      <c r="AY68" s="113">
        <v>94696</v>
      </c>
      <c r="AZ68" s="113">
        <v>1133</v>
      </c>
      <c r="BA68" s="113">
        <v>0</v>
      </c>
      <c r="BB68" s="113">
        <v>25508</v>
      </c>
      <c r="BC68" s="113">
        <v>277</v>
      </c>
      <c r="BD68" s="113">
        <v>0</v>
      </c>
      <c r="BF68" s="113">
        <f t="shared" si="0"/>
        <v>653112</v>
      </c>
      <c r="BG68" s="113">
        <f t="shared" si="1"/>
        <v>8410</v>
      </c>
      <c r="BH68" s="113">
        <f t="shared" si="2"/>
        <v>60400</v>
      </c>
      <c r="BI68" s="113">
        <f t="shared" si="3"/>
        <v>0</v>
      </c>
    </row>
    <row r="69" spans="1:61">
      <c r="A69" s="102" t="s">
        <v>108</v>
      </c>
      <c r="B69" s="24" t="s">
        <v>491</v>
      </c>
      <c r="C69" s="103" t="s">
        <v>109</v>
      </c>
      <c r="D69" s="113">
        <v>0</v>
      </c>
      <c r="E69" s="113">
        <v>63691</v>
      </c>
      <c r="F69" s="113">
        <v>985</v>
      </c>
      <c r="G69" s="113">
        <v>0</v>
      </c>
      <c r="H69" s="113">
        <v>0</v>
      </c>
      <c r="I69" s="113">
        <v>0</v>
      </c>
      <c r="J69" s="113">
        <v>0</v>
      </c>
      <c r="K69" s="113">
        <v>4478</v>
      </c>
      <c r="L69" s="113">
        <v>55</v>
      </c>
      <c r="M69" s="113">
        <v>0</v>
      </c>
      <c r="N69" s="113">
        <v>0</v>
      </c>
      <c r="O69" s="113">
        <v>0</v>
      </c>
      <c r="P69" s="113">
        <v>0</v>
      </c>
      <c r="Q69" s="113">
        <v>0</v>
      </c>
      <c r="R69" s="113">
        <v>0</v>
      </c>
      <c r="S69" s="113">
        <v>0</v>
      </c>
      <c r="T69" s="113">
        <v>0</v>
      </c>
      <c r="U69" s="113">
        <v>0</v>
      </c>
      <c r="V69" s="113">
        <v>0</v>
      </c>
      <c r="W69" s="113">
        <v>0</v>
      </c>
      <c r="X69" s="113">
        <v>0</v>
      </c>
      <c r="Y69" s="113">
        <v>0</v>
      </c>
      <c r="Z69" s="113">
        <v>0</v>
      </c>
      <c r="AA69" s="113">
        <v>0</v>
      </c>
      <c r="AB69" s="113">
        <v>0</v>
      </c>
      <c r="AC69" s="113">
        <v>0</v>
      </c>
      <c r="AD69" s="113">
        <v>24040</v>
      </c>
      <c r="AE69" s="113">
        <v>374</v>
      </c>
      <c r="AF69" s="113">
        <v>0</v>
      </c>
      <c r="AG69" s="113">
        <v>0</v>
      </c>
      <c r="AH69" s="113">
        <v>0</v>
      </c>
      <c r="AI69" s="113">
        <v>0</v>
      </c>
      <c r="AJ69" s="113">
        <v>0</v>
      </c>
      <c r="AK69" s="113">
        <v>0</v>
      </c>
      <c r="AL69" s="113">
        <v>0</v>
      </c>
      <c r="AM69" s="113">
        <v>0</v>
      </c>
      <c r="AN69" s="113">
        <v>0</v>
      </c>
      <c r="AO69" s="113">
        <v>0</v>
      </c>
      <c r="AP69" s="113">
        <v>0</v>
      </c>
      <c r="AQ69" s="113">
        <v>0</v>
      </c>
      <c r="AR69" s="113">
        <v>0</v>
      </c>
      <c r="AS69" s="113">
        <v>0</v>
      </c>
      <c r="AT69" s="113">
        <v>0</v>
      </c>
      <c r="AU69" s="113">
        <v>0</v>
      </c>
      <c r="AV69" s="113">
        <v>0</v>
      </c>
      <c r="AW69" s="113">
        <v>0</v>
      </c>
      <c r="AX69" s="113">
        <v>0</v>
      </c>
      <c r="AY69" s="113">
        <v>4978</v>
      </c>
      <c r="AZ69" s="113">
        <v>77</v>
      </c>
      <c r="BA69" s="113">
        <v>0</v>
      </c>
      <c r="BB69" s="113">
        <v>526</v>
      </c>
      <c r="BC69" s="113">
        <v>8</v>
      </c>
      <c r="BD69" s="113">
        <v>0</v>
      </c>
      <c r="BF69" s="113">
        <f t="shared" si="0"/>
        <v>92209</v>
      </c>
      <c r="BG69" s="113">
        <f t="shared" si="1"/>
        <v>1414</v>
      </c>
      <c r="BH69" s="113">
        <f t="shared" si="2"/>
        <v>0</v>
      </c>
      <c r="BI69" s="113">
        <f t="shared" si="3"/>
        <v>0</v>
      </c>
    </row>
    <row r="70" spans="1:61">
      <c r="A70" s="102" t="s">
        <v>110</v>
      </c>
      <c r="B70" s="24" t="s">
        <v>492</v>
      </c>
      <c r="C70" s="103" t="s">
        <v>109</v>
      </c>
      <c r="D70" s="113">
        <v>0</v>
      </c>
      <c r="E70" s="113">
        <v>30693</v>
      </c>
      <c r="F70" s="113">
        <v>398</v>
      </c>
      <c r="G70" s="113">
        <v>0</v>
      </c>
      <c r="H70" s="113">
        <v>0</v>
      </c>
      <c r="I70" s="113">
        <v>0</v>
      </c>
      <c r="J70" s="113">
        <v>0</v>
      </c>
      <c r="K70" s="113">
        <v>7005</v>
      </c>
      <c r="L70" s="113">
        <v>91</v>
      </c>
      <c r="M70" s="113">
        <v>0</v>
      </c>
      <c r="N70" s="113">
        <v>0</v>
      </c>
      <c r="O70" s="113">
        <v>0</v>
      </c>
      <c r="P70" s="113">
        <v>0</v>
      </c>
      <c r="Q70" s="113">
        <v>0</v>
      </c>
      <c r="R70" s="113">
        <v>0</v>
      </c>
      <c r="S70" s="113">
        <v>0</v>
      </c>
      <c r="T70" s="113">
        <v>0</v>
      </c>
      <c r="U70" s="113">
        <v>0</v>
      </c>
      <c r="V70" s="113">
        <v>0</v>
      </c>
      <c r="W70" s="113">
        <v>0</v>
      </c>
      <c r="X70" s="113">
        <v>0</v>
      </c>
      <c r="Y70" s="113">
        <v>0</v>
      </c>
      <c r="Z70" s="113">
        <v>0</v>
      </c>
      <c r="AA70" s="113">
        <v>0</v>
      </c>
      <c r="AB70" s="113">
        <v>0</v>
      </c>
      <c r="AC70" s="113">
        <v>0</v>
      </c>
      <c r="AD70" s="113">
        <v>0</v>
      </c>
      <c r="AE70" s="113">
        <v>0</v>
      </c>
      <c r="AF70" s="113">
        <v>0</v>
      </c>
      <c r="AG70" s="113">
        <v>0</v>
      </c>
      <c r="AH70" s="113">
        <v>0</v>
      </c>
      <c r="AI70" s="113">
        <v>0</v>
      </c>
      <c r="AJ70" s="113">
        <v>0</v>
      </c>
      <c r="AK70" s="113">
        <v>0</v>
      </c>
      <c r="AL70" s="113">
        <v>0</v>
      </c>
      <c r="AM70" s="113">
        <v>0</v>
      </c>
      <c r="AN70" s="113">
        <v>0</v>
      </c>
      <c r="AO70" s="113">
        <v>0</v>
      </c>
      <c r="AP70" s="113">
        <v>0</v>
      </c>
      <c r="AQ70" s="113">
        <v>0</v>
      </c>
      <c r="AR70" s="113">
        <v>0</v>
      </c>
      <c r="AS70" s="113">
        <v>0</v>
      </c>
      <c r="AT70" s="113">
        <v>0</v>
      </c>
      <c r="AU70" s="113">
        <v>0</v>
      </c>
      <c r="AV70" s="113">
        <v>0</v>
      </c>
      <c r="AW70" s="113">
        <v>0</v>
      </c>
      <c r="AX70" s="113">
        <v>0</v>
      </c>
      <c r="AY70" s="113">
        <v>2548</v>
      </c>
      <c r="AZ70" s="113">
        <v>33</v>
      </c>
      <c r="BA70" s="113">
        <v>0</v>
      </c>
      <c r="BB70" s="113">
        <v>0</v>
      </c>
      <c r="BC70" s="113">
        <v>0</v>
      </c>
      <c r="BD70" s="113">
        <v>0</v>
      </c>
      <c r="BF70" s="113">
        <f t="shared" si="0"/>
        <v>37698</v>
      </c>
      <c r="BG70" s="113">
        <f t="shared" si="1"/>
        <v>489</v>
      </c>
      <c r="BH70" s="113">
        <f t="shared" si="2"/>
        <v>0</v>
      </c>
      <c r="BI70" s="113">
        <f t="shared" si="3"/>
        <v>0</v>
      </c>
    </row>
    <row r="71" spans="1:61">
      <c r="A71" s="102" t="s">
        <v>111</v>
      </c>
      <c r="B71" s="24" t="s">
        <v>493</v>
      </c>
      <c r="C71" s="103" t="s">
        <v>112</v>
      </c>
      <c r="D71" s="113">
        <v>0</v>
      </c>
      <c r="E71" s="113">
        <v>20112</v>
      </c>
      <c r="F71" s="113">
        <v>360</v>
      </c>
      <c r="G71" s="113">
        <v>0</v>
      </c>
      <c r="H71" s="113">
        <v>0</v>
      </c>
      <c r="I71" s="113">
        <v>0</v>
      </c>
      <c r="J71" s="113">
        <v>0</v>
      </c>
      <c r="K71" s="113">
        <v>0</v>
      </c>
      <c r="L71" s="113">
        <v>0</v>
      </c>
      <c r="M71" s="113">
        <v>0</v>
      </c>
      <c r="N71" s="113">
        <v>0</v>
      </c>
      <c r="O71" s="113">
        <v>0</v>
      </c>
      <c r="P71" s="113">
        <v>0</v>
      </c>
      <c r="Q71" s="113">
        <v>0</v>
      </c>
      <c r="R71" s="113">
        <v>0</v>
      </c>
      <c r="S71" s="113">
        <v>0</v>
      </c>
      <c r="T71" s="113">
        <v>0</v>
      </c>
      <c r="U71" s="113">
        <v>0</v>
      </c>
      <c r="V71" s="113">
        <v>0</v>
      </c>
      <c r="W71" s="113">
        <v>0</v>
      </c>
      <c r="X71" s="113">
        <v>0</v>
      </c>
      <c r="Y71" s="113">
        <v>0</v>
      </c>
      <c r="Z71" s="113">
        <v>0</v>
      </c>
      <c r="AA71" s="113">
        <v>0</v>
      </c>
      <c r="AB71" s="113">
        <v>0</v>
      </c>
      <c r="AC71" s="113">
        <v>0</v>
      </c>
      <c r="AD71" s="113">
        <v>15414</v>
      </c>
      <c r="AE71" s="113">
        <v>276</v>
      </c>
      <c r="AF71" s="113">
        <v>0</v>
      </c>
      <c r="AG71" s="113">
        <v>0</v>
      </c>
      <c r="AH71" s="113">
        <v>0</v>
      </c>
      <c r="AI71" s="113">
        <v>0</v>
      </c>
      <c r="AJ71" s="113">
        <v>0</v>
      </c>
      <c r="AK71" s="113">
        <v>0</v>
      </c>
      <c r="AL71" s="113">
        <v>0</v>
      </c>
      <c r="AM71" s="113">
        <v>0</v>
      </c>
      <c r="AN71" s="113">
        <v>0</v>
      </c>
      <c r="AO71" s="113">
        <v>0</v>
      </c>
      <c r="AP71" s="113">
        <v>0</v>
      </c>
      <c r="AQ71" s="113">
        <v>0</v>
      </c>
      <c r="AR71" s="113">
        <v>0</v>
      </c>
      <c r="AS71" s="113">
        <v>0</v>
      </c>
      <c r="AT71" s="113">
        <v>0</v>
      </c>
      <c r="AU71" s="113">
        <v>0</v>
      </c>
      <c r="AV71" s="113">
        <v>0</v>
      </c>
      <c r="AW71" s="113">
        <v>0</v>
      </c>
      <c r="AX71" s="113">
        <v>0</v>
      </c>
      <c r="AY71" s="113">
        <v>0</v>
      </c>
      <c r="AZ71" s="113">
        <v>0</v>
      </c>
      <c r="BA71" s="113">
        <v>0</v>
      </c>
      <c r="BB71" s="113">
        <v>0</v>
      </c>
      <c r="BC71" s="113">
        <v>0</v>
      </c>
      <c r="BD71" s="113">
        <v>0</v>
      </c>
      <c r="BF71" s="113">
        <f t="shared" ref="BF71:BF134" si="4">E71+H71+K71+O71+R71+U71+X71+AA71+AD71+AG71+AJ71+AM71</f>
        <v>35526</v>
      </c>
      <c r="BG71" s="113">
        <f t="shared" ref="BG71:BG134" si="5">F71+I71+L71+P71+S71+V71+Y71+AB71+AE71+AH71+AK71+AN71</f>
        <v>636</v>
      </c>
      <c r="BH71" s="113">
        <f t="shared" ref="BH71:BH134" si="6">M71</f>
        <v>0</v>
      </c>
      <c r="BI71" s="113">
        <f t="shared" ref="BI71:BI134" si="7">D71+G71+J71+N71+Q71+T71+W71+Z71+AC71+AF71+AI71+AL71+AO71</f>
        <v>0</v>
      </c>
    </row>
    <row r="72" spans="1:61">
      <c r="A72" s="102" t="s">
        <v>113</v>
      </c>
      <c r="B72" s="24" t="s">
        <v>494</v>
      </c>
      <c r="C72" s="103" t="s">
        <v>112</v>
      </c>
      <c r="D72" s="113">
        <v>0</v>
      </c>
      <c r="E72" s="113">
        <v>162255</v>
      </c>
      <c r="F72" s="113">
        <v>2365</v>
      </c>
      <c r="G72" s="113">
        <v>0</v>
      </c>
      <c r="H72" s="113">
        <v>0</v>
      </c>
      <c r="I72" s="113">
        <v>0</v>
      </c>
      <c r="J72" s="113">
        <v>0</v>
      </c>
      <c r="K72" s="113">
        <v>34868</v>
      </c>
      <c r="L72" s="113">
        <v>508</v>
      </c>
      <c r="M72" s="113">
        <v>0</v>
      </c>
      <c r="N72" s="113">
        <v>0</v>
      </c>
      <c r="O72" s="113">
        <v>0</v>
      </c>
      <c r="P72" s="113">
        <v>0</v>
      </c>
      <c r="Q72" s="113">
        <v>0</v>
      </c>
      <c r="R72" s="113">
        <v>0</v>
      </c>
      <c r="S72" s="113">
        <v>0</v>
      </c>
      <c r="T72" s="113">
        <v>0</v>
      </c>
      <c r="U72" s="113">
        <v>0</v>
      </c>
      <c r="V72" s="113">
        <v>0</v>
      </c>
      <c r="W72" s="113">
        <v>0</v>
      </c>
      <c r="X72" s="113">
        <v>0</v>
      </c>
      <c r="Y72" s="113">
        <v>0</v>
      </c>
      <c r="Z72" s="113">
        <v>0</v>
      </c>
      <c r="AA72" s="113">
        <v>0</v>
      </c>
      <c r="AB72" s="113">
        <v>0</v>
      </c>
      <c r="AC72" s="113">
        <v>0</v>
      </c>
      <c r="AD72" s="113">
        <v>0</v>
      </c>
      <c r="AE72" s="113">
        <v>0</v>
      </c>
      <c r="AF72" s="113">
        <v>0</v>
      </c>
      <c r="AG72" s="113">
        <v>0</v>
      </c>
      <c r="AH72" s="113">
        <v>0</v>
      </c>
      <c r="AI72" s="113">
        <v>0</v>
      </c>
      <c r="AJ72" s="113">
        <v>0</v>
      </c>
      <c r="AK72" s="113">
        <v>0</v>
      </c>
      <c r="AL72" s="113">
        <v>0</v>
      </c>
      <c r="AM72" s="113">
        <v>0</v>
      </c>
      <c r="AN72" s="113">
        <v>0</v>
      </c>
      <c r="AO72" s="113">
        <v>0</v>
      </c>
      <c r="AP72" s="113">
        <v>0</v>
      </c>
      <c r="AQ72" s="113">
        <v>0</v>
      </c>
      <c r="AR72" s="113">
        <v>0</v>
      </c>
      <c r="AS72" s="113">
        <v>0</v>
      </c>
      <c r="AT72" s="113">
        <v>0</v>
      </c>
      <c r="AU72" s="113">
        <v>0</v>
      </c>
      <c r="AV72" s="113">
        <v>0</v>
      </c>
      <c r="AW72" s="113">
        <v>0</v>
      </c>
      <c r="AX72" s="113">
        <v>0</v>
      </c>
      <c r="AY72" s="113">
        <v>0</v>
      </c>
      <c r="AZ72" s="113">
        <v>0</v>
      </c>
      <c r="BA72" s="113">
        <v>0</v>
      </c>
      <c r="BB72" s="113">
        <v>0</v>
      </c>
      <c r="BC72" s="113">
        <v>0</v>
      </c>
      <c r="BD72" s="113">
        <v>0</v>
      </c>
      <c r="BF72" s="113">
        <f t="shared" si="4"/>
        <v>197123</v>
      </c>
      <c r="BG72" s="113">
        <f t="shared" si="5"/>
        <v>2873</v>
      </c>
      <c r="BH72" s="113">
        <f t="shared" si="6"/>
        <v>0</v>
      </c>
      <c r="BI72" s="113">
        <f t="shared" si="7"/>
        <v>0</v>
      </c>
    </row>
    <row r="73" spans="1:61">
      <c r="A73" s="102" t="s">
        <v>114</v>
      </c>
      <c r="B73" s="24" t="s">
        <v>495</v>
      </c>
      <c r="C73" s="103" t="s">
        <v>112</v>
      </c>
      <c r="D73" s="113">
        <v>454</v>
      </c>
      <c r="E73" s="113">
        <v>37873</v>
      </c>
      <c r="F73" s="113">
        <v>565</v>
      </c>
      <c r="G73" s="113">
        <v>358</v>
      </c>
      <c r="H73" s="113">
        <v>0</v>
      </c>
      <c r="I73" s="113">
        <v>0</v>
      </c>
      <c r="J73" s="113">
        <v>0</v>
      </c>
      <c r="K73" s="113">
        <v>116</v>
      </c>
      <c r="L73" s="113">
        <v>2</v>
      </c>
      <c r="M73" s="113">
        <v>0</v>
      </c>
      <c r="N73" s="113">
        <v>90</v>
      </c>
      <c r="O73" s="113">
        <v>0</v>
      </c>
      <c r="P73" s="113">
        <v>0</v>
      </c>
      <c r="Q73" s="113">
        <v>0</v>
      </c>
      <c r="R73" s="113">
        <v>0</v>
      </c>
      <c r="S73" s="113">
        <v>0</v>
      </c>
      <c r="T73" s="113">
        <v>0</v>
      </c>
      <c r="U73" s="113">
        <v>0</v>
      </c>
      <c r="V73" s="113">
        <v>0</v>
      </c>
      <c r="W73" s="113">
        <v>0</v>
      </c>
      <c r="X73" s="113">
        <v>0</v>
      </c>
      <c r="Y73" s="113">
        <v>0</v>
      </c>
      <c r="Z73" s="113">
        <v>0</v>
      </c>
      <c r="AA73" s="113">
        <v>0</v>
      </c>
      <c r="AB73" s="113">
        <v>0</v>
      </c>
      <c r="AC73" s="113">
        <v>0</v>
      </c>
      <c r="AD73" s="113">
        <v>45992</v>
      </c>
      <c r="AE73" s="113">
        <v>687</v>
      </c>
      <c r="AF73" s="113">
        <v>472</v>
      </c>
      <c r="AG73" s="113">
        <v>0</v>
      </c>
      <c r="AH73" s="113">
        <v>0</v>
      </c>
      <c r="AI73" s="113">
        <v>0</v>
      </c>
      <c r="AJ73" s="113">
        <v>0</v>
      </c>
      <c r="AK73" s="113">
        <v>0</v>
      </c>
      <c r="AL73" s="113">
        <v>0</v>
      </c>
      <c r="AM73" s="113">
        <v>0</v>
      </c>
      <c r="AN73" s="113">
        <v>0</v>
      </c>
      <c r="AO73" s="113">
        <v>0</v>
      </c>
      <c r="AP73" s="113">
        <v>0</v>
      </c>
      <c r="AQ73" s="113">
        <v>0</v>
      </c>
      <c r="AR73" s="113">
        <v>0</v>
      </c>
      <c r="AS73" s="113">
        <v>0</v>
      </c>
      <c r="AT73" s="113">
        <v>0</v>
      </c>
      <c r="AU73" s="113">
        <v>0</v>
      </c>
      <c r="AV73" s="113">
        <v>0</v>
      </c>
      <c r="AW73" s="113">
        <v>0</v>
      </c>
      <c r="AX73" s="113">
        <v>0</v>
      </c>
      <c r="AY73" s="113">
        <v>4129</v>
      </c>
      <c r="AZ73" s="113">
        <v>62</v>
      </c>
      <c r="BA73" s="113">
        <v>56</v>
      </c>
      <c r="BB73" s="113">
        <v>0</v>
      </c>
      <c r="BC73" s="113">
        <v>0</v>
      </c>
      <c r="BD73" s="113">
        <v>0</v>
      </c>
      <c r="BF73" s="113">
        <f t="shared" si="4"/>
        <v>83981</v>
      </c>
      <c r="BG73" s="113">
        <f t="shared" si="5"/>
        <v>1254</v>
      </c>
      <c r="BH73" s="113">
        <f t="shared" si="6"/>
        <v>0</v>
      </c>
      <c r="BI73" s="113">
        <f t="shared" si="7"/>
        <v>1374</v>
      </c>
    </row>
    <row r="74" spans="1:61">
      <c r="A74" s="102" t="s">
        <v>115</v>
      </c>
      <c r="B74" s="24" t="s">
        <v>380</v>
      </c>
      <c r="C74" s="103" t="s">
        <v>116</v>
      </c>
      <c r="D74" s="113">
        <v>18188</v>
      </c>
      <c r="E74" s="113">
        <v>6527066</v>
      </c>
      <c r="F74" s="113">
        <v>50392</v>
      </c>
      <c r="G74" s="113">
        <v>3646</v>
      </c>
      <c r="H74" s="113">
        <v>416</v>
      </c>
      <c r="I74" s="113">
        <v>0</v>
      </c>
      <c r="J74" s="113">
        <v>0</v>
      </c>
      <c r="K74" s="113">
        <v>2410051</v>
      </c>
      <c r="L74" s="113">
        <v>18620</v>
      </c>
      <c r="M74" s="113">
        <v>0</v>
      </c>
      <c r="N74" s="113">
        <v>6366</v>
      </c>
      <c r="O74" s="113">
        <v>0</v>
      </c>
      <c r="P74" s="113">
        <v>0</v>
      </c>
      <c r="Q74" s="113">
        <v>0</v>
      </c>
      <c r="R74" s="113">
        <v>0</v>
      </c>
      <c r="S74" s="113">
        <v>0</v>
      </c>
      <c r="T74" s="113">
        <v>0</v>
      </c>
      <c r="U74" s="113">
        <v>211</v>
      </c>
      <c r="V74" s="113">
        <v>0</v>
      </c>
      <c r="W74" s="113">
        <v>14911</v>
      </c>
      <c r="X74" s="113">
        <v>0</v>
      </c>
      <c r="Y74" s="113">
        <v>0</v>
      </c>
      <c r="Z74" s="113">
        <v>0</v>
      </c>
      <c r="AA74" s="113">
        <v>0</v>
      </c>
      <c r="AB74" s="113">
        <v>0</v>
      </c>
      <c r="AC74" s="113">
        <v>0</v>
      </c>
      <c r="AD74" s="113">
        <v>2044605</v>
      </c>
      <c r="AE74" s="113">
        <v>15782</v>
      </c>
      <c r="AF74" s="113">
        <v>5363</v>
      </c>
      <c r="AG74" s="113">
        <v>0</v>
      </c>
      <c r="AH74" s="113">
        <v>0</v>
      </c>
      <c r="AI74" s="113">
        <v>0</v>
      </c>
      <c r="AJ74" s="113">
        <v>0</v>
      </c>
      <c r="AK74" s="113">
        <v>0</v>
      </c>
      <c r="AL74" s="113">
        <v>0</v>
      </c>
      <c r="AM74" s="113">
        <v>0</v>
      </c>
      <c r="AN74" s="113">
        <v>0</v>
      </c>
      <c r="AO74" s="113">
        <v>0</v>
      </c>
      <c r="AP74" s="113">
        <v>0</v>
      </c>
      <c r="AQ74" s="113">
        <v>0</v>
      </c>
      <c r="AR74" s="113">
        <v>0</v>
      </c>
      <c r="AS74" s="113">
        <v>0</v>
      </c>
      <c r="AT74" s="113">
        <v>0</v>
      </c>
      <c r="AU74" s="113">
        <v>0</v>
      </c>
      <c r="AV74" s="113">
        <v>0</v>
      </c>
      <c r="AW74" s="113">
        <v>0</v>
      </c>
      <c r="AX74" s="113">
        <v>0</v>
      </c>
      <c r="AY74" s="113">
        <v>0</v>
      </c>
      <c r="AZ74" s="113">
        <v>0</v>
      </c>
      <c r="BA74" s="113">
        <v>0</v>
      </c>
      <c r="BB74" s="113">
        <v>0</v>
      </c>
      <c r="BC74" s="113">
        <v>0</v>
      </c>
      <c r="BD74" s="113">
        <v>0</v>
      </c>
      <c r="BF74" s="113">
        <f t="shared" si="4"/>
        <v>10982349</v>
      </c>
      <c r="BG74" s="113">
        <f t="shared" si="5"/>
        <v>84794</v>
      </c>
      <c r="BH74" s="113">
        <f t="shared" si="6"/>
        <v>0</v>
      </c>
      <c r="BI74" s="113">
        <f t="shared" si="7"/>
        <v>48474</v>
      </c>
    </row>
    <row r="75" spans="1:61">
      <c r="A75" s="102" t="s">
        <v>117</v>
      </c>
      <c r="B75" s="24" t="s">
        <v>496</v>
      </c>
      <c r="C75" s="103" t="s">
        <v>116</v>
      </c>
      <c r="D75" s="113">
        <v>0</v>
      </c>
      <c r="E75" s="113">
        <v>539853</v>
      </c>
      <c r="F75" s="113">
        <v>13543</v>
      </c>
      <c r="G75" s="113">
        <v>0</v>
      </c>
      <c r="H75" s="113">
        <v>0</v>
      </c>
      <c r="I75" s="113">
        <v>0</v>
      </c>
      <c r="J75" s="113">
        <v>0</v>
      </c>
      <c r="K75" s="113">
        <v>135341</v>
      </c>
      <c r="L75" s="113">
        <v>3362</v>
      </c>
      <c r="M75" s="113">
        <v>0</v>
      </c>
      <c r="N75" s="113">
        <v>0</v>
      </c>
      <c r="O75" s="113">
        <v>0</v>
      </c>
      <c r="P75" s="113">
        <v>0</v>
      </c>
      <c r="Q75" s="113">
        <v>0</v>
      </c>
      <c r="R75" s="113">
        <v>0</v>
      </c>
      <c r="S75" s="113">
        <v>0</v>
      </c>
      <c r="T75" s="113">
        <v>0</v>
      </c>
      <c r="U75" s="113">
        <v>0</v>
      </c>
      <c r="V75" s="113">
        <v>0</v>
      </c>
      <c r="W75" s="113">
        <v>0</v>
      </c>
      <c r="X75" s="113">
        <v>0</v>
      </c>
      <c r="Y75" s="113">
        <v>0</v>
      </c>
      <c r="Z75" s="113">
        <v>0</v>
      </c>
      <c r="AA75" s="113">
        <v>0</v>
      </c>
      <c r="AB75" s="113">
        <v>0</v>
      </c>
      <c r="AC75" s="113">
        <v>0</v>
      </c>
      <c r="AD75" s="113">
        <v>234440</v>
      </c>
      <c r="AE75" s="113">
        <v>6054</v>
      </c>
      <c r="AF75" s="113">
        <v>0</v>
      </c>
      <c r="AG75" s="113">
        <v>0</v>
      </c>
      <c r="AH75" s="113">
        <v>0</v>
      </c>
      <c r="AI75" s="113">
        <v>0</v>
      </c>
      <c r="AJ75" s="113">
        <v>0</v>
      </c>
      <c r="AK75" s="113">
        <v>0</v>
      </c>
      <c r="AL75" s="113">
        <v>0</v>
      </c>
      <c r="AM75" s="113">
        <v>0</v>
      </c>
      <c r="AN75" s="113">
        <v>0</v>
      </c>
      <c r="AO75" s="113">
        <v>0</v>
      </c>
      <c r="AP75" s="113">
        <v>0</v>
      </c>
      <c r="AQ75" s="113">
        <v>0</v>
      </c>
      <c r="AR75" s="113">
        <v>0</v>
      </c>
      <c r="AS75" s="113">
        <v>0</v>
      </c>
      <c r="AT75" s="113">
        <v>0</v>
      </c>
      <c r="AU75" s="113">
        <v>0</v>
      </c>
      <c r="AV75" s="113">
        <v>0</v>
      </c>
      <c r="AW75" s="113">
        <v>0</v>
      </c>
      <c r="AX75" s="113">
        <v>0</v>
      </c>
      <c r="AY75" s="113">
        <v>172792</v>
      </c>
      <c r="AZ75" s="113">
        <v>4225</v>
      </c>
      <c r="BA75" s="113">
        <v>0</v>
      </c>
      <c r="BB75" s="113">
        <v>48070</v>
      </c>
      <c r="BC75" s="113">
        <v>1195</v>
      </c>
      <c r="BD75" s="113">
        <v>0</v>
      </c>
      <c r="BF75" s="113">
        <f t="shared" si="4"/>
        <v>909634</v>
      </c>
      <c r="BG75" s="113">
        <f t="shared" si="5"/>
        <v>22959</v>
      </c>
      <c r="BH75" s="113">
        <f t="shared" si="6"/>
        <v>0</v>
      </c>
      <c r="BI75" s="113">
        <f t="shared" si="7"/>
        <v>0</v>
      </c>
    </row>
    <row r="76" spans="1:61">
      <c r="A76" s="102" t="s">
        <v>118</v>
      </c>
      <c r="B76" s="24" t="s">
        <v>497</v>
      </c>
      <c r="C76" s="103" t="s">
        <v>116</v>
      </c>
      <c r="D76" s="113">
        <v>0</v>
      </c>
      <c r="E76" s="113">
        <v>370447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174057</v>
      </c>
      <c r="L76" s="113">
        <v>0</v>
      </c>
      <c r="M76" s="113">
        <v>0</v>
      </c>
      <c r="N76" s="113">
        <v>0</v>
      </c>
      <c r="O76" s="113">
        <v>0</v>
      </c>
      <c r="P76" s="113">
        <v>0</v>
      </c>
      <c r="Q76" s="113">
        <v>0</v>
      </c>
      <c r="R76" s="113">
        <v>0</v>
      </c>
      <c r="S76" s="113">
        <v>0</v>
      </c>
      <c r="T76" s="113">
        <v>0</v>
      </c>
      <c r="U76" s="113">
        <v>0</v>
      </c>
      <c r="V76" s="113">
        <v>0</v>
      </c>
      <c r="W76" s="113">
        <v>0</v>
      </c>
      <c r="X76" s="113">
        <v>0</v>
      </c>
      <c r="Y76" s="113">
        <v>0</v>
      </c>
      <c r="Z76" s="113">
        <v>0</v>
      </c>
      <c r="AA76" s="113">
        <v>0</v>
      </c>
      <c r="AB76" s="113">
        <v>0</v>
      </c>
      <c r="AC76" s="113">
        <v>0</v>
      </c>
      <c r="AD76" s="113">
        <v>244985</v>
      </c>
      <c r="AE76" s="113">
        <v>0</v>
      </c>
      <c r="AF76" s="113">
        <v>0</v>
      </c>
      <c r="AG76" s="113">
        <v>0</v>
      </c>
      <c r="AH76" s="113">
        <v>0</v>
      </c>
      <c r="AI76" s="113">
        <v>0</v>
      </c>
      <c r="AJ76" s="113">
        <v>0</v>
      </c>
      <c r="AK76" s="113">
        <v>0</v>
      </c>
      <c r="AL76" s="113">
        <v>0</v>
      </c>
      <c r="AM76" s="113">
        <v>0</v>
      </c>
      <c r="AN76" s="113">
        <v>0</v>
      </c>
      <c r="AO76" s="113">
        <v>0</v>
      </c>
      <c r="AP76" s="113">
        <v>0</v>
      </c>
      <c r="AQ76" s="113">
        <v>0</v>
      </c>
      <c r="AR76" s="113">
        <v>0</v>
      </c>
      <c r="AS76" s="113">
        <v>0</v>
      </c>
      <c r="AT76" s="113">
        <v>0</v>
      </c>
      <c r="AU76" s="113">
        <v>0</v>
      </c>
      <c r="AV76" s="113">
        <v>0</v>
      </c>
      <c r="AW76" s="113">
        <v>0</v>
      </c>
      <c r="AX76" s="113">
        <v>0</v>
      </c>
      <c r="AY76" s="113">
        <v>0</v>
      </c>
      <c r="AZ76" s="113">
        <v>0</v>
      </c>
      <c r="BA76" s="113">
        <v>0</v>
      </c>
      <c r="BB76" s="113">
        <v>0</v>
      </c>
      <c r="BC76" s="113">
        <v>0</v>
      </c>
      <c r="BD76" s="113">
        <v>0</v>
      </c>
      <c r="BF76" s="113">
        <f t="shared" si="4"/>
        <v>789489</v>
      </c>
      <c r="BG76" s="113">
        <f t="shared" si="5"/>
        <v>0</v>
      </c>
      <c r="BH76" s="113">
        <f t="shared" si="6"/>
        <v>0</v>
      </c>
      <c r="BI76" s="113">
        <f t="shared" si="7"/>
        <v>0</v>
      </c>
    </row>
    <row r="77" spans="1:61">
      <c r="A77" s="102" t="s">
        <v>119</v>
      </c>
      <c r="B77" s="24" t="s">
        <v>498</v>
      </c>
      <c r="C77" s="103" t="s">
        <v>116</v>
      </c>
      <c r="D77" s="113">
        <v>26</v>
      </c>
      <c r="E77" s="113">
        <v>212764</v>
      </c>
      <c r="F77" s="113">
        <v>4726</v>
      </c>
      <c r="G77" s="113">
        <v>21</v>
      </c>
      <c r="H77" s="113">
        <v>0</v>
      </c>
      <c r="I77" s="113">
        <v>0</v>
      </c>
      <c r="J77" s="113">
        <v>0</v>
      </c>
      <c r="K77" s="113">
        <v>62610</v>
      </c>
      <c r="L77" s="113">
        <v>1388</v>
      </c>
      <c r="M77" s="113">
        <v>0</v>
      </c>
      <c r="N77" s="113">
        <v>5</v>
      </c>
      <c r="O77" s="113">
        <v>0</v>
      </c>
      <c r="P77" s="113">
        <v>0</v>
      </c>
      <c r="Q77" s="113">
        <v>0</v>
      </c>
      <c r="R77" s="113">
        <v>0</v>
      </c>
      <c r="S77" s="113">
        <v>0</v>
      </c>
      <c r="T77" s="113">
        <v>0</v>
      </c>
      <c r="U77" s="113">
        <v>0</v>
      </c>
      <c r="V77" s="113">
        <v>0</v>
      </c>
      <c r="W77" s="113">
        <v>0</v>
      </c>
      <c r="X77" s="113">
        <v>0</v>
      </c>
      <c r="Y77" s="113">
        <v>0</v>
      </c>
      <c r="Z77" s="113">
        <v>0</v>
      </c>
      <c r="AA77" s="113">
        <v>0</v>
      </c>
      <c r="AB77" s="113">
        <v>0</v>
      </c>
      <c r="AC77" s="113">
        <v>0</v>
      </c>
      <c r="AD77" s="113">
        <v>233582</v>
      </c>
      <c r="AE77" s="113">
        <v>5177</v>
      </c>
      <c r="AF77" s="113">
        <v>25</v>
      </c>
      <c r="AG77" s="113">
        <v>0</v>
      </c>
      <c r="AH77" s="113">
        <v>0</v>
      </c>
      <c r="AI77" s="113">
        <v>0</v>
      </c>
      <c r="AJ77" s="113">
        <v>0</v>
      </c>
      <c r="AK77" s="113">
        <v>0</v>
      </c>
      <c r="AL77" s="113">
        <v>0</v>
      </c>
      <c r="AM77" s="113">
        <v>1</v>
      </c>
      <c r="AN77" s="113">
        <v>0</v>
      </c>
      <c r="AO77" s="113">
        <v>0</v>
      </c>
      <c r="AP77" s="113">
        <v>0</v>
      </c>
      <c r="AQ77" s="113">
        <v>0</v>
      </c>
      <c r="AR77" s="113">
        <v>0</v>
      </c>
      <c r="AS77" s="113">
        <v>0</v>
      </c>
      <c r="AT77" s="113">
        <v>0</v>
      </c>
      <c r="AU77" s="113">
        <v>0</v>
      </c>
      <c r="AV77" s="113">
        <v>0</v>
      </c>
      <c r="AW77" s="113">
        <v>0</v>
      </c>
      <c r="AX77" s="113">
        <v>0</v>
      </c>
      <c r="AY77" s="113">
        <v>62504</v>
      </c>
      <c r="AZ77" s="113">
        <v>1388</v>
      </c>
      <c r="BA77" s="113">
        <v>5</v>
      </c>
      <c r="BB77" s="113">
        <v>8351</v>
      </c>
      <c r="BC77" s="113">
        <v>184</v>
      </c>
      <c r="BD77" s="113">
        <v>1</v>
      </c>
      <c r="BF77" s="113">
        <f t="shared" si="4"/>
        <v>508957</v>
      </c>
      <c r="BG77" s="113">
        <f t="shared" si="5"/>
        <v>11291</v>
      </c>
      <c r="BH77" s="113">
        <f t="shared" si="6"/>
        <v>0</v>
      </c>
      <c r="BI77" s="113">
        <f t="shared" si="7"/>
        <v>77</v>
      </c>
    </row>
    <row r="78" spans="1:61">
      <c r="A78" s="102" t="s">
        <v>120</v>
      </c>
      <c r="B78" s="24" t="s">
        <v>499</v>
      </c>
      <c r="C78" s="103" t="s">
        <v>116</v>
      </c>
      <c r="D78" s="113">
        <v>0</v>
      </c>
      <c r="E78" s="113">
        <v>159824</v>
      </c>
      <c r="F78" s="113">
        <v>3804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  <c r="O78" s="113">
        <v>0</v>
      </c>
      <c r="P78" s="113">
        <v>0</v>
      </c>
      <c r="Q78" s="113">
        <v>0</v>
      </c>
      <c r="R78" s="113">
        <v>0</v>
      </c>
      <c r="S78" s="113">
        <v>0</v>
      </c>
      <c r="T78" s="113">
        <v>0</v>
      </c>
      <c r="U78" s="113">
        <v>0</v>
      </c>
      <c r="V78" s="113">
        <v>0</v>
      </c>
      <c r="W78" s="113">
        <v>0</v>
      </c>
      <c r="X78" s="113">
        <v>0</v>
      </c>
      <c r="Y78" s="113">
        <v>0</v>
      </c>
      <c r="Z78" s="113">
        <v>0</v>
      </c>
      <c r="AA78" s="113">
        <v>0</v>
      </c>
      <c r="AB78" s="113">
        <v>0</v>
      </c>
      <c r="AC78" s="113">
        <v>0</v>
      </c>
      <c r="AD78" s="113">
        <v>151352</v>
      </c>
      <c r="AE78" s="113">
        <v>3599</v>
      </c>
      <c r="AF78" s="113">
        <v>0</v>
      </c>
      <c r="AG78" s="113">
        <v>0</v>
      </c>
      <c r="AH78" s="113">
        <v>0</v>
      </c>
      <c r="AI78" s="113">
        <v>0</v>
      </c>
      <c r="AJ78" s="113">
        <v>0</v>
      </c>
      <c r="AK78" s="113">
        <v>0</v>
      </c>
      <c r="AL78" s="113">
        <v>0</v>
      </c>
      <c r="AM78" s="113">
        <v>0</v>
      </c>
      <c r="AN78" s="113">
        <v>0</v>
      </c>
      <c r="AO78" s="113">
        <v>0</v>
      </c>
      <c r="AP78" s="113">
        <v>10097</v>
      </c>
      <c r="AQ78" s="113">
        <v>240</v>
      </c>
      <c r="AR78" s="113">
        <v>0</v>
      </c>
      <c r="AS78" s="113">
        <v>0</v>
      </c>
      <c r="AT78" s="113">
        <v>0</v>
      </c>
      <c r="AU78" s="113">
        <v>0</v>
      </c>
      <c r="AV78" s="113">
        <v>0</v>
      </c>
      <c r="AW78" s="113">
        <v>0</v>
      </c>
      <c r="AX78" s="113">
        <v>0</v>
      </c>
      <c r="AY78" s="113">
        <v>50402</v>
      </c>
      <c r="AZ78" s="113">
        <v>1017</v>
      </c>
      <c r="BA78" s="113">
        <v>0</v>
      </c>
      <c r="BB78" s="113">
        <v>0</v>
      </c>
      <c r="BC78" s="113">
        <v>0</v>
      </c>
      <c r="BD78" s="113">
        <v>0</v>
      </c>
      <c r="BF78" s="113">
        <f t="shared" si="4"/>
        <v>311176</v>
      </c>
      <c r="BG78" s="113">
        <f t="shared" si="5"/>
        <v>7403</v>
      </c>
      <c r="BH78" s="113">
        <f t="shared" si="6"/>
        <v>0</v>
      </c>
      <c r="BI78" s="113">
        <f t="shared" si="7"/>
        <v>0</v>
      </c>
    </row>
    <row r="79" spans="1:61">
      <c r="A79" s="102" t="s">
        <v>121</v>
      </c>
      <c r="B79" s="24" t="s">
        <v>500</v>
      </c>
      <c r="C79" s="103" t="s">
        <v>116</v>
      </c>
      <c r="D79" s="113">
        <v>0</v>
      </c>
      <c r="E79" s="113">
        <v>126907</v>
      </c>
      <c r="F79" s="113">
        <v>2897</v>
      </c>
      <c r="G79" s="113">
        <v>0</v>
      </c>
      <c r="H79" s="113">
        <v>0</v>
      </c>
      <c r="I79" s="113">
        <v>0</v>
      </c>
      <c r="J79" s="113">
        <v>0</v>
      </c>
      <c r="K79" s="113">
        <v>56496</v>
      </c>
      <c r="L79" s="113">
        <v>1290</v>
      </c>
      <c r="M79" s="113">
        <v>0</v>
      </c>
      <c r="N79" s="113">
        <v>0</v>
      </c>
      <c r="O79" s="113">
        <v>0</v>
      </c>
      <c r="P79" s="113">
        <v>0</v>
      </c>
      <c r="Q79" s="113">
        <v>0</v>
      </c>
      <c r="R79" s="113">
        <v>0</v>
      </c>
      <c r="S79" s="113">
        <v>0</v>
      </c>
      <c r="T79" s="113">
        <v>0</v>
      </c>
      <c r="U79" s="113">
        <v>0</v>
      </c>
      <c r="V79" s="113">
        <v>0</v>
      </c>
      <c r="W79" s="113">
        <v>0</v>
      </c>
      <c r="X79" s="113">
        <v>0</v>
      </c>
      <c r="Y79" s="113">
        <v>0</v>
      </c>
      <c r="Z79" s="113">
        <v>0</v>
      </c>
      <c r="AA79" s="113">
        <v>0</v>
      </c>
      <c r="AB79" s="113">
        <v>0</v>
      </c>
      <c r="AC79" s="113">
        <v>0</v>
      </c>
      <c r="AD79" s="113">
        <v>72182</v>
      </c>
      <c r="AE79" s="113">
        <v>1647</v>
      </c>
      <c r="AF79" s="113">
        <v>0</v>
      </c>
      <c r="AG79" s="113">
        <v>0</v>
      </c>
      <c r="AH79" s="113">
        <v>0</v>
      </c>
      <c r="AI79" s="113">
        <v>0</v>
      </c>
      <c r="AJ79" s="113">
        <v>0</v>
      </c>
      <c r="AK79" s="113">
        <v>0</v>
      </c>
      <c r="AL79" s="113">
        <v>0</v>
      </c>
      <c r="AM79" s="113">
        <v>0</v>
      </c>
      <c r="AN79" s="113">
        <v>0</v>
      </c>
      <c r="AO79" s="113">
        <v>0</v>
      </c>
      <c r="AP79" s="113">
        <v>0</v>
      </c>
      <c r="AQ79" s="113">
        <v>0</v>
      </c>
      <c r="AR79" s="113">
        <v>0</v>
      </c>
      <c r="AS79" s="113">
        <v>0</v>
      </c>
      <c r="AT79" s="113">
        <v>0</v>
      </c>
      <c r="AU79" s="113">
        <v>0</v>
      </c>
      <c r="AV79" s="113">
        <v>0</v>
      </c>
      <c r="AW79" s="113">
        <v>0</v>
      </c>
      <c r="AX79" s="113">
        <v>0</v>
      </c>
      <c r="AY79" s="113">
        <v>21193</v>
      </c>
      <c r="AZ79" s="113">
        <v>484</v>
      </c>
      <c r="BA79" s="113">
        <v>0</v>
      </c>
      <c r="BB79" s="113">
        <v>0</v>
      </c>
      <c r="BC79" s="113">
        <v>0</v>
      </c>
      <c r="BD79" s="113">
        <v>0</v>
      </c>
      <c r="BF79" s="113">
        <f t="shared" si="4"/>
        <v>255585</v>
      </c>
      <c r="BG79" s="113">
        <f t="shared" si="5"/>
        <v>5834</v>
      </c>
      <c r="BH79" s="113">
        <f t="shared" si="6"/>
        <v>0</v>
      </c>
      <c r="BI79" s="113">
        <f t="shared" si="7"/>
        <v>0</v>
      </c>
    </row>
    <row r="80" spans="1:61">
      <c r="A80" s="102" t="s">
        <v>122</v>
      </c>
      <c r="B80" s="24" t="s">
        <v>501</v>
      </c>
      <c r="C80" s="103" t="s">
        <v>116</v>
      </c>
      <c r="D80" s="113">
        <v>452</v>
      </c>
      <c r="E80" s="113">
        <v>515717</v>
      </c>
      <c r="F80" s="113">
        <v>6396</v>
      </c>
      <c r="G80" s="113">
        <v>368</v>
      </c>
      <c r="H80" s="113">
        <v>0</v>
      </c>
      <c r="I80" s="113">
        <v>0</v>
      </c>
      <c r="J80" s="113">
        <v>0</v>
      </c>
      <c r="K80" s="113">
        <v>245014</v>
      </c>
      <c r="L80" s="113">
        <v>3036</v>
      </c>
      <c r="M80" s="113">
        <v>0</v>
      </c>
      <c r="N80" s="113">
        <v>135</v>
      </c>
      <c r="O80" s="113">
        <v>0</v>
      </c>
      <c r="P80" s="113">
        <v>0</v>
      </c>
      <c r="Q80" s="113">
        <v>0</v>
      </c>
      <c r="R80" s="113">
        <v>0</v>
      </c>
      <c r="S80" s="113">
        <v>0</v>
      </c>
      <c r="T80" s="113">
        <v>0</v>
      </c>
      <c r="U80" s="113">
        <v>0</v>
      </c>
      <c r="V80" s="113">
        <v>0</v>
      </c>
      <c r="W80" s="113">
        <v>0</v>
      </c>
      <c r="X80" s="113">
        <v>0</v>
      </c>
      <c r="Y80" s="113">
        <v>0</v>
      </c>
      <c r="Z80" s="113">
        <v>0</v>
      </c>
      <c r="AA80" s="113">
        <v>0</v>
      </c>
      <c r="AB80" s="113">
        <v>0</v>
      </c>
      <c r="AC80" s="113">
        <v>0</v>
      </c>
      <c r="AD80" s="113">
        <v>640571</v>
      </c>
      <c r="AE80" s="113">
        <v>7946</v>
      </c>
      <c r="AF80" s="113">
        <v>521</v>
      </c>
      <c r="AG80" s="113">
        <v>0</v>
      </c>
      <c r="AH80" s="113">
        <v>0</v>
      </c>
      <c r="AI80" s="113">
        <v>0</v>
      </c>
      <c r="AJ80" s="113">
        <v>0</v>
      </c>
      <c r="AK80" s="113">
        <v>0</v>
      </c>
      <c r="AL80" s="113">
        <v>0</v>
      </c>
      <c r="AM80" s="113">
        <v>0</v>
      </c>
      <c r="AN80" s="113">
        <v>0</v>
      </c>
      <c r="AO80" s="113">
        <v>0</v>
      </c>
      <c r="AP80" s="113">
        <v>0</v>
      </c>
      <c r="AQ80" s="113">
        <v>0</v>
      </c>
      <c r="AR80" s="113">
        <v>0</v>
      </c>
      <c r="AS80" s="113">
        <v>0</v>
      </c>
      <c r="AT80" s="113">
        <v>0</v>
      </c>
      <c r="AU80" s="113">
        <v>0</v>
      </c>
      <c r="AV80" s="113">
        <v>0</v>
      </c>
      <c r="AW80" s="113">
        <v>0</v>
      </c>
      <c r="AX80" s="113">
        <v>0</v>
      </c>
      <c r="AY80" s="113">
        <v>0</v>
      </c>
      <c r="AZ80" s="113">
        <v>0</v>
      </c>
      <c r="BA80" s="113">
        <v>0</v>
      </c>
      <c r="BB80" s="113">
        <v>0</v>
      </c>
      <c r="BC80" s="113">
        <v>0</v>
      </c>
      <c r="BD80" s="113">
        <v>0</v>
      </c>
      <c r="BF80" s="113">
        <f t="shared" si="4"/>
        <v>1401302</v>
      </c>
      <c r="BG80" s="113">
        <f t="shared" si="5"/>
        <v>17378</v>
      </c>
      <c r="BH80" s="113">
        <f t="shared" si="6"/>
        <v>0</v>
      </c>
      <c r="BI80" s="113">
        <f t="shared" si="7"/>
        <v>1476</v>
      </c>
    </row>
    <row r="81" spans="1:61">
      <c r="A81" s="102" t="s">
        <v>123</v>
      </c>
      <c r="B81" s="24" t="s">
        <v>502</v>
      </c>
      <c r="C81" s="103" t="s">
        <v>116</v>
      </c>
      <c r="D81" s="113">
        <v>0</v>
      </c>
      <c r="E81" s="113">
        <v>678042</v>
      </c>
      <c r="F81" s="113">
        <v>5348</v>
      </c>
      <c r="G81" s="113">
        <v>0</v>
      </c>
      <c r="H81" s="113">
        <v>0</v>
      </c>
      <c r="I81" s="113">
        <v>0</v>
      </c>
      <c r="J81" s="113">
        <v>0</v>
      </c>
      <c r="K81" s="113">
        <v>189252</v>
      </c>
      <c r="L81" s="113">
        <v>1494</v>
      </c>
      <c r="M81" s="113">
        <v>0</v>
      </c>
      <c r="N81" s="113">
        <v>0</v>
      </c>
      <c r="O81" s="113">
        <v>0</v>
      </c>
      <c r="P81" s="113">
        <v>0</v>
      </c>
      <c r="Q81" s="113">
        <v>0</v>
      </c>
      <c r="R81" s="113">
        <v>0</v>
      </c>
      <c r="S81" s="113">
        <v>0</v>
      </c>
      <c r="T81" s="113">
        <v>0</v>
      </c>
      <c r="U81" s="113">
        <v>0</v>
      </c>
      <c r="V81" s="113">
        <v>0</v>
      </c>
      <c r="W81" s="113">
        <v>0</v>
      </c>
      <c r="X81" s="113">
        <v>0</v>
      </c>
      <c r="Y81" s="113">
        <v>0</v>
      </c>
      <c r="Z81" s="113">
        <v>0</v>
      </c>
      <c r="AA81" s="113">
        <v>0</v>
      </c>
      <c r="AB81" s="113">
        <v>0</v>
      </c>
      <c r="AC81" s="113">
        <v>0</v>
      </c>
      <c r="AD81" s="113">
        <v>0</v>
      </c>
      <c r="AE81" s="113">
        <v>0</v>
      </c>
      <c r="AF81" s="113">
        <v>0</v>
      </c>
      <c r="AG81" s="113">
        <v>594146</v>
      </c>
      <c r="AH81" s="113">
        <v>4703</v>
      </c>
      <c r="AI81" s="113">
        <v>0</v>
      </c>
      <c r="AJ81" s="113">
        <v>0</v>
      </c>
      <c r="AK81" s="113">
        <v>0</v>
      </c>
      <c r="AL81" s="113">
        <v>0</v>
      </c>
      <c r="AM81" s="113">
        <v>16532</v>
      </c>
      <c r="AN81" s="113">
        <v>126</v>
      </c>
      <c r="AO81" s="113">
        <v>0</v>
      </c>
      <c r="AP81" s="113">
        <v>0</v>
      </c>
      <c r="AQ81" s="113">
        <v>0</v>
      </c>
      <c r="AR81" s="113">
        <v>0</v>
      </c>
      <c r="AS81" s="113">
        <v>0</v>
      </c>
      <c r="AT81" s="113">
        <v>0</v>
      </c>
      <c r="AU81" s="113">
        <v>0</v>
      </c>
      <c r="AV81" s="113">
        <v>0</v>
      </c>
      <c r="AW81" s="113">
        <v>0</v>
      </c>
      <c r="AX81" s="113">
        <v>0</v>
      </c>
      <c r="AY81" s="113">
        <v>47265</v>
      </c>
      <c r="AZ81" s="113">
        <v>373</v>
      </c>
      <c r="BA81" s="113">
        <v>0</v>
      </c>
      <c r="BB81" s="113">
        <v>0</v>
      </c>
      <c r="BC81" s="113">
        <v>0</v>
      </c>
      <c r="BD81" s="113">
        <v>0</v>
      </c>
      <c r="BF81" s="113">
        <f t="shared" si="4"/>
        <v>1477972</v>
      </c>
      <c r="BG81" s="113">
        <f t="shared" si="5"/>
        <v>11671</v>
      </c>
      <c r="BH81" s="113">
        <f t="shared" si="6"/>
        <v>0</v>
      </c>
      <c r="BI81" s="113">
        <f t="shared" si="7"/>
        <v>0</v>
      </c>
    </row>
    <row r="82" spans="1:61">
      <c r="A82" s="102" t="s">
        <v>124</v>
      </c>
      <c r="B82" s="24" t="s">
        <v>503</v>
      </c>
      <c r="C82" s="103" t="s">
        <v>116</v>
      </c>
      <c r="D82" s="113">
        <v>0</v>
      </c>
      <c r="E82" s="113">
        <v>176106</v>
      </c>
      <c r="F82" s="113">
        <v>0</v>
      </c>
      <c r="G82" s="113">
        <v>0</v>
      </c>
      <c r="H82" s="113">
        <v>0</v>
      </c>
      <c r="I82" s="113">
        <v>0</v>
      </c>
      <c r="J82" s="113">
        <v>0</v>
      </c>
      <c r="K82" s="113">
        <v>70479</v>
      </c>
      <c r="L82" s="113">
        <v>0</v>
      </c>
      <c r="M82" s="113">
        <v>0</v>
      </c>
      <c r="N82" s="113">
        <v>0</v>
      </c>
      <c r="O82" s="113">
        <v>0</v>
      </c>
      <c r="P82" s="113">
        <v>0</v>
      </c>
      <c r="Q82" s="113">
        <v>0</v>
      </c>
      <c r="R82" s="113">
        <v>0</v>
      </c>
      <c r="S82" s="113">
        <v>0</v>
      </c>
      <c r="T82" s="113">
        <v>0</v>
      </c>
      <c r="U82" s="113">
        <v>0</v>
      </c>
      <c r="V82" s="113">
        <v>0</v>
      </c>
      <c r="W82" s="113">
        <v>0</v>
      </c>
      <c r="X82" s="113">
        <v>0</v>
      </c>
      <c r="Y82" s="113">
        <v>0</v>
      </c>
      <c r="Z82" s="113">
        <v>0</v>
      </c>
      <c r="AA82" s="113">
        <v>0</v>
      </c>
      <c r="AB82" s="113">
        <v>0</v>
      </c>
      <c r="AC82" s="113">
        <v>0</v>
      </c>
      <c r="AD82" s="113">
        <v>143128</v>
      </c>
      <c r="AE82" s="113">
        <v>0</v>
      </c>
      <c r="AF82" s="113">
        <v>0</v>
      </c>
      <c r="AG82" s="113">
        <v>0</v>
      </c>
      <c r="AH82" s="113">
        <v>0</v>
      </c>
      <c r="AI82" s="113">
        <v>0</v>
      </c>
      <c r="AJ82" s="113">
        <v>0</v>
      </c>
      <c r="AK82" s="113">
        <v>0</v>
      </c>
      <c r="AL82" s="113">
        <v>0</v>
      </c>
      <c r="AM82" s="113">
        <v>0</v>
      </c>
      <c r="AN82" s="113">
        <v>0</v>
      </c>
      <c r="AO82" s="113">
        <v>0</v>
      </c>
      <c r="AP82" s="113">
        <v>0</v>
      </c>
      <c r="AQ82" s="113">
        <v>0</v>
      </c>
      <c r="AR82" s="113">
        <v>0</v>
      </c>
      <c r="AS82" s="113">
        <v>0</v>
      </c>
      <c r="AT82" s="113">
        <v>0</v>
      </c>
      <c r="AU82" s="113">
        <v>0</v>
      </c>
      <c r="AV82" s="113">
        <v>0</v>
      </c>
      <c r="AW82" s="113">
        <v>0</v>
      </c>
      <c r="AX82" s="113">
        <v>0</v>
      </c>
      <c r="AY82" s="113">
        <v>0</v>
      </c>
      <c r="AZ82" s="113">
        <v>0</v>
      </c>
      <c r="BA82" s="113">
        <v>0</v>
      </c>
      <c r="BB82" s="113">
        <v>0</v>
      </c>
      <c r="BC82" s="113">
        <v>0</v>
      </c>
      <c r="BD82" s="113">
        <v>0</v>
      </c>
      <c r="BF82" s="113">
        <f t="shared" si="4"/>
        <v>389713</v>
      </c>
      <c r="BG82" s="113">
        <f t="shared" si="5"/>
        <v>0</v>
      </c>
      <c r="BH82" s="113">
        <f t="shared" si="6"/>
        <v>0</v>
      </c>
      <c r="BI82" s="113">
        <f t="shared" si="7"/>
        <v>0</v>
      </c>
    </row>
    <row r="83" spans="1:61">
      <c r="A83" s="102" t="s">
        <v>125</v>
      </c>
      <c r="B83" s="24" t="s">
        <v>504</v>
      </c>
      <c r="C83" s="103" t="s">
        <v>116</v>
      </c>
      <c r="D83" s="113">
        <v>0</v>
      </c>
      <c r="E83" s="113">
        <v>78970</v>
      </c>
      <c r="F83" s="113">
        <v>1768</v>
      </c>
      <c r="G83" s="113">
        <v>0</v>
      </c>
      <c r="H83" s="113">
        <v>0</v>
      </c>
      <c r="I83" s="113">
        <v>0</v>
      </c>
      <c r="J83" s="113">
        <v>0</v>
      </c>
      <c r="K83" s="113">
        <v>21700</v>
      </c>
      <c r="L83" s="113">
        <v>476</v>
      </c>
      <c r="M83" s="113">
        <v>0</v>
      </c>
      <c r="N83" s="113">
        <v>0</v>
      </c>
      <c r="O83" s="113">
        <v>0</v>
      </c>
      <c r="P83" s="113">
        <v>0</v>
      </c>
      <c r="Q83" s="113">
        <v>0</v>
      </c>
      <c r="R83" s="113">
        <v>0</v>
      </c>
      <c r="S83" s="113">
        <v>0</v>
      </c>
      <c r="T83" s="113">
        <v>0</v>
      </c>
      <c r="U83" s="113">
        <v>0</v>
      </c>
      <c r="V83" s="113">
        <v>0</v>
      </c>
      <c r="W83" s="113">
        <v>0</v>
      </c>
      <c r="X83" s="113">
        <v>0</v>
      </c>
      <c r="Y83" s="113">
        <v>0</v>
      </c>
      <c r="Z83" s="113">
        <v>0</v>
      </c>
      <c r="AA83" s="113">
        <v>0</v>
      </c>
      <c r="AB83" s="113">
        <v>0</v>
      </c>
      <c r="AC83" s="113">
        <v>0</v>
      </c>
      <c r="AD83" s="113">
        <v>47104</v>
      </c>
      <c r="AE83" s="113">
        <v>1061</v>
      </c>
      <c r="AF83" s="113">
        <v>0</v>
      </c>
      <c r="AG83" s="113">
        <v>0</v>
      </c>
      <c r="AH83" s="113">
        <v>0</v>
      </c>
      <c r="AI83" s="113">
        <v>0</v>
      </c>
      <c r="AJ83" s="113">
        <v>0</v>
      </c>
      <c r="AK83" s="113">
        <v>0</v>
      </c>
      <c r="AL83" s="113">
        <v>0</v>
      </c>
      <c r="AM83" s="113">
        <v>0</v>
      </c>
      <c r="AN83" s="113">
        <v>0</v>
      </c>
      <c r="AO83" s="113">
        <v>0</v>
      </c>
      <c r="AP83" s="113">
        <v>0</v>
      </c>
      <c r="AQ83" s="113">
        <v>0</v>
      </c>
      <c r="AR83" s="113">
        <v>0</v>
      </c>
      <c r="AS83" s="113">
        <v>0</v>
      </c>
      <c r="AT83" s="113">
        <v>0</v>
      </c>
      <c r="AU83" s="113">
        <v>0</v>
      </c>
      <c r="AV83" s="113">
        <v>0</v>
      </c>
      <c r="AW83" s="113">
        <v>0</v>
      </c>
      <c r="AX83" s="113">
        <v>0</v>
      </c>
      <c r="AY83" s="113">
        <v>12717</v>
      </c>
      <c r="AZ83" s="113">
        <v>286</v>
      </c>
      <c r="BA83" s="113">
        <v>0</v>
      </c>
      <c r="BB83" s="113">
        <v>1942</v>
      </c>
      <c r="BC83" s="113">
        <v>44</v>
      </c>
      <c r="BD83" s="113">
        <v>0</v>
      </c>
      <c r="BF83" s="113">
        <f t="shared" si="4"/>
        <v>147774</v>
      </c>
      <c r="BG83" s="113">
        <f t="shared" si="5"/>
        <v>3305</v>
      </c>
      <c r="BH83" s="113">
        <f t="shared" si="6"/>
        <v>0</v>
      </c>
      <c r="BI83" s="113">
        <f t="shared" si="7"/>
        <v>0</v>
      </c>
    </row>
    <row r="84" spans="1:61">
      <c r="A84" s="102" t="s">
        <v>126</v>
      </c>
      <c r="B84" s="24" t="s">
        <v>505</v>
      </c>
      <c r="C84" s="103" t="s">
        <v>127</v>
      </c>
      <c r="D84" s="113">
        <v>0</v>
      </c>
      <c r="E84" s="113">
        <v>11116</v>
      </c>
      <c r="F84" s="113">
        <v>318</v>
      </c>
      <c r="G84" s="113">
        <v>0</v>
      </c>
      <c r="H84" s="113">
        <v>0</v>
      </c>
      <c r="I84" s="113">
        <v>0</v>
      </c>
      <c r="J84" s="113">
        <v>0</v>
      </c>
      <c r="K84" s="113">
        <v>4893</v>
      </c>
      <c r="L84" s="113">
        <v>147</v>
      </c>
      <c r="M84" s="113">
        <v>0</v>
      </c>
      <c r="N84" s="113">
        <v>0</v>
      </c>
      <c r="O84" s="113">
        <v>0</v>
      </c>
      <c r="P84" s="113">
        <v>0</v>
      </c>
      <c r="Q84" s="113">
        <v>0</v>
      </c>
      <c r="R84" s="113">
        <v>0</v>
      </c>
      <c r="S84" s="113">
        <v>0</v>
      </c>
      <c r="T84" s="113">
        <v>0</v>
      </c>
      <c r="U84" s="113">
        <v>0</v>
      </c>
      <c r="V84" s="113">
        <v>0</v>
      </c>
      <c r="W84" s="113">
        <v>0</v>
      </c>
      <c r="X84" s="113">
        <v>0</v>
      </c>
      <c r="Y84" s="113">
        <v>0</v>
      </c>
      <c r="Z84" s="113">
        <v>0</v>
      </c>
      <c r="AA84" s="113">
        <v>0</v>
      </c>
      <c r="AB84" s="113">
        <v>0</v>
      </c>
      <c r="AC84" s="113">
        <v>0</v>
      </c>
      <c r="AD84" s="113">
        <v>0</v>
      </c>
      <c r="AE84" s="113">
        <v>0</v>
      </c>
      <c r="AF84" s="113">
        <v>0</v>
      </c>
      <c r="AG84" s="113">
        <v>0</v>
      </c>
      <c r="AH84" s="113">
        <v>0</v>
      </c>
      <c r="AI84" s="113">
        <v>0</v>
      </c>
      <c r="AJ84" s="113">
        <v>0</v>
      </c>
      <c r="AK84" s="113">
        <v>0</v>
      </c>
      <c r="AL84" s="113">
        <v>0</v>
      </c>
      <c r="AM84" s="113">
        <v>0</v>
      </c>
      <c r="AN84" s="113">
        <v>0</v>
      </c>
      <c r="AO84" s="113">
        <v>0</v>
      </c>
      <c r="AP84" s="113">
        <v>0</v>
      </c>
      <c r="AQ84" s="113">
        <v>0</v>
      </c>
      <c r="AR84" s="113">
        <v>0</v>
      </c>
      <c r="AS84" s="113">
        <v>0</v>
      </c>
      <c r="AT84" s="113">
        <v>0</v>
      </c>
      <c r="AU84" s="113">
        <v>0</v>
      </c>
      <c r="AV84" s="113">
        <v>0</v>
      </c>
      <c r="AW84" s="113">
        <v>0</v>
      </c>
      <c r="AX84" s="113">
        <v>0</v>
      </c>
      <c r="AY84" s="113">
        <v>0</v>
      </c>
      <c r="AZ84" s="113">
        <v>0</v>
      </c>
      <c r="BA84" s="113">
        <v>0</v>
      </c>
      <c r="BB84" s="113">
        <v>0</v>
      </c>
      <c r="BC84" s="113">
        <v>0</v>
      </c>
      <c r="BD84" s="113">
        <v>0</v>
      </c>
      <c r="BF84" s="113">
        <f t="shared" si="4"/>
        <v>16009</v>
      </c>
      <c r="BG84" s="113">
        <f t="shared" si="5"/>
        <v>465</v>
      </c>
      <c r="BH84" s="113">
        <f t="shared" si="6"/>
        <v>0</v>
      </c>
      <c r="BI84" s="113">
        <f t="shared" si="7"/>
        <v>0</v>
      </c>
    </row>
    <row r="85" spans="1:61">
      <c r="A85" s="102" t="s">
        <v>128</v>
      </c>
      <c r="B85" s="24" t="s">
        <v>506</v>
      </c>
      <c r="C85" s="103" t="s">
        <v>127</v>
      </c>
      <c r="D85" s="113">
        <v>0</v>
      </c>
      <c r="E85" s="113">
        <v>39083</v>
      </c>
      <c r="F85" s="113">
        <v>613</v>
      </c>
      <c r="G85" s="113">
        <v>0</v>
      </c>
      <c r="H85" s="113">
        <v>0</v>
      </c>
      <c r="I85" s="113">
        <v>0</v>
      </c>
      <c r="J85" s="113">
        <v>0</v>
      </c>
      <c r="K85" s="113">
        <v>15940</v>
      </c>
      <c r="L85" s="113">
        <v>261</v>
      </c>
      <c r="M85" s="113">
        <v>0</v>
      </c>
      <c r="N85" s="113">
        <v>0</v>
      </c>
      <c r="O85" s="113">
        <v>0</v>
      </c>
      <c r="P85" s="113">
        <v>0</v>
      </c>
      <c r="Q85" s="113">
        <v>0</v>
      </c>
      <c r="R85" s="113">
        <v>0</v>
      </c>
      <c r="S85" s="113">
        <v>0</v>
      </c>
      <c r="T85" s="113">
        <v>0</v>
      </c>
      <c r="U85" s="113">
        <v>0</v>
      </c>
      <c r="V85" s="113">
        <v>0</v>
      </c>
      <c r="W85" s="113">
        <v>0</v>
      </c>
      <c r="X85" s="113">
        <v>0</v>
      </c>
      <c r="Y85" s="113">
        <v>0</v>
      </c>
      <c r="Z85" s="113">
        <v>0</v>
      </c>
      <c r="AA85" s="113">
        <v>0</v>
      </c>
      <c r="AB85" s="113">
        <v>0</v>
      </c>
      <c r="AC85" s="113">
        <v>0</v>
      </c>
      <c r="AD85" s="113">
        <v>15814</v>
      </c>
      <c r="AE85" s="113">
        <v>246</v>
      </c>
      <c r="AF85" s="113">
        <v>0</v>
      </c>
      <c r="AG85" s="113">
        <v>0</v>
      </c>
      <c r="AH85" s="113">
        <v>0</v>
      </c>
      <c r="AI85" s="113">
        <v>0</v>
      </c>
      <c r="AJ85" s="113">
        <v>0</v>
      </c>
      <c r="AK85" s="113">
        <v>0</v>
      </c>
      <c r="AL85" s="113">
        <v>0</v>
      </c>
      <c r="AM85" s="113">
        <v>0</v>
      </c>
      <c r="AN85" s="113">
        <v>0</v>
      </c>
      <c r="AO85" s="113">
        <v>0</v>
      </c>
      <c r="AP85" s="113">
        <v>0</v>
      </c>
      <c r="AQ85" s="113">
        <v>0</v>
      </c>
      <c r="AR85" s="113">
        <v>0</v>
      </c>
      <c r="AS85" s="113">
        <v>0</v>
      </c>
      <c r="AT85" s="113">
        <v>0</v>
      </c>
      <c r="AU85" s="113">
        <v>0</v>
      </c>
      <c r="AV85" s="113">
        <v>0</v>
      </c>
      <c r="AW85" s="113">
        <v>0</v>
      </c>
      <c r="AX85" s="113">
        <v>0</v>
      </c>
      <c r="AY85" s="113">
        <v>5169</v>
      </c>
      <c r="AZ85" s="113">
        <v>80</v>
      </c>
      <c r="BA85" s="113">
        <v>0</v>
      </c>
      <c r="BB85" s="113">
        <v>0</v>
      </c>
      <c r="BC85" s="113">
        <v>0</v>
      </c>
      <c r="BD85" s="113">
        <v>0</v>
      </c>
      <c r="BF85" s="113">
        <f t="shared" si="4"/>
        <v>70837</v>
      </c>
      <c r="BG85" s="113">
        <f t="shared" si="5"/>
        <v>1120</v>
      </c>
      <c r="BH85" s="113">
        <f t="shared" si="6"/>
        <v>0</v>
      </c>
      <c r="BI85" s="113">
        <f t="shared" si="7"/>
        <v>0</v>
      </c>
    </row>
    <row r="86" spans="1:61">
      <c r="A86" s="102" t="s">
        <v>129</v>
      </c>
      <c r="B86" s="24" t="s">
        <v>507</v>
      </c>
      <c r="C86" s="103" t="s">
        <v>127</v>
      </c>
      <c r="D86" s="113">
        <v>0</v>
      </c>
      <c r="E86" s="113">
        <v>39707</v>
      </c>
      <c r="F86" s="113">
        <v>1166</v>
      </c>
      <c r="G86" s="113">
        <v>0</v>
      </c>
      <c r="H86" s="113">
        <v>0</v>
      </c>
      <c r="I86" s="113">
        <v>0</v>
      </c>
      <c r="J86" s="113">
        <v>0</v>
      </c>
      <c r="K86" s="113">
        <v>15690</v>
      </c>
      <c r="L86" s="113">
        <v>241</v>
      </c>
      <c r="M86" s="113">
        <v>0</v>
      </c>
      <c r="N86" s="113">
        <v>0</v>
      </c>
      <c r="O86" s="113">
        <v>0</v>
      </c>
      <c r="P86" s="113">
        <v>0</v>
      </c>
      <c r="Q86" s="113">
        <v>0</v>
      </c>
      <c r="R86" s="113">
        <v>0</v>
      </c>
      <c r="S86" s="113">
        <v>0</v>
      </c>
      <c r="T86" s="113">
        <v>0</v>
      </c>
      <c r="U86" s="113">
        <v>0</v>
      </c>
      <c r="V86" s="113">
        <v>0</v>
      </c>
      <c r="W86" s="113">
        <v>0</v>
      </c>
      <c r="X86" s="113">
        <v>0</v>
      </c>
      <c r="Y86" s="113">
        <v>0</v>
      </c>
      <c r="Z86" s="113">
        <v>0</v>
      </c>
      <c r="AA86" s="113">
        <v>0</v>
      </c>
      <c r="AB86" s="113">
        <v>0</v>
      </c>
      <c r="AC86" s="113">
        <v>0</v>
      </c>
      <c r="AD86" s="113">
        <v>0</v>
      </c>
      <c r="AE86" s="113">
        <v>0</v>
      </c>
      <c r="AF86" s="113">
        <v>0</v>
      </c>
      <c r="AG86" s="113">
        <v>0</v>
      </c>
      <c r="AH86" s="113">
        <v>0</v>
      </c>
      <c r="AI86" s="113">
        <v>0</v>
      </c>
      <c r="AJ86" s="113">
        <v>0</v>
      </c>
      <c r="AK86" s="113">
        <v>0</v>
      </c>
      <c r="AL86" s="113">
        <v>0</v>
      </c>
      <c r="AM86" s="113">
        <v>0</v>
      </c>
      <c r="AN86" s="113">
        <v>0</v>
      </c>
      <c r="AO86" s="113">
        <v>0</v>
      </c>
      <c r="AP86" s="113">
        <v>0</v>
      </c>
      <c r="AQ86" s="113">
        <v>0</v>
      </c>
      <c r="AR86" s="113">
        <v>0</v>
      </c>
      <c r="AS86" s="113">
        <v>0</v>
      </c>
      <c r="AT86" s="113">
        <v>0</v>
      </c>
      <c r="AU86" s="113">
        <v>0</v>
      </c>
      <c r="AV86" s="113">
        <v>0</v>
      </c>
      <c r="AW86" s="113">
        <v>0</v>
      </c>
      <c r="AX86" s="113">
        <v>0</v>
      </c>
      <c r="AY86" s="113">
        <v>4914</v>
      </c>
      <c r="AZ86" s="113">
        <v>124</v>
      </c>
      <c r="BA86" s="113">
        <v>0</v>
      </c>
      <c r="BB86" s="113">
        <v>0</v>
      </c>
      <c r="BC86" s="113">
        <v>0</v>
      </c>
      <c r="BD86" s="113">
        <v>0</v>
      </c>
      <c r="BF86" s="113">
        <f t="shared" si="4"/>
        <v>55397</v>
      </c>
      <c r="BG86" s="113">
        <f t="shared" si="5"/>
        <v>1407</v>
      </c>
      <c r="BH86" s="113">
        <f t="shared" si="6"/>
        <v>0</v>
      </c>
      <c r="BI86" s="113">
        <f t="shared" si="7"/>
        <v>0</v>
      </c>
    </row>
    <row r="87" spans="1:61">
      <c r="A87" s="102" t="s">
        <v>130</v>
      </c>
      <c r="B87" s="24" t="s">
        <v>508</v>
      </c>
      <c r="C87" s="103" t="s">
        <v>131</v>
      </c>
      <c r="D87" s="113">
        <v>0</v>
      </c>
      <c r="E87" s="113">
        <v>70824</v>
      </c>
      <c r="F87" s="113">
        <v>1092</v>
      </c>
      <c r="G87" s="113">
        <v>0</v>
      </c>
      <c r="H87" s="113">
        <v>0</v>
      </c>
      <c r="I87" s="113">
        <v>0</v>
      </c>
      <c r="J87" s="113">
        <v>0</v>
      </c>
      <c r="K87" s="113">
        <v>12031</v>
      </c>
      <c r="L87" s="113">
        <v>189</v>
      </c>
      <c r="M87" s="113">
        <v>0</v>
      </c>
      <c r="N87" s="113">
        <v>0</v>
      </c>
      <c r="O87" s="113">
        <v>0</v>
      </c>
      <c r="P87" s="113">
        <v>0</v>
      </c>
      <c r="Q87" s="113">
        <v>0</v>
      </c>
      <c r="R87" s="113">
        <v>0</v>
      </c>
      <c r="S87" s="113">
        <v>0</v>
      </c>
      <c r="T87" s="113">
        <v>0</v>
      </c>
      <c r="U87" s="113">
        <v>0</v>
      </c>
      <c r="V87" s="113">
        <v>0</v>
      </c>
      <c r="W87" s="113">
        <v>0</v>
      </c>
      <c r="X87" s="113">
        <v>0</v>
      </c>
      <c r="Y87" s="113">
        <v>0</v>
      </c>
      <c r="Z87" s="113">
        <v>0</v>
      </c>
      <c r="AA87" s="113">
        <v>0</v>
      </c>
      <c r="AB87" s="113">
        <v>0</v>
      </c>
      <c r="AC87" s="113">
        <v>0</v>
      </c>
      <c r="AD87" s="113">
        <v>0</v>
      </c>
      <c r="AE87" s="113">
        <v>0</v>
      </c>
      <c r="AF87" s="113">
        <v>0</v>
      </c>
      <c r="AG87" s="113">
        <v>0</v>
      </c>
      <c r="AH87" s="113">
        <v>0</v>
      </c>
      <c r="AI87" s="113">
        <v>0</v>
      </c>
      <c r="AJ87" s="113">
        <v>0</v>
      </c>
      <c r="AK87" s="113">
        <v>0</v>
      </c>
      <c r="AL87" s="113">
        <v>0</v>
      </c>
      <c r="AM87" s="113">
        <v>0</v>
      </c>
      <c r="AN87" s="113">
        <v>0</v>
      </c>
      <c r="AO87" s="113">
        <v>0</v>
      </c>
      <c r="AP87" s="113">
        <v>0</v>
      </c>
      <c r="AQ87" s="113">
        <v>0</v>
      </c>
      <c r="AR87" s="113">
        <v>0</v>
      </c>
      <c r="AS87" s="113">
        <v>0</v>
      </c>
      <c r="AT87" s="113">
        <v>0</v>
      </c>
      <c r="AU87" s="113">
        <v>0</v>
      </c>
      <c r="AV87" s="113">
        <v>0</v>
      </c>
      <c r="AW87" s="113">
        <v>0</v>
      </c>
      <c r="AX87" s="113">
        <v>0</v>
      </c>
      <c r="AY87" s="113">
        <v>0</v>
      </c>
      <c r="AZ87" s="113">
        <v>0</v>
      </c>
      <c r="BA87" s="113">
        <v>0</v>
      </c>
      <c r="BB87" s="113">
        <v>0</v>
      </c>
      <c r="BC87" s="113">
        <v>0</v>
      </c>
      <c r="BD87" s="113">
        <v>0</v>
      </c>
      <c r="BF87" s="113">
        <f t="shared" si="4"/>
        <v>82855</v>
      </c>
      <c r="BG87" s="113">
        <f t="shared" si="5"/>
        <v>1281</v>
      </c>
      <c r="BH87" s="113">
        <f t="shared" si="6"/>
        <v>0</v>
      </c>
      <c r="BI87" s="113">
        <f t="shared" si="7"/>
        <v>0</v>
      </c>
    </row>
    <row r="88" spans="1:61">
      <c r="A88" s="102" t="s">
        <v>132</v>
      </c>
      <c r="B88" s="24" t="s">
        <v>509</v>
      </c>
      <c r="C88" s="103" t="s">
        <v>131</v>
      </c>
      <c r="D88" s="113">
        <v>0</v>
      </c>
      <c r="E88" s="113">
        <v>140959</v>
      </c>
      <c r="F88" s="113">
        <v>1919</v>
      </c>
      <c r="G88" s="113">
        <v>0</v>
      </c>
      <c r="H88" s="113">
        <v>0</v>
      </c>
      <c r="I88" s="113">
        <v>0</v>
      </c>
      <c r="J88" s="113">
        <v>0</v>
      </c>
      <c r="K88" s="113">
        <v>37428</v>
      </c>
      <c r="L88" s="113">
        <v>509</v>
      </c>
      <c r="M88" s="113">
        <v>0</v>
      </c>
      <c r="N88" s="113">
        <v>0</v>
      </c>
      <c r="O88" s="113">
        <v>0</v>
      </c>
      <c r="P88" s="113">
        <v>0</v>
      </c>
      <c r="Q88" s="113">
        <v>0</v>
      </c>
      <c r="R88" s="113">
        <v>0</v>
      </c>
      <c r="S88" s="113">
        <v>0</v>
      </c>
      <c r="T88" s="113">
        <v>0</v>
      </c>
      <c r="U88" s="113">
        <v>0</v>
      </c>
      <c r="V88" s="113">
        <v>0</v>
      </c>
      <c r="W88" s="113">
        <v>0</v>
      </c>
      <c r="X88" s="113">
        <v>0</v>
      </c>
      <c r="Y88" s="113">
        <v>0</v>
      </c>
      <c r="Z88" s="113">
        <v>0</v>
      </c>
      <c r="AA88" s="113">
        <v>0</v>
      </c>
      <c r="AB88" s="113">
        <v>0</v>
      </c>
      <c r="AC88" s="113">
        <v>0</v>
      </c>
      <c r="AD88" s="113">
        <v>0</v>
      </c>
      <c r="AE88" s="113">
        <v>0</v>
      </c>
      <c r="AF88" s="113">
        <v>0</v>
      </c>
      <c r="AG88" s="113">
        <v>0</v>
      </c>
      <c r="AH88" s="113">
        <v>0</v>
      </c>
      <c r="AI88" s="113">
        <v>0</v>
      </c>
      <c r="AJ88" s="113">
        <v>0</v>
      </c>
      <c r="AK88" s="113">
        <v>0</v>
      </c>
      <c r="AL88" s="113">
        <v>0</v>
      </c>
      <c r="AM88" s="113">
        <v>0</v>
      </c>
      <c r="AN88" s="113">
        <v>0</v>
      </c>
      <c r="AO88" s="113">
        <v>0</v>
      </c>
      <c r="AP88" s="113">
        <v>0</v>
      </c>
      <c r="AQ88" s="113">
        <v>0</v>
      </c>
      <c r="AR88" s="113">
        <v>0</v>
      </c>
      <c r="AS88" s="113">
        <v>0</v>
      </c>
      <c r="AT88" s="113">
        <v>0</v>
      </c>
      <c r="AU88" s="113">
        <v>0</v>
      </c>
      <c r="AV88" s="113">
        <v>0</v>
      </c>
      <c r="AW88" s="113">
        <v>0</v>
      </c>
      <c r="AX88" s="113">
        <v>0</v>
      </c>
      <c r="AY88" s="113">
        <v>0</v>
      </c>
      <c r="AZ88" s="113">
        <v>0</v>
      </c>
      <c r="BA88" s="113">
        <v>0</v>
      </c>
      <c r="BB88" s="113">
        <v>0</v>
      </c>
      <c r="BC88" s="113">
        <v>0</v>
      </c>
      <c r="BD88" s="113">
        <v>0</v>
      </c>
      <c r="BF88" s="113">
        <f t="shared" si="4"/>
        <v>178387</v>
      </c>
      <c r="BG88" s="113">
        <f t="shared" si="5"/>
        <v>2428</v>
      </c>
      <c r="BH88" s="113">
        <f t="shared" si="6"/>
        <v>0</v>
      </c>
      <c r="BI88" s="113">
        <f t="shared" si="7"/>
        <v>0</v>
      </c>
    </row>
    <row r="89" spans="1:61">
      <c r="A89" s="102" t="s">
        <v>133</v>
      </c>
      <c r="B89" s="24" t="s">
        <v>510</v>
      </c>
      <c r="C89" s="103" t="s">
        <v>134</v>
      </c>
      <c r="D89" s="113">
        <v>0</v>
      </c>
      <c r="E89" s="113">
        <v>38626</v>
      </c>
      <c r="F89" s="113">
        <v>733</v>
      </c>
      <c r="G89" s="113">
        <v>0</v>
      </c>
      <c r="H89" s="113">
        <v>0</v>
      </c>
      <c r="I89" s="113">
        <v>0</v>
      </c>
      <c r="J89" s="113">
        <v>0</v>
      </c>
      <c r="K89" s="113">
        <v>12133</v>
      </c>
      <c r="L89" s="113">
        <v>0</v>
      </c>
      <c r="M89" s="113">
        <v>0</v>
      </c>
      <c r="N89" s="113">
        <v>0</v>
      </c>
      <c r="O89" s="113">
        <v>0</v>
      </c>
      <c r="P89" s="113">
        <v>0</v>
      </c>
      <c r="Q89" s="113">
        <v>0</v>
      </c>
      <c r="R89" s="113">
        <v>0</v>
      </c>
      <c r="S89" s="113">
        <v>0</v>
      </c>
      <c r="T89" s="113">
        <v>0</v>
      </c>
      <c r="U89" s="113">
        <v>0</v>
      </c>
      <c r="V89" s="113">
        <v>0</v>
      </c>
      <c r="W89" s="113">
        <v>0</v>
      </c>
      <c r="X89" s="113">
        <v>0</v>
      </c>
      <c r="Y89" s="113">
        <v>0</v>
      </c>
      <c r="Z89" s="113">
        <v>0</v>
      </c>
      <c r="AA89" s="113">
        <v>0</v>
      </c>
      <c r="AB89" s="113">
        <v>0</v>
      </c>
      <c r="AC89" s="113">
        <v>0</v>
      </c>
      <c r="AD89" s="113">
        <v>0</v>
      </c>
      <c r="AE89" s="113">
        <v>0</v>
      </c>
      <c r="AF89" s="113">
        <v>0</v>
      </c>
      <c r="AG89" s="113">
        <v>0</v>
      </c>
      <c r="AH89" s="113">
        <v>0</v>
      </c>
      <c r="AI89" s="113">
        <v>0</v>
      </c>
      <c r="AJ89" s="113">
        <v>0</v>
      </c>
      <c r="AK89" s="113">
        <v>0</v>
      </c>
      <c r="AL89" s="113">
        <v>0</v>
      </c>
      <c r="AM89" s="113">
        <v>0</v>
      </c>
      <c r="AN89" s="113">
        <v>0</v>
      </c>
      <c r="AO89" s="113">
        <v>0</v>
      </c>
      <c r="AP89" s="113">
        <v>0</v>
      </c>
      <c r="AQ89" s="113">
        <v>0</v>
      </c>
      <c r="AR89" s="113">
        <v>0</v>
      </c>
      <c r="AS89" s="113">
        <v>0</v>
      </c>
      <c r="AT89" s="113">
        <v>0</v>
      </c>
      <c r="AU89" s="113">
        <v>0</v>
      </c>
      <c r="AV89" s="113">
        <v>0</v>
      </c>
      <c r="AW89" s="113">
        <v>0</v>
      </c>
      <c r="AX89" s="113">
        <v>0</v>
      </c>
      <c r="AY89" s="113">
        <v>8723</v>
      </c>
      <c r="AZ89" s="113">
        <v>164</v>
      </c>
      <c r="BA89" s="113">
        <v>0</v>
      </c>
      <c r="BB89" s="113">
        <v>0</v>
      </c>
      <c r="BC89" s="113">
        <v>0</v>
      </c>
      <c r="BD89" s="113">
        <v>0</v>
      </c>
      <c r="BF89" s="113">
        <f t="shared" si="4"/>
        <v>50759</v>
      </c>
      <c r="BG89" s="113">
        <f t="shared" si="5"/>
        <v>733</v>
      </c>
      <c r="BH89" s="113">
        <f t="shared" si="6"/>
        <v>0</v>
      </c>
      <c r="BI89" s="113">
        <f t="shared" si="7"/>
        <v>0</v>
      </c>
    </row>
    <row r="90" spans="1:61">
      <c r="A90" s="102" t="s">
        <v>135</v>
      </c>
      <c r="B90" s="24" t="s">
        <v>511</v>
      </c>
      <c r="C90" s="103" t="s">
        <v>134</v>
      </c>
      <c r="D90" s="113">
        <v>0</v>
      </c>
      <c r="E90" s="113">
        <v>12158</v>
      </c>
      <c r="F90" s="113">
        <v>253</v>
      </c>
      <c r="G90" s="113">
        <v>0</v>
      </c>
      <c r="H90" s="113">
        <v>0</v>
      </c>
      <c r="I90" s="113">
        <v>0</v>
      </c>
      <c r="J90" s="113">
        <v>0</v>
      </c>
      <c r="K90" s="113">
        <v>2672</v>
      </c>
      <c r="L90" s="113">
        <v>56</v>
      </c>
      <c r="M90" s="113">
        <v>0</v>
      </c>
      <c r="N90" s="113">
        <v>0</v>
      </c>
      <c r="O90" s="113">
        <v>0</v>
      </c>
      <c r="P90" s="113">
        <v>0</v>
      </c>
      <c r="Q90" s="113">
        <v>0</v>
      </c>
      <c r="R90" s="113">
        <v>0</v>
      </c>
      <c r="S90" s="113">
        <v>0</v>
      </c>
      <c r="T90" s="113">
        <v>0</v>
      </c>
      <c r="U90" s="113">
        <v>0</v>
      </c>
      <c r="V90" s="113">
        <v>0</v>
      </c>
      <c r="W90" s="113">
        <v>0</v>
      </c>
      <c r="X90" s="113">
        <v>0</v>
      </c>
      <c r="Y90" s="113">
        <v>0</v>
      </c>
      <c r="Z90" s="113">
        <v>0</v>
      </c>
      <c r="AA90" s="113">
        <v>0</v>
      </c>
      <c r="AB90" s="113">
        <v>0</v>
      </c>
      <c r="AC90" s="113">
        <v>0</v>
      </c>
      <c r="AD90" s="113">
        <v>0</v>
      </c>
      <c r="AE90" s="113">
        <v>0</v>
      </c>
      <c r="AF90" s="113">
        <v>0</v>
      </c>
      <c r="AG90" s="113">
        <v>0</v>
      </c>
      <c r="AH90" s="113">
        <v>0</v>
      </c>
      <c r="AI90" s="113">
        <v>0</v>
      </c>
      <c r="AJ90" s="113">
        <v>0</v>
      </c>
      <c r="AK90" s="113">
        <v>0</v>
      </c>
      <c r="AL90" s="113">
        <v>0</v>
      </c>
      <c r="AM90" s="113">
        <v>0</v>
      </c>
      <c r="AN90" s="113">
        <v>0</v>
      </c>
      <c r="AO90" s="113">
        <v>0</v>
      </c>
      <c r="AP90" s="113">
        <v>0</v>
      </c>
      <c r="AQ90" s="113">
        <v>0</v>
      </c>
      <c r="AR90" s="113">
        <v>0</v>
      </c>
      <c r="AS90" s="113">
        <v>0</v>
      </c>
      <c r="AT90" s="113">
        <v>0</v>
      </c>
      <c r="AU90" s="113">
        <v>0</v>
      </c>
      <c r="AV90" s="113">
        <v>0</v>
      </c>
      <c r="AW90" s="113">
        <v>0</v>
      </c>
      <c r="AX90" s="113">
        <v>0</v>
      </c>
      <c r="AY90" s="113">
        <v>54</v>
      </c>
      <c r="AZ90" s="113">
        <v>1</v>
      </c>
      <c r="BA90" s="113">
        <v>0</v>
      </c>
      <c r="BB90" s="113">
        <v>0</v>
      </c>
      <c r="BC90" s="113">
        <v>0</v>
      </c>
      <c r="BD90" s="113">
        <v>0</v>
      </c>
      <c r="BF90" s="113">
        <f t="shared" si="4"/>
        <v>14830</v>
      </c>
      <c r="BG90" s="113">
        <f t="shared" si="5"/>
        <v>309</v>
      </c>
      <c r="BH90" s="113">
        <f t="shared" si="6"/>
        <v>0</v>
      </c>
      <c r="BI90" s="113">
        <f t="shared" si="7"/>
        <v>0</v>
      </c>
    </row>
    <row r="91" spans="1:61">
      <c r="A91" s="102" t="s">
        <v>136</v>
      </c>
      <c r="B91" s="24" t="s">
        <v>512</v>
      </c>
      <c r="C91" s="103" t="s">
        <v>20</v>
      </c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F91" s="113">
        <f t="shared" si="4"/>
        <v>0</v>
      </c>
      <c r="BG91" s="113">
        <f t="shared" si="5"/>
        <v>0</v>
      </c>
      <c r="BH91" s="113">
        <f t="shared" si="6"/>
        <v>0</v>
      </c>
      <c r="BI91" s="113">
        <f t="shared" si="7"/>
        <v>0</v>
      </c>
    </row>
    <row r="92" spans="1:61">
      <c r="A92" s="102" t="s">
        <v>137</v>
      </c>
      <c r="B92" s="24" t="s">
        <v>20</v>
      </c>
      <c r="C92" s="103" t="s">
        <v>20</v>
      </c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F92" s="113">
        <f t="shared" si="4"/>
        <v>0</v>
      </c>
      <c r="BG92" s="113">
        <f t="shared" si="5"/>
        <v>0</v>
      </c>
      <c r="BH92" s="113">
        <f t="shared" si="6"/>
        <v>0</v>
      </c>
      <c r="BI92" s="113">
        <f t="shared" si="7"/>
        <v>0</v>
      </c>
    </row>
    <row r="93" spans="1:61">
      <c r="A93" s="102" t="s">
        <v>138</v>
      </c>
      <c r="B93" s="24" t="s">
        <v>513</v>
      </c>
      <c r="C93" s="103" t="s">
        <v>139</v>
      </c>
      <c r="D93" s="113">
        <v>0</v>
      </c>
      <c r="E93" s="113">
        <v>40053</v>
      </c>
      <c r="F93" s="113">
        <v>1106</v>
      </c>
      <c r="G93" s="113">
        <v>0</v>
      </c>
      <c r="H93" s="113">
        <v>0</v>
      </c>
      <c r="I93" s="113">
        <v>0</v>
      </c>
      <c r="J93" s="113">
        <v>0</v>
      </c>
      <c r="K93" s="113">
        <v>5176</v>
      </c>
      <c r="L93" s="113">
        <v>237</v>
      </c>
      <c r="M93" s="113">
        <v>0</v>
      </c>
      <c r="N93" s="113">
        <v>0</v>
      </c>
      <c r="O93" s="113">
        <v>0</v>
      </c>
      <c r="P93" s="113">
        <v>0</v>
      </c>
      <c r="Q93" s="113">
        <v>0</v>
      </c>
      <c r="R93" s="113">
        <v>0</v>
      </c>
      <c r="S93" s="113">
        <v>0</v>
      </c>
      <c r="T93" s="113">
        <v>0</v>
      </c>
      <c r="U93" s="113">
        <v>0</v>
      </c>
      <c r="V93" s="113">
        <v>0</v>
      </c>
      <c r="W93" s="113">
        <v>0</v>
      </c>
      <c r="X93" s="113">
        <v>0</v>
      </c>
      <c r="Y93" s="113">
        <v>0</v>
      </c>
      <c r="Z93" s="113">
        <v>0</v>
      </c>
      <c r="AA93" s="113">
        <v>0</v>
      </c>
      <c r="AB93" s="113">
        <v>0</v>
      </c>
      <c r="AC93" s="113">
        <v>0</v>
      </c>
      <c r="AD93" s="113">
        <v>0</v>
      </c>
      <c r="AE93" s="113">
        <v>0</v>
      </c>
      <c r="AF93" s="113">
        <v>0</v>
      </c>
      <c r="AG93" s="113">
        <v>0</v>
      </c>
      <c r="AH93" s="113">
        <v>0</v>
      </c>
      <c r="AI93" s="113">
        <v>0</v>
      </c>
      <c r="AJ93" s="113">
        <v>0</v>
      </c>
      <c r="AK93" s="113">
        <v>0</v>
      </c>
      <c r="AL93" s="113">
        <v>0</v>
      </c>
      <c r="AM93" s="113">
        <v>0</v>
      </c>
      <c r="AN93" s="113">
        <v>0</v>
      </c>
      <c r="AO93" s="113">
        <v>0</v>
      </c>
      <c r="AP93" s="113">
        <v>0</v>
      </c>
      <c r="AQ93" s="113">
        <v>0</v>
      </c>
      <c r="AR93" s="113">
        <v>0</v>
      </c>
      <c r="AS93" s="113">
        <v>0</v>
      </c>
      <c r="AT93" s="113">
        <v>0</v>
      </c>
      <c r="AU93" s="113">
        <v>0</v>
      </c>
      <c r="AV93" s="113">
        <v>0</v>
      </c>
      <c r="AW93" s="113">
        <v>0</v>
      </c>
      <c r="AX93" s="113">
        <v>0</v>
      </c>
      <c r="AY93" s="113">
        <v>0</v>
      </c>
      <c r="AZ93" s="113">
        <v>0</v>
      </c>
      <c r="BA93" s="113">
        <v>0</v>
      </c>
      <c r="BB93" s="113">
        <v>0</v>
      </c>
      <c r="BC93" s="113">
        <v>0</v>
      </c>
      <c r="BD93" s="113">
        <v>0</v>
      </c>
      <c r="BF93" s="113">
        <f t="shared" si="4"/>
        <v>45229</v>
      </c>
      <c r="BG93" s="113">
        <f t="shared" si="5"/>
        <v>1343</v>
      </c>
      <c r="BH93" s="113">
        <f t="shared" si="6"/>
        <v>0</v>
      </c>
      <c r="BI93" s="113">
        <f t="shared" si="7"/>
        <v>0</v>
      </c>
    </row>
    <row r="94" spans="1:61">
      <c r="A94" s="102" t="s">
        <v>140</v>
      </c>
      <c r="B94" s="24" t="s">
        <v>514</v>
      </c>
      <c r="C94" s="103" t="s">
        <v>141</v>
      </c>
      <c r="D94" s="113">
        <v>859</v>
      </c>
      <c r="E94" s="113">
        <v>41137</v>
      </c>
      <c r="F94" s="113">
        <v>614</v>
      </c>
      <c r="G94" s="113">
        <v>663</v>
      </c>
      <c r="H94" s="113">
        <v>0</v>
      </c>
      <c r="I94" s="113">
        <v>0</v>
      </c>
      <c r="J94" s="113">
        <v>0</v>
      </c>
      <c r="K94" s="113">
        <v>14331</v>
      </c>
      <c r="L94" s="113">
        <v>190</v>
      </c>
      <c r="M94" s="113">
        <v>0</v>
      </c>
      <c r="N94" s="113">
        <v>132</v>
      </c>
      <c r="O94" s="113">
        <v>0</v>
      </c>
      <c r="P94" s="113">
        <v>0</v>
      </c>
      <c r="Q94" s="113">
        <v>0</v>
      </c>
      <c r="R94" s="113">
        <v>0</v>
      </c>
      <c r="S94" s="113">
        <v>0</v>
      </c>
      <c r="T94" s="113">
        <v>0</v>
      </c>
      <c r="U94" s="113">
        <v>0</v>
      </c>
      <c r="V94" s="113">
        <v>0</v>
      </c>
      <c r="W94" s="113">
        <v>0</v>
      </c>
      <c r="X94" s="113">
        <v>0</v>
      </c>
      <c r="Y94" s="113">
        <v>0</v>
      </c>
      <c r="Z94" s="113">
        <v>0</v>
      </c>
      <c r="AA94" s="113">
        <v>0</v>
      </c>
      <c r="AB94" s="113">
        <v>0</v>
      </c>
      <c r="AC94" s="113">
        <v>0</v>
      </c>
      <c r="AD94" s="113">
        <v>0</v>
      </c>
      <c r="AE94" s="113">
        <v>0</v>
      </c>
      <c r="AF94" s="113">
        <v>0</v>
      </c>
      <c r="AG94" s="113">
        <v>0</v>
      </c>
      <c r="AH94" s="113">
        <v>0</v>
      </c>
      <c r="AI94" s="113">
        <v>0</v>
      </c>
      <c r="AJ94" s="113">
        <v>0</v>
      </c>
      <c r="AK94" s="113">
        <v>0</v>
      </c>
      <c r="AL94" s="113">
        <v>0</v>
      </c>
      <c r="AM94" s="113">
        <v>0</v>
      </c>
      <c r="AN94" s="113">
        <v>0</v>
      </c>
      <c r="AO94" s="113">
        <v>0</v>
      </c>
      <c r="AP94" s="113">
        <v>0</v>
      </c>
      <c r="AQ94" s="113">
        <v>0</v>
      </c>
      <c r="AR94" s="113">
        <v>0</v>
      </c>
      <c r="AS94" s="113">
        <v>0</v>
      </c>
      <c r="AT94" s="113">
        <v>0</v>
      </c>
      <c r="AU94" s="113">
        <v>0</v>
      </c>
      <c r="AV94" s="113">
        <v>0</v>
      </c>
      <c r="AW94" s="113">
        <v>0</v>
      </c>
      <c r="AX94" s="113">
        <v>0</v>
      </c>
      <c r="AY94" s="113">
        <v>0</v>
      </c>
      <c r="AZ94" s="113">
        <v>0</v>
      </c>
      <c r="BA94" s="113">
        <v>0</v>
      </c>
      <c r="BB94" s="113">
        <v>0</v>
      </c>
      <c r="BC94" s="113">
        <v>0</v>
      </c>
      <c r="BD94" s="113">
        <v>0</v>
      </c>
      <c r="BF94" s="113">
        <f t="shared" si="4"/>
        <v>55468</v>
      </c>
      <c r="BG94" s="113">
        <f t="shared" si="5"/>
        <v>804</v>
      </c>
      <c r="BH94" s="113">
        <f t="shared" si="6"/>
        <v>0</v>
      </c>
      <c r="BI94" s="113">
        <f t="shared" si="7"/>
        <v>1654</v>
      </c>
    </row>
    <row r="95" spans="1:61">
      <c r="A95" s="102" t="s">
        <v>142</v>
      </c>
      <c r="B95" s="24" t="s">
        <v>515</v>
      </c>
      <c r="C95" s="103" t="s">
        <v>141</v>
      </c>
      <c r="D95" s="113">
        <v>0</v>
      </c>
      <c r="E95" s="113">
        <v>3663</v>
      </c>
      <c r="F95" s="113">
        <v>78</v>
      </c>
      <c r="G95" s="113">
        <v>0</v>
      </c>
      <c r="H95" s="113">
        <v>0</v>
      </c>
      <c r="I95" s="113">
        <v>0</v>
      </c>
      <c r="J95" s="113">
        <v>0</v>
      </c>
      <c r="K95" s="113">
        <v>0</v>
      </c>
      <c r="L95" s="113">
        <v>0</v>
      </c>
      <c r="M95" s="113">
        <v>0</v>
      </c>
      <c r="N95" s="113">
        <v>0</v>
      </c>
      <c r="O95" s="113">
        <v>0</v>
      </c>
      <c r="P95" s="113">
        <v>0</v>
      </c>
      <c r="Q95" s="113">
        <v>0</v>
      </c>
      <c r="R95" s="113">
        <v>0</v>
      </c>
      <c r="S95" s="113">
        <v>0</v>
      </c>
      <c r="T95" s="113">
        <v>0</v>
      </c>
      <c r="U95" s="113">
        <v>0</v>
      </c>
      <c r="V95" s="113">
        <v>0</v>
      </c>
      <c r="W95" s="113">
        <v>0</v>
      </c>
      <c r="X95" s="113">
        <v>0</v>
      </c>
      <c r="Y95" s="113">
        <v>0</v>
      </c>
      <c r="Z95" s="113">
        <v>0</v>
      </c>
      <c r="AA95" s="113">
        <v>0</v>
      </c>
      <c r="AB95" s="113">
        <v>0</v>
      </c>
      <c r="AC95" s="113">
        <v>0</v>
      </c>
      <c r="AD95" s="113">
        <v>10567</v>
      </c>
      <c r="AE95" s="113">
        <v>220</v>
      </c>
      <c r="AF95" s="113">
        <v>0</v>
      </c>
      <c r="AG95" s="113">
        <v>0</v>
      </c>
      <c r="AH95" s="113">
        <v>0</v>
      </c>
      <c r="AI95" s="113">
        <v>0</v>
      </c>
      <c r="AJ95" s="113">
        <v>0</v>
      </c>
      <c r="AK95" s="113">
        <v>0</v>
      </c>
      <c r="AL95" s="113">
        <v>0</v>
      </c>
      <c r="AM95" s="113">
        <v>0</v>
      </c>
      <c r="AN95" s="113">
        <v>0</v>
      </c>
      <c r="AO95" s="113">
        <v>0</v>
      </c>
      <c r="AP95" s="113">
        <v>0</v>
      </c>
      <c r="AQ95" s="113">
        <v>0</v>
      </c>
      <c r="AR95" s="113">
        <v>0</v>
      </c>
      <c r="AS95" s="113">
        <v>0</v>
      </c>
      <c r="AT95" s="113">
        <v>0</v>
      </c>
      <c r="AU95" s="113">
        <v>0</v>
      </c>
      <c r="AV95" s="113">
        <v>0</v>
      </c>
      <c r="AW95" s="113">
        <v>0</v>
      </c>
      <c r="AX95" s="113">
        <v>0</v>
      </c>
      <c r="AY95" s="113">
        <v>0</v>
      </c>
      <c r="AZ95" s="113">
        <v>0</v>
      </c>
      <c r="BA95" s="113">
        <v>0</v>
      </c>
      <c r="BB95" s="113">
        <v>0</v>
      </c>
      <c r="BC95" s="113">
        <v>0</v>
      </c>
      <c r="BD95" s="113">
        <v>0</v>
      </c>
      <c r="BF95" s="113">
        <f t="shared" si="4"/>
        <v>14230</v>
      </c>
      <c r="BG95" s="113">
        <f t="shared" si="5"/>
        <v>298</v>
      </c>
      <c r="BH95" s="113">
        <f t="shared" si="6"/>
        <v>0</v>
      </c>
      <c r="BI95" s="113">
        <f t="shared" si="7"/>
        <v>0</v>
      </c>
    </row>
    <row r="96" spans="1:61">
      <c r="A96" s="102" t="s">
        <v>143</v>
      </c>
      <c r="B96" s="24" t="s">
        <v>516</v>
      </c>
      <c r="C96" s="103" t="s">
        <v>144</v>
      </c>
      <c r="D96" s="113">
        <v>0</v>
      </c>
      <c r="E96" s="113">
        <v>62348</v>
      </c>
      <c r="F96" s="113">
        <v>756</v>
      </c>
      <c r="G96" s="113">
        <v>0</v>
      </c>
      <c r="H96" s="113">
        <v>0</v>
      </c>
      <c r="I96" s="113">
        <v>0</v>
      </c>
      <c r="J96" s="113">
        <v>0</v>
      </c>
      <c r="K96" s="113">
        <v>11274</v>
      </c>
      <c r="L96" s="113">
        <v>135</v>
      </c>
      <c r="M96" s="113">
        <v>0</v>
      </c>
      <c r="N96" s="113">
        <v>0</v>
      </c>
      <c r="O96" s="113">
        <v>0</v>
      </c>
      <c r="P96" s="113">
        <v>0</v>
      </c>
      <c r="Q96" s="113">
        <v>0</v>
      </c>
      <c r="R96" s="113">
        <v>0</v>
      </c>
      <c r="S96" s="113">
        <v>0</v>
      </c>
      <c r="T96" s="113">
        <v>0</v>
      </c>
      <c r="U96" s="113">
        <v>0</v>
      </c>
      <c r="V96" s="113">
        <v>0</v>
      </c>
      <c r="W96" s="113">
        <v>0</v>
      </c>
      <c r="X96" s="113">
        <v>0</v>
      </c>
      <c r="Y96" s="113">
        <v>0</v>
      </c>
      <c r="Z96" s="113">
        <v>0</v>
      </c>
      <c r="AA96" s="113">
        <v>0</v>
      </c>
      <c r="AB96" s="113">
        <v>0</v>
      </c>
      <c r="AC96" s="113">
        <v>0</v>
      </c>
      <c r="AD96" s="113">
        <v>13542</v>
      </c>
      <c r="AE96" s="113">
        <v>170</v>
      </c>
      <c r="AF96" s="113">
        <v>0</v>
      </c>
      <c r="AG96" s="113">
        <v>0</v>
      </c>
      <c r="AH96" s="113">
        <v>0</v>
      </c>
      <c r="AI96" s="113">
        <v>0</v>
      </c>
      <c r="AJ96" s="113">
        <v>0</v>
      </c>
      <c r="AK96" s="113">
        <v>0</v>
      </c>
      <c r="AL96" s="113">
        <v>0</v>
      </c>
      <c r="AM96" s="113">
        <v>0</v>
      </c>
      <c r="AN96" s="113">
        <v>0</v>
      </c>
      <c r="AO96" s="113">
        <v>0</v>
      </c>
      <c r="AP96" s="113">
        <v>0</v>
      </c>
      <c r="AQ96" s="113">
        <v>0</v>
      </c>
      <c r="AR96" s="113">
        <v>0</v>
      </c>
      <c r="AS96" s="113">
        <v>0</v>
      </c>
      <c r="AT96" s="113">
        <v>0</v>
      </c>
      <c r="AU96" s="113">
        <v>0</v>
      </c>
      <c r="AV96" s="113">
        <v>0</v>
      </c>
      <c r="AW96" s="113">
        <v>0</v>
      </c>
      <c r="AX96" s="113">
        <v>0</v>
      </c>
      <c r="AY96" s="113">
        <v>8114</v>
      </c>
      <c r="AZ96" s="113">
        <v>608</v>
      </c>
      <c r="BA96" s="113">
        <v>0</v>
      </c>
      <c r="BB96" s="113">
        <v>0</v>
      </c>
      <c r="BC96" s="113">
        <v>0</v>
      </c>
      <c r="BD96" s="113">
        <v>0</v>
      </c>
      <c r="BF96" s="113">
        <f t="shared" si="4"/>
        <v>87164</v>
      </c>
      <c r="BG96" s="113">
        <f t="shared" si="5"/>
        <v>1061</v>
      </c>
      <c r="BH96" s="113">
        <f t="shared" si="6"/>
        <v>0</v>
      </c>
      <c r="BI96" s="113">
        <f t="shared" si="7"/>
        <v>0</v>
      </c>
    </row>
    <row r="97" spans="1:61">
      <c r="A97" s="102" t="s">
        <v>145</v>
      </c>
      <c r="B97" s="24" t="s">
        <v>517</v>
      </c>
      <c r="C97" s="103" t="s">
        <v>146</v>
      </c>
      <c r="D97" s="113">
        <v>0</v>
      </c>
      <c r="E97" s="113">
        <v>8017</v>
      </c>
      <c r="F97" s="113">
        <v>134</v>
      </c>
      <c r="G97" s="113">
        <v>0</v>
      </c>
      <c r="H97" s="113">
        <v>0</v>
      </c>
      <c r="I97" s="113">
        <v>0</v>
      </c>
      <c r="J97" s="113">
        <v>0</v>
      </c>
      <c r="K97" s="113">
        <v>239</v>
      </c>
      <c r="L97" s="113">
        <v>0</v>
      </c>
      <c r="M97" s="113">
        <v>0</v>
      </c>
      <c r="N97" s="113">
        <v>0</v>
      </c>
      <c r="O97" s="113">
        <v>0</v>
      </c>
      <c r="P97" s="113">
        <v>0</v>
      </c>
      <c r="Q97" s="113">
        <v>0</v>
      </c>
      <c r="R97" s="113">
        <v>0</v>
      </c>
      <c r="S97" s="113">
        <v>0</v>
      </c>
      <c r="T97" s="113">
        <v>0</v>
      </c>
      <c r="U97" s="113">
        <v>0</v>
      </c>
      <c r="V97" s="113">
        <v>0</v>
      </c>
      <c r="W97" s="113">
        <v>0</v>
      </c>
      <c r="X97" s="113">
        <v>0</v>
      </c>
      <c r="Y97" s="113">
        <v>0</v>
      </c>
      <c r="Z97" s="113">
        <v>0</v>
      </c>
      <c r="AA97" s="113">
        <v>0</v>
      </c>
      <c r="AB97" s="113">
        <v>0</v>
      </c>
      <c r="AC97" s="113">
        <v>0</v>
      </c>
      <c r="AD97" s="113">
        <v>0</v>
      </c>
      <c r="AE97" s="113">
        <v>0</v>
      </c>
      <c r="AF97" s="113">
        <v>0</v>
      </c>
      <c r="AG97" s="113">
        <v>0</v>
      </c>
      <c r="AH97" s="113">
        <v>0</v>
      </c>
      <c r="AI97" s="113">
        <v>0</v>
      </c>
      <c r="AJ97" s="113">
        <v>0</v>
      </c>
      <c r="AK97" s="113">
        <v>0</v>
      </c>
      <c r="AL97" s="113">
        <v>0</v>
      </c>
      <c r="AM97" s="113">
        <v>0</v>
      </c>
      <c r="AN97" s="113">
        <v>0</v>
      </c>
      <c r="AO97" s="113">
        <v>0</v>
      </c>
      <c r="AP97" s="113">
        <v>0</v>
      </c>
      <c r="AQ97" s="113">
        <v>0</v>
      </c>
      <c r="AR97" s="113">
        <v>0</v>
      </c>
      <c r="AS97" s="113">
        <v>0</v>
      </c>
      <c r="AT97" s="113">
        <v>0</v>
      </c>
      <c r="AU97" s="113">
        <v>0</v>
      </c>
      <c r="AV97" s="113">
        <v>0</v>
      </c>
      <c r="AW97" s="113">
        <v>0</v>
      </c>
      <c r="AX97" s="113">
        <v>0</v>
      </c>
      <c r="AY97" s="113">
        <v>1035</v>
      </c>
      <c r="AZ97" s="113">
        <v>17</v>
      </c>
      <c r="BA97" s="113">
        <v>0</v>
      </c>
      <c r="BB97" s="113">
        <v>0</v>
      </c>
      <c r="BC97" s="113">
        <v>0</v>
      </c>
      <c r="BD97" s="113">
        <v>0</v>
      </c>
      <c r="BF97" s="113">
        <f t="shared" si="4"/>
        <v>8256</v>
      </c>
      <c r="BG97" s="113">
        <f t="shared" si="5"/>
        <v>134</v>
      </c>
      <c r="BH97" s="113">
        <f t="shared" si="6"/>
        <v>0</v>
      </c>
      <c r="BI97" s="113">
        <f t="shared" si="7"/>
        <v>0</v>
      </c>
    </row>
    <row r="98" spans="1:61">
      <c r="A98" s="102" t="s">
        <v>147</v>
      </c>
      <c r="B98" s="24" t="s">
        <v>146</v>
      </c>
      <c r="C98" s="103" t="s">
        <v>146</v>
      </c>
      <c r="D98" s="113">
        <v>0</v>
      </c>
      <c r="E98" s="113">
        <v>22189</v>
      </c>
      <c r="F98" s="113">
        <v>538</v>
      </c>
      <c r="G98" s="113">
        <v>0</v>
      </c>
      <c r="H98" s="113">
        <v>0</v>
      </c>
      <c r="I98" s="113">
        <v>0</v>
      </c>
      <c r="J98" s="113">
        <v>0</v>
      </c>
      <c r="K98" s="113">
        <v>11161</v>
      </c>
      <c r="L98" s="113">
        <v>261</v>
      </c>
      <c r="M98" s="113">
        <v>0</v>
      </c>
      <c r="N98" s="113">
        <v>0</v>
      </c>
      <c r="O98" s="113">
        <v>0</v>
      </c>
      <c r="P98" s="113">
        <v>0</v>
      </c>
      <c r="Q98" s="113">
        <v>0</v>
      </c>
      <c r="R98" s="113">
        <v>0</v>
      </c>
      <c r="S98" s="113">
        <v>0</v>
      </c>
      <c r="T98" s="113">
        <v>0</v>
      </c>
      <c r="U98" s="113">
        <v>0</v>
      </c>
      <c r="V98" s="113">
        <v>0</v>
      </c>
      <c r="W98" s="113">
        <v>0</v>
      </c>
      <c r="X98" s="113">
        <v>0</v>
      </c>
      <c r="Y98" s="113">
        <v>0</v>
      </c>
      <c r="Z98" s="113">
        <v>0</v>
      </c>
      <c r="AA98" s="113">
        <v>0</v>
      </c>
      <c r="AB98" s="113">
        <v>0</v>
      </c>
      <c r="AC98" s="113">
        <v>0</v>
      </c>
      <c r="AD98" s="113">
        <v>0</v>
      </c>
      <c r="AE98" s="113">
        <v>0</v>
      </c>
      <c r="AF98" s="113">
        <v>0</v>
      </c>
      <c r="AG98" s="113">
        <v>0</v>
      </c>
      <c r="AH98" s="113">
        <v>0</v>
      </c>
      <c r="AI98" s="113">
        <v>0</v>
      </c>
      <c r="AJ98" s="113">
        <v>0</v>
      </c>
      <c r="AK98" s="113">
        <v>0</v>
      </c>
      <c r="AL98" s="113">
        <v>0</v>
      </c>
      <c r="AM98" s="113">
        <v>0</v>
      </c>
      <c r="AN98" s="113">
        <v>0</v>
      </c>
      <c r="AO98" s="113">
        <v>0</v>
      </c>
      <c r="AP98" s="113">
        <v>0</v>
      </c>
      <c r="AQ98" s="113">
        <v>0</v>
      </c>
      <c r="AR98" s="113">
        <v>0</v>
      </c>
      <c r="AS98" s="113">
        <v>0</v>
      </c>
      <c r="AT98" s="113">
        <v>0</v>
      </c>
      <c r="AU98" s="113">
        <v>0</v>
      </c>
      <c r="AV98" s="113">
        <v>0</v>
      </c>
      <c r="AW98" s="113">
        <v>0</v>
      </c>
      <c r="AX98" s="113">
        <v>0</v>
      </c>
      <c r="AY98" s="113">
        <v>2791</v>
      </c>
      <c r="AZ98" s="113">
        <v>65</v>
      </c>
      <c r="BA98" s="113">
        <v>0</v>
      </c>
      <c r="BB98" s="113">
        <v>0</v>
      </c>
      <c r="BC98" s="113">
        <v>0</v>
      </c>
      <c r="BD98" s="113">
        <v>0</v>
      </c>
      <c r="BF98" s="113">
        <f t="shared" si="4"/>
        <v>33350</v>
      </c>
      <c r="BG98" s="113">
        <f t="shared" si="5"/>
        <v>799</v>
      </c>
      <c r="BH98" s="113">
        <f t="shared" si="6"/>
        <v>0</v>
      </c>
      <c r="BI98" s="113">
        <f t="shared" si="7"/>
        <v>0</v>
      </c>
    </row>
    <row r="99" spans="1:61">
      <c r="A99" s="102" t="s">
        <v>148</v>
      </c>
      <c r="B99" s="24" t="s">
        <v>518</v>
      </c>
      <c r="C99" s="103" t="s">
        <v>149</v>
      </c>
      <c r="D99" s="113">
        <v>0</v>
      </c>
      <c r="E99" s="113">
        <v>123100</v>
      </c>
      <c r="F99" s="113">
        <v>3268</v>
      </c>
      <c r="G99" s="113">
        <v>0</v>
      </c>
      <c r="H99" s="113">
        <v>0</v>
      </c>
      <c r="I99" s="113">
        <v>0</v>
      </c>
      <c r="J99" s="113">
        <v>0</v>
      </c>
      <c r="K99" s="113">
        <v>0</v>
      </c>
      <c r="L99" s="113">
        <v>0</v>
      </c>
      <c r="M99" s="113">
        <v>2215</v>
      </c>
      <c r="N99" s="113">
        <v>0</v>
      </c>
      <c r="O99" s="113">
        <v>0</v>
      </c>
      <c r="P99" s="113">
        <v>0</v>
      </c>
      <c r="Q99" s="113">
        <v>0</v>
      </c>
      <c r="R99" s="113">
        <v>0</v>
      </c>
      <c r="S99" s="113">
        <v>0</v>
      </c>
      <c r="T99" s="113">
        <v>0</v>
      </c>
      <c r="U99" s="113">
        <v>0</v>
      </c>
      <c r="V99" s="113">
        <v>0</v>
      </c>
      <c r="W99" s="113">
        <v>0</v>
      </c>
      <c r="X99" s="113">
        <v>0</v>
      </c>
      <c r="Y99" s="113">
        <v>0</v>
      </c>
      <c r="Z99" s="113">
        <v>0</v>
      </c>
      <c r="AA99" s="113">
        <v>0</v>
      </c>
      <c r="AB99" s="113">
        <v>0</v>
      </c>
      <c r="AC99" s="113">
        <v>0</v>
      </c>
      <c r="AD99" s="113">
        <v>0</v>
      </c>
      <c r="AE99" s="113">
        <v>0</v>
      </c>
      <c r="AF99" s="113">
        <v>0</v>
      </c>
      <c r="AG99" s="113">
        <v>0</v>
      </c>
      <c r="AH99" s="113">
        <v>0</v>
      </c>
      <c r="AI99" s="113">
        <v>0</v>
      </c>
      <c r="AJ99" s="113">
        <v>0</v>
      </c>
      <c r="AK99" s="113">
        <v>0</v>
      </c>
      <c r="AL99" s="113">
        <v>0</v>
      </c>
      <c r="AM99" s="113">
        <v>0</v>
      </c>
      <c r="AN99" s="113">
        <v>0</v>
      </c>
      <c r="AO99" s="113">
        <v>0</v>
      </c>
      <c r="AP99" s="113">
        <v>0</v>
      </c>
      <c r="AQ99" s="113">
        <v>0</v>
      </c>
      <c r="AR99" s="113">
        <v>0</v>
      </c>
      <c r="AS99" s="113">
        <v>0</v>
      </c>
      <c r="AT99" s="113">
        <v>0</v>
      </c>
      <c r="AU99" s="113">
        <v>0</v>
      </c>
      <c r="AV99" s="113">
        <v>0</v>
      </c>
      <c r="AW99" s="113">
        <v>0</v>
      </c>
      <c r="AX99" s="113">
        <v>0</v>
      </c>
      <c r="AY99" s="113">
        <v>11454</v>
      </c>
      <c r="AZ99" s="113">
        <v>304</v>
      </c>
      <c r="BA99" s="113">
        <v>0</v>
      </c>
      <c r="BB99" s="113">
        <v>0</v>
      </c>
      <c r="BC99" s="113">
        <v>0</v>
      </c>
      <c r="BD99" s="113">
        <v>0</v>
      </c>
      <c r="BF99" s="113">
        <f t="shared" si="4"/>
        <v>123100</v>
      </c>
      <c r="BG99" s="113">
        <f t="shared" si="5"/>
        <v>3268</v>
      </c>
      <c r="BH99" s="113">
        <f t="shared" si="6"/>
        <v>2215</v>
      </c>
      <c r="BI99" s="113">
        <f t="shared" si="7"/>
        <v>0</v>
      </c>
    </row>
    <row r="100" spans="1:61">
      <c r="A100" s="102" t="s">
        <v>150</v>
      </c>
      <c r="B100" s="24" t="s">
        <v>519</v>
      </c>
      <c r="C100" s="103" t="s">
        <v>149</v>
      </c>
      <c r="D100" s="113">
        <v>0</v>
      </c>
      <c r="E100" s="113">
        <v>74781</v>
      </c>
      <c r="F100" s="113">
        <v>1774</v>
      </c>
      <c r="G100" s="113">
        <v>0</v>
      </c>
      <c r="H100" s="113">
        <v>0</v>
      </c>
      <c r="I100" s="113">
        <v>0</v>
      </c>
      <c r="J100" s="113">
        <v>0</v>
      </c>
      <c r="K100" s="113">
        <v>0</v>
      </c>
      <c r="L100" s="113">
        <v>0</v>
      </c>
      <c r="M100" s="113">
        <v>0</v>
      </c>
      <c r="N100" s="113">
        <v>0</v>
      </c>
      <c r="O100" s="113">
        <v>0</v>
      </c>
      <c r="P100" s="113">
        <v>0</v>
      </c>
      <c r="Q100" s="113">
        <v>0</v>
      </c>
      <c r="R100" s="113">
        <v>0</v>
      </c>
      <c r="S100" s="113">
        <v>0</v>
      </c>
      <c r="T100" s="113">
        <v>0</v>
      </c>
      <c r="U100" s="113">
        <v>0</v>
      </c>
      <c r="V100" s="113">
        <v>0</v>
      </c>
      <c r="W100" s="113">
        <v>0</v>
      </c>
      <c r="X100" s="113">
        <v>0</v>
      </c>
      <c r="Y100" s="113">
        <v>0</v>
      </c>
      <c r="Z100" s="113">
        <v>0</v>
      </c>
      <c r="AA100" s="113">
        <v>0</v>
      </c>
      <c r="AB100" s="113">
        <v>0</v>
      </c>
      <c r="AC100" s="113">
        <v>0</v>
      </c>
      <c r="AD100" s="113">
        <v>27324</v>
      </c>
      <c r="AE100" s="113">
        <v>264</v>
      </c>
      <c r="AF100" s="113">
        <v>0</v>
      </c>
      <c r="AG100" s="113">
        <v>0</v>
      </c>
      <c r="AH100" s="113">
        <v>0</v>
      </c>
      <c r="AI100" s="113">
        <v>0</v>
      </c>
      <c r="AJ100" s="113">
        <v>0</v>
      </c>
      <c r="AK100" s="113">
        <v>0</v>
      </c>
      <c r="AL100" s="113">
        <v>0</v>
      </c>
      <c r="AM100" s="113">
        <v>0</v>
      </c>
      <c r="AN100" s="113">
        <v>0</v>
      </c>
      <c r="AO100" s="113">
        <v>0</v>
      </c>
      <c r="AP100" s="113">
        <v>0</v>
      </c>
      <c r="AQ100" s="113">
        <v>0</v>
      </c>
      <c r="AR100" s="113">
        <v>0</v>
      </c>
      <c r="AS100" s="113">
        <v>0</v>
      </c>
      <c r="AT100" s="113">
        <v>0</v>
      </c>
      <c r="AU100" s="113">
        <v>0</v>
      </c>
      <c r="AV100" s="113">
        <v>0</v>
      </c>
      <c r="AW100" s="113">
        <v>0</v>
      </c>
      <c r="AX100" s="113">
        <v>0</v>
      </c>
      <c r="AY100" s="113">
        <v>0</v>
      </c>
      <c r="AZ100" s="113">
        <v>0</v>
      </c>
      <c r="BA100" s="113">
        <v>0</v>
      </c>
      <c r="BB100" s="113">
        <v>0</v>
      </c>
      <c r="BC100" s="113">
        <v>0</v>
      </c>
      <c r="BD100" s="113">
        <v>0</v>
      </c>
      <c r="BF100" s="113">
        <f t="shared" si="4"/>
        <v>102105</v>
      </c>
      <c r="BG100" s="113">
        <f t="shared" si="5"/>
        <v>2038</v>
      </c>
      <c r="BH100" s="113">
        <f t="shared" si="6"/>
        <v>0</v>
      </c>
      <c r="BI100" s="113">
        <f t="shared" si="7"/>
        <v>0</v>
      </c>
    </row>
    <row r="101" spans="1:61">
      <c r="A101" s="102" t="s">
        <v>151</v>
      </c>
      <c r="B101" s="24" t="s">
        <v>520</v>
      </c>
      <c r="C101" s="103" t="s">
        <v>149</v>
      </c>
      <c r="D101" s="113">
        <v>0</v>
      </c>
      <c r="E101" s="113">
        <v>127795</v>
      </c>
      <c r="F101" s="113">
        <v>2809</v>
      </c>
      <c r="G101" s="113">
        <v>0</v>
      </c>
      <c r="H101" s="113">
        <v>0</v>
      </c>
      <c r="I101" s="113">
        <v>0</v>
      </c>
      <c r="J101" s="113">
        <v>0</v>
      </c>
      <c r="K101" s="113">
        <v>27645</v>
      </c>
      <c r="L101" s="113">
        <v>614</v>
      </c>
      <c r="M101" s="113">
        <v>0</v>
      </c>
      <c r="N101" s="113">
        <v>0</v>
      </c>
      <c r="O101" s="113">
        <v>0</v>
      </c>
      <c r="P101" s="113">
        <v>0</v>
      </c>
      <c r="Q101" s="113">
        <v>0</v>
      </c>
      <c r="R101" s="113">
        <v>0</v>
      </c>
      <c r="S101" s="113">
        <v>0</v>
      </c>
      <c r="T101" s="113">
        <v>0</v>
      </c>
      <c r="U101" s="113">
        <v>0</v>
      </c>
      <c r="V101" s="113">
        <v>0</v>
      </c>
      <c r="W101" s="113">
        <v>0</v>
      </c>
      <c r="X101" s="113">
        <v>0</v>
      </c>
      <c r="Y101" s="113">
        <v>0</v>
      </c>
      <c r="Z101" s="113">
        <v>0</v>
      </c>
      <c r="AA101" s="113">
        <v>0</v>
      </c>
      <c r="AB101" s="113">
        <v>0</v>
      </c>
      <c r="AC101" s="113">
        <v>0</v>
      </c>
      <c r="AD101" s="113">
        <v>64599</v>
      </c>
      <c r="AE101" s="113">
        <v>1466</v>
      </c>
      <c r="AF101" s="113">
        <v>0</v>
      </c>
      <c r="AG101" s="113">
        <v>0</v>
      </c>
      <c r="AH101" s="113">
        <v>0</v>
      </c>
      <c r="AI101" s="113">
        <v>0</v>
      </c>
      <c r="AJ101" s="113">
        <v>0</v>
      </c>
      <c r="AK101" s="113">
        <v>0</v>
      </c>
      <c r="AL101" s="113">
        <v>0</v>
      </c>
      <c r="AM101" s="113">
        <v>0</v>
      </c>
      <c r="AN101" s="113">
        <v>0</v>
      </c>
      <c r="AO101" s="113">
        <v>0</v>
      </c>
      <c r="AP101" s="113">
        <v>0</v>
      </c>
      <c r="AQ101" s="113">
        <v>0</v>
      </c>
      <c r="AR101" s="113">
        <v>0</v>
      </c>
      <c r="AS101" s="113">
        <v>0</v>
      </c>
      <c r="AT101" s="113">
        <v>0</v>
      </c>
      <c r="AU101" s="113">
        <v>0</v>
      </c>
      <c r="AV101" s="113">
        <v>0</v>
      </c>
      <c r="AW101" s="113">
        <v>0</v>
      </c>
      <c r="AX101" s="113">
        <v>0</v>
      </c>
      <c r="AY101" s="113">
        <v>12537</v>
      </c>
      <c r="AZ101" s="113">
        <v>276</v>
      </c>
      <c r="BA101" s="113">
        <v>0</v>
      </c>
      <c r="BB101" s="113">
        <v>1042</v>
      </c>
      <c r="BC101" s="113">
        <v>23</v>
      </c>
      <c r="BD101" s="113">
        <v>0</v>
      </c>
      <c r="BF101" s="113">
        <f t="shared" si="4"/>
        <v>220039</v>
      </c>
      <c r="BG101" s="113">
        <f t="shared" si="5"/>
        <v>4889</v>
      </c>
      <c r="BH101" s="113">
        <f t="shared" si="6"/>
        <v>0</v>
      </c>
      <c r="BI101" s="113">
        <f t="shared" si="7"/>
        <v>0</v>
      </c>
    </row>
    <row r="102" spans="1:61">
      <c r="A102" s="102" t="s">
        <v>152</v>
      </c>
      <c r="B102" s="24" t="s">
        <v>89</v>
      </c>
      <c r="C102" s="103" t="s">
        <v>149</v>
      </c>
      <c r="D102" s="113">
        <v>0</v>
      </c>
      <c r="E102" s="113">
        <v>180691</v>
      </c>
      <c r="F102" s="113">
        <v>3144</v>
      </c>
      <c r="G102" s="113">
        <v>0</v>
      </c>
      <c r="H102" s="113">
        <v>5917</v>
      </c>
      <c r="I102" s="113">
        <v>102</v>
      </c>
      <c r="J102" s="113">
        <v>0</v>
      </c>
      <c r="K102" s="113">
        <v>47336</v>
      </c>
      <c r="L102" s="113">
        <v>819</v>
      </c>
      <c r="M102" s="113">
        <v>0</v>
      </c>
      <c r="N102" s="113">
        <v>0</v>
      </c>
      <c r="O102" s="113">
        <v>0</v>
      </c>
      <c r="P102" s="113">
        <v>0</v>
      </c>
      <c r="Q102" s="113">
        <v>0</v>
      </c>
      <c r="R102" s="113">
        <v>0</v>
      </c>
      <c r="S102" s="113">
        <v>0</v>
      </c>
      <c r="T102" s="113">
        <v>0</v>
      </c>
      <c r="U102" s="113">
        <v>0</v>
      </c>
      <c r="V102" s="113">
        <v>0</v>
      </c>
      <c r="W102" s="113">
        <v>0</v>
      </c>
      <c r="X102" s="113">
        <v>0</v>
      </c>
      <c r="Y102" s="113">
        <v>0</v>
      </c>
      <c r="Z102" s="113">
        <v>0</v>
      </c>
      <c r="AA102" s="113">
        <v>0</v>
      </c>
      <c r="AB102" s="113">
        <v>0</v>
      </c>
      <c r="AC102" s="113">
        <v>0</v>
      </c>
      <c r="AD102" s="113">
        <v>203151</v>
      </c>
      <c r="AE102" s="113">
        <v>3484</v>
      </c>
      <c r="AF102" s="113">
        <v>0</v>
      </c>
      <c r="AG102" s="113">
        <v>0</v>
      </c>
      <c r="AH102" s="113">
        <v>0</v>
      </c>
      <c r="AI102" s="113">
        <v>0</v>
      </c>
      <c r="AJ102" s="113">
        <v>0</v>
      </c>
      <c r="AK102" s="113">
        <v>0</v>
      </c>
      <c r="AL102" s="113">
        <v>0</v>
      </c>
      <c r="AM102" s="113">
        <v>0</v>
      </c>
      <c r="AN102" s="113">
        <v>0</v>
      </c>
      <c r="AO102" s="113">
        <v>0</v>
      </c>
      <c r="AP102" s="113">
        <v>0</v>
      </c>
      <c r="AQ102" s="113">
        <v>0</v>
      </c>
      <c r="AR102" s="113">
        <v>0</v>
      </c>
      <c r="AS102" s="113">
        <v>0</v>
      </c>
      <c r="AT102" s="113">
        <v>0</v>
      </c>
      <c r="AU102" s="113">
        <v>0</v>
      </c>
      <c r="AV102" s="113">
        <v>0</v>
      </c>
      <c r="AW102" s="113">
        <v>0</v>
      </c>
      <c r="AX102" s="113">
        <v>0</v>
      </c>
      <c r="AY102" s="113">
        <v>60193</v>
      </c>
      <c r="AZ102" s="113">
        <v>0</v>
      </c>
      <c r="BA102" s="113">
        <v>0</v>
      </c>
      <c r="BB102" s="113">
        <v>2364</v>
      </c>
      <c r="BC102" s="113">
        <v>0</v>
      </c>
      <c r="BD102" s="113">
        <v>0</v>
      </c>
      <c r="BF102" s="113">
        <f t="shared" si="4"/>
        <v>437095</v>
      </c>
      <c r="BG102" s="113">
        <f t="shared" si="5"/>
        <v>7549</v>
      </c>
      <c r="BH102" s="113">
        <f t="shared" si="6"/>
        <v>0</v>
      </c>
      <c r="BI102" s="113">
        <f t="shared" si="7"/>
        <v>0</v>
      </c>
    </row>
    <row r="103" spans="1:61">
      <c r="A103" s="102" t="s">
        <v>153</v>
      </c>
      <c r="B103" s="24" t="s">
        <v>521</v>
      </c>
      <c r="C103" s="103" t="s">
        <v>154</v>
      </c>
      <c r="D103" s="113">
        <v>0</v>
      </c>
      <c r="E103" s="113">
        <v>7062</v>
      </c>
      <c r="F103" s="113">
        <v>112</v>
      </c>
      <c r="G103" s="113">
        <v>0</v>
      </c>
      <c r="H103" s="113">
        <v>0</v>
      </c>
      <c r="I103" s="113">
        <v>0</v>
      </c>
      <c r="J103" s="113">
        <v>0</v>
      </c>
      <c r="K103" s="113">
        <v>5439</v>
      </c>
      <c r="L103" s="113">
        <v>79</v>
      </c>
      <c r="M103" s="113">
        <v>0</v>
      </c>
      <c r="N103" s="113">
        <v>0</v>
      </c>
      <c r="O103" s="113">
        <v>0</v>
      </c>
      <c r="P103" s="113">
        <v>0</v>
      </c>
      <c r="Q103" s="113">
        <v>0</v>
      </c>
      <c r="R103" s="113">
        <v>0</v>
      </c>
      <c r="S103" s="113">
        <v>0</v>
      </c>
      <c r="T103" s="113">
        <v>0</v>
      </c>
      <c r="U103" s="113">
        <v>0</v>
      </c>
      <c r="V103" s="113">
        <v>0</v>
      </c>
      <c r="W103" s="113">
        <v>0</v>
      </c>
      <c r="X103" s="113">
        <v>0</v>
      </c>
      <c r="Y103" s="113">
        <v>0</v>
      </c>
      <c r="Z103" s="113">
        <v>0</v>
      </c>
      <c r="AA103" s="113">
        <v>0</v>
      </c>
      <c r="AB103" s="113">
        <v>0</v>
      </c>
      <c r="AC103" s="113">
        <v>0</v>
      </c>
      <c r="AD103" s="113">
        <v>0</v>
      </c>
      <c r="AE103" s="113">
        <v>0</v>
      </c>
      <c r="AF103" s="113">
        <v>0</v>
      </c>
      <c r="AG103" s="113">
        <v>0</v>
      </c>
      <c r="AH103" s="113">
        <v>0</v>
      </c>
      <c r="AI103" s="113">
        <v>0</v>
      </c>
      <c r="AJ103" s="113">
        <v>0</v>
      </c>
      <c r="AK103" s="113">
        <v>0</v>
      </c>
      <c r="AL103" s="113">
        <v>0</v>
      </c>
      <c r="AM103" s="113">
        <v>0</v>
      </c>
      <c r="AN103" s="113">
        <v>0</v>
      </c>
      <c r="AO103" s="113">
        <v>0</v>
      </c>
      <c r="AP103" s="113">
        <v>0</v>
      </c>
      <c r="AQ103" s="113">
        <v>0</v>
      </c>
      <c r="AR103" s="113">
        <v>0</v>
      </c>
      <c r="AS103" s="113">
        <v>0</v>
      </c>
      <c r="AT103" s="113">
        <v>0</v>
      </c>
      <c r="AU103" s="113">
        <v>0</v>
      </c>
      <c r="AV103" s="113">
        <v>0</v>
      </c>
      <c r="AW103" s="113">
        <v>0</v>
      </c>
      <c r="AX103" s="113">
        <v>0</v>
      </c>
      <c r="AY103" s="113">
        <v>0</v>
      </c>
      <c r="AZ103" s="113">
        <v>0</v>
      </c>
      <c r="BA103" s="113">
        <v>0</v>
      </c>
      <c r="BB103" s="113">
        <v>0</v>
      </c>
      <c r="BC103" s="113">
        <v>0</v>
      </c>
      <c r="BD103" s="113">
        <v>0</v>
      </c>
      <c r="BF103" s="113">
        <f t="shared" si="4"/>
        <v>12501</v>
      </c>
      <c r="BG103" s="113">
        <f t="shared" si="5"/>
        <v>191</v>
      </c>
      <c r="BH103" s="113">
        <f t="shared" si="6"/>
        <v>0</v>
      </c>
      <c r="BI103" s="113">
        <f t="shared" si="7"/>
        <v>0</v>
      </c>
    </row>
    <row r="104" spans="1:61">
      <c r="A104" s="102" t="s">
        <v>155</v>
      </c>
      <c r="B104" s="24" t="s">
        <v>522</v>
      </c>
      <c r="C104" s="103" t="s">
        <v>154</v>
      </c>
      <c r="D104" s="113">
        <v>0</v>
      </c>
      <c r="E104" s="113">
        <v>13740</v>
      </c>
      <c r="F104" s="113">
        <v>190</v>
      </c>
      <c r="G104" s="113">
        <v>0</v>
      </c>
      <c r="H104" s="113">
        <v>0</v>
      </c>
      <c r="I104" s="113">
        <v>0</v>
      </c>
      <c r="J104" s="113">
        <v>0</v>
      </c>
      <c r="K104" s="113">
        <v>2859</v>
      </c>
      <c r="L104" s="113">
        <v>39</v>
      </c>
      <c r="M104" s="113">
        <v>0</v>
      </c>
      <c r="N104" s="113">
        <v>0</v>
      </c>
      <c r="O104" s="113">
        <v>0</v>
      </c>
      <c r="P104" s="113">
        <v>0</v>
      </c>
      <c r="Q104" s="113">
        <v>0</v>
      </c>
      <c r="R104" s="113">
        <v>0</v>
      </c>
      <c r="S104" s="113">
        <v>0</v>
      </c>
      <c r="T104" s="113">
        <v>0</v>
      </c>
      <c r="U104" s="113">
        <v>0</v>
      </c>
      <c r="V104" s="113">
        <v>0</v>
      </c>
      <c r="W104" s="113">
        <v>0</v>
      </c>
      <c r="X104" s="113">
        <v>0</v>
      </c>
      <c r="Y104" s="113">
        <v>0</v>
      </c>
      <c r="Z104" s="113">
        <v>0</v>
      </c>
      <c r="AA104" s="113">
        <v>0</v>
      </c>
      <c r="AB104" s="113">
        <v>0</v>
      </c>
      <c r="AC104" s="113">
        <v>0</v>
      </c>
      <c r="AD104" s="113">
        <v>0</v>
      </c>
      <c r="AE104" s="113">
        <v>0</v>
      </c>
      <c r="AF104" s="113">
        <v>0</v>
      </c>
      <c r="AG104" s="113">
        <v>0</v>
      </c>
      <c r="AH104" s="113">
        <v>0</v>
      </c>
      <c r="AI104" s="113">
        <v>0</v>
      </c>
      <c r="AJ104" s="113">
        <v>0</v>
      </c>
      <c r="AK104" s="113">
        <v>0</v>
      </c>
      <c r="AL104" s="113">
        <v>0</v>
      </c>
      <c r="AM104" s="113">
        <v>0</v>
      </c>
      <c r="AN104" s="113">
        <v>0</v>
      </c>
      <c r="AO104" s="113">
        <v>0</v>
      </c>
      <c r="AP104" s="113">
        <v>0</v>
      </c>
      <c r="AQ104" s="113">
        <v>0</v>
      </c>
      <c r="AR104" s="113">
        <v>0</v>
      </c>
      <c r="AS104" s="113">
        <v>0</v>
      </c>
      <c r="AT104" s="113">
        <v>0</v>
      </c>
      <c r="AU104" s="113">
        <v>0</v>
      </c>
      <c r="AV104" s="113">
        <v>0</v>
      </c>
      <c r="AW104" s="113">
        <v>0</v>
      </c>
      <c r="AX104" s="113">
        <v>0</v>
      </c>
      <c r="AY104" s="113">
        <v>0</v>
      </c>
      <c r="AZ104" s="113">
        <v>0</v>
      </c>
      <c r="BA104" s="113">
        <v>0</v>
      </c>
      <c r="BB104" s="113">
        <v>0</v>
      </c>
      <c r="BC104" s="113">
        <v>0</v>
      </c>
      <c r="BD104" s="113">
        <v>0</v>
      </c>
      <c r="BF104" s="113">
        <f t="shared" si="4"/>
        <v>16599</v>
      </c>
      <c r="BG104" s="113">
        <f t="shared" si="5"/>
        <v>229</v>
      </c>
      <c r="BH104" s="113">
        <f t="shared" si="6"/>
        <v>0</v>
      </c>
      <c r="BI104" s="113">
        <f t="shared" si="7"/>
        <v>0</v>
      </c>
    </row>
    <row r="105" spans="1:61">
      <c r="A105" s="102" t="s">
        <v>156</v>
      </c>
      <c r="B105" s="24" t="s">
        <v>523</v>
      </c>
      <c r="C105" s="103" t="s">
        <v>154</v>
      </c>
      <c r="D105" s="113">
        <v>0</v>
      </c>
      <c r="E105" s="113">
        <v>44605</v>
      </c>
      <c r="F105" s="113">
        <v>1026</v>
      </c>
      <c r="G105" s="113">
        <v>0</v>
      </c>
      <c r="H105" s="113">
        <v>0</v>
      </c>
      <c r="I105" s="113">
        <v>0</v>
      </c>
      <c r="J105" s="113">
        <v>0</v>
      </c>
      <c r="K105" s="113">
        <v>7059</v>
      </c>
      <c r="L105" s="113">
        <v>163</v>
      </c>
      <c r="M105" s="113">
        <v>0</v>
      </c>
      <c r="N105" s="113">
        <v>0</v>
      </c>
      <c r="O105" s="113">
        <v>0</v>
      </c>
      <c r="P105" s="113">
        <v>0</v>
      </c>
      <c r="Q105" s="113">
        <v>0</v>
      </c>
      <c r="R105" s="113">
        <v>0</v>
      </c>
      <c r="S105" s="113">
        <v>0</v>
      </c>
      <c r="T105" s="113">
        <v>0</v>
      </c>
      <c r="U105" s="113">
        <v>0</v>
      </c>
      <c r="V105" s="113">
        <v>0</v>
      </c>
      <c r="W105" s="113">
        <v>0</v>
      </c>
      <c r="X105" s="113">
        <v>0</v>
      </c>
      <c r="Y105" s="113">
        <v>0</v>
      </c>
      <c r="Z105" s="113">
        <v>0</v>
      </c>
      <c r="AA105" s="113">
        <v>0</v>
      </c>
      <c r="AB105" s="113">
        <v>0</v>
      </c>
      <c r="AC105" s="113">
        <v>0</v>
      </c>
      <c r="AD105" s="113">
        <v>29</v>
      </c>
      <c r="AE105" s="113">
        <v>0</v>
      </c>
      <c r="AF105" s="113">
        <v>0</v>
      </c>
      <c r="AG105" s="113">
        <v>0</v>
      </c>
      <c r="AH105" s="113">
        <v>0</v>
      </c>
      <c r="AI105" s="113">
        <v>0</v>
      </c>
      <c r="AJ105" s="113">
        <v>0</v>
      </c>
      <c r="AK105" s="113">
        <v>0</v>
      </c>
      <c r="AL105" s="113">
        <v>0</v>
      </c>
      <c r="AM105" s="113">
        <v>0</v>
      </c>
      <c r="AN105" s="113">
        <v>0</v>
      </c>
      <c r="AO105" s="113">
        <v>0</v>
      </c>
      <c r="AP105" s="113">
        <v>0</v>
      </c>
      <c r="AQ105" s="113">
        <v>0</v>
      </c>
      <c r="AR105" s="113">
        <v>0</v>
      </c>
      <c r="AS105" s="113">
        <v>0</v>
      </c>
      <c r="AT105" s="113">
        <v>0</v>
      </c>
      <c r="AU105" s="113">
        <v>0</v>
      </c>
      <c r="AV105" s="113">
        <v>0</v>
      </c>
      <c r="AW105" s="113">
        <v>0</v>
      </c>
      <c r="AX105" s="113">
        <v>0</v>
      </c>
      <c r="AY105" s="113">
        <v>0</v>
      </c>
      <c r="AZ105" s="113">
        <v>0</v>
      </c>
      <c r="BA105" s="113">
        <v>0</v>
      </c>
      <c r="BB105" s="113">
        <v>0</v>
      </c>
      <c r="BC105" s="113">
        <v>0</v>
      </c>
      <c r="BD105" s="113">
        <v>0</v>
      </c>
      <c r="BF105" s="113">
        <f t="shared" si="4"/>
        <v>51693</v>
      </c>
      <c r="BG105" s="113">
        <f t="shared" si="5"/>
        <v>1189</v>
      </c>
      <c r="BH105" s="113">
        <f t="shared" si="6"/>
        <v>0</v>
      </c>
      <c r="BI105" s="113">
        <f t="shared" si="7"/>
        <v>0</v>
      </c>
    </row>
    <row r="106" spans="1:61">
      <c r="A106" s="102" t="s">
        <v>157</v>
      </c>
      <c r="B106" s="24" t="s">
        <v>524</v>
      </c>
      <c r="C106" s="103" t="s">
        <v>158</v>
      </c>
      <c r="D106" s="113">
        <v>0</v>
      </c>
      <c r="E106" s="113">
        <v>74798</v>
      </c>
      <c r="F106" s="113">
        <v>1474</v>
      </c>
      <c r="G106" s="113">
        <v>0</v>
      </c>
      <c r="H106" s="113">
        <v>0</v>
      </c>
      <c r="I106" s="113">
        <v>0</v>
      </c>
      <c r="J106" s="113">
        <v>0</v>
      </c>
      <c r="K106" s="113">
        <v>19841</v>
      </c>
      <c r="L106" s="113">
        <v>378</v>
      </c>
      <c r="M106" s="113">
        <v>0</v>
      </c>
      <c r="N106" s="113">
        <v>0</v>
      </c>
      <c r="O106" s="113">
        <v>0</v>
      </c>
      <c r="P106" s="113">
        <v>0</v>
      </c>
      <c r="Q106" s="113">
        <v>0</v>
      </c>
      <c r="R106" s="113">
        <v>0</v>
      </c>
      <c r="S106" s="113">
        <v>0</v>
      </c>
      <c r="T106" s="113">
        <v>0</v>
      </c>
      <c r="U106" s="113">
        <v>0</v>
      </c>
      <c r="V106" s="113">
        <v>0</v>
      </c>
      <c r="W106" s="113">
        <v>0</v>
      </c>
      <c r="X106" s="113">
        <v>0</v>
      </c>
      <c r="Y106" s="113">
        <v>0</v>
      </c>
      <c r="Z106" s="113">
        <v>0</v>
      </c>
      <c r="AA106" s="113">
        <v>0</v>
      </c>
      <c r="AB106" s="113">
        <v>0</v>
      </c>
      <c r="AC106" s="113">
        <v>0</v>
      </c>
      <c r="AD106" s="113">
        <v>0</v>
      </c>
      <c r="AE106" s="113">
        <v>0</v>
      </c>
      <c r="AF106" s="113">
        <v>0</v>
      </c>
      <c r="AG106" s="113">
        <v>0</v>
      </c>
      <c r="AH106" s="113">
        <v>0</v>
      </c>
      <c r="AI106" s="113">
        <v>0</v>
      </c>
      <c r="AJ106" s="113">
        <v>0</v>
      </c>
      <c r="AK106" s="113">
        <v>0</v>
      </c>
      <c r="AL106" s="113">
        <v>0</v>
      </c>
      <c r="AM106" s="113">
        <v>0</v>
      </c>
      <c r="AN106" s="113">
        <v>0</v>
      </c>
      <c r="AO106" s="113">
        <v>0</v>
      </c>
      <c r="AP106" s="113">
        <v>0</v>
      </c>
      <c r="AQ106" s="113">
        <v>0</v>
      </c>
      <c r="AR106" s="113">
        <v>0</v>
      </c>
      <c r="AS106" s="113">
        <v>0</v>
      </c>
      <c r="AT106" s="113">
        <v>0</v>
      </c>
      <c r="AU106" s="113">
        <v>0</v>
      </c>
      <c r="AV106" s="113">
        <v>0</v>
      </c>
      <c r="AW106" s="113">
        <v>0</v>
      </c>
      <c r="AX106" s="113">
        <v>0</v>
      </c>
      <c r="AY106" s="113">
        <v>0</v>
      </c>
      <c r="AZ106" s="113">
        <v>0</v>
      </c>
      <c r="BA106" s="113">
        <v>0</v>
      </c>
      <c r="BB106" s="113">
        <v>0</v>
      </c>
      <c r="BC106" s="113">
        <v>0</v>
      </c>
      <c r="BD106" s="113">
        <v>0</v>
      </c>
      <c r="BF106" s="113">
        <f t="shared" si="4"/>
        <v>94639</v>
      </c>
      <c r="BG106" s="113">
        <f t="shared" si="5"/>
        <v>1852</v>
      </c>
      <c r="BH106" s="113">
        <f t="shared" si="6"/>
        <v>0</v>
      </c>
      <c r="BI106" s="113">
        <f t="shared" si="7"/>
        <v>0</v>
      </c>
    </row>
    <row r="107" spans="1:61">
      <c r="A107" s="102" t="s">
        <v>159</v>
      </c>
      <c r="B107" s="24" t="s">
        <v>525</v>
      </c>
      <c r="C107" s="103" t="s">
        <v>158</v>
      </c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  <c r="AT107" s="113"/>
      <c r="AU107" s="113"/>
      <c r="AV107" s="113"/>
      <c r="AW107" s="113"/>
      <c r="AX107" s="113"/>
      <c r="AY107" s="113"/>
      <c r="AZ107" s="113"/>
      <c r="BA107" s="113"/>
      <c r="BB107" s="113"/>
      <c r="BC107" s="113"/>
      <c r="BD107" s="113"/>
      <c r="BF107" s="113">
        <f t="shared" si="4"/>
        <v>0</v>
      </c>
      <c r="BG107" s="113">
        <f t="shared" si="5"/>
        <v>0</v>
      </c>
      <c r="BH107" s="113">
        <f t="shared" si="6"/>
        <v>0</v>
      </c>
      <c r="BI107" s="113">
        <f t="shared" si="7"/>
        <v>0</v>
      </c>
    </row>
    <row r="108" spans="1:61">
      <c r="A108" s="102" t="s">
        <v>160</v>
      </c>
      <c r="B108" s="24" t="s">
        <v>526</v>
      </c>
      <c r="C108" s="103" t="s">
        <v>18</v>
      </c>
      <c r="D108" s="113">
        <v>0</v>
      </c>
      <c r="E108" s="113">
        <v>27624</v>
      </c>
      <c r="F108" s="113">
        <v>630</v>
      </c>
      <c r="G108" s="113">
        <v>14</v>
      </c>
      <c r="H108" s="113">
        <v>0</v>
      </c>
      <c r="I108" s="113">
        <v>0</v>
      </c>
      <c r="J108" s="113">
        <v>0</v>
      </c>
      <c r="K108" s="113">
        <v>11831</v>
      </c>
      <c r="L108" s="113">
        <v>270</v>
      </c>
      <c r="M108" s="113">
        <v>0</v>
      </c>
      <c r="N108" s="113">
        <v>6</v>
      </c>
      <c r="O108" s="113">
        <v>0</v>
      </c>
      <c r="P108" s="113">
        <v>0</v>
      </c>
      <c r="Q108" s="113">
        <v>0</v>
      </c>
      <c r="R108" s="113">
        <v>0</v>
      </c>
      <c r="S108" s="113">
        <v>0</v>
      </c>
      <c r="T108" s="113">
        <v>0</v>
      </c>
      <c r="U108" s="113">
        <v>0</v>
      </c>
      <c r="V108" s="113">
        <v>0</v>
      </c>
      <c r="W108" s="113">
        <v>0</v>
      </c>
      <c r="X108" s="113">
        <v>0</v>
      </c>
      <c r="Y108" s="113">
        <v>0</v>
      </c>
      <c r="Z108" s="113">
        <v>0</v>
      </c>
      <c r="AA108" s="113">
        <v>0</v>
      </c>
      <c r="AB108" s="113">
        <v>0</v>
      </c>
      <c r="AC108" s="113">
        <v>0</v>
      </c>
      <c r="AD108" s="113">
        <v>0</v>
      </c>
      <c r="AE108" s="113">
        <v>0</v>
      </c>
      <c r="AF108" s="113">
        <v>0</v>
      </c>
      <c r="AG108" s="113">
        <v>0</v>
      </c>
      <c r="AH108" s="113">
        <v>0</v>
      </c>
      <c r="AI108" s="113">
        <v>0</v>
      </c>
      <c r="AJ108" s="113">
        <v>0</v>
      </c>
      <c r="AK108" s="113">
        <v>0</v>
      </c>
      <c r="AL108" s="113">
        <v>0</v>
      </c>
      <c r="AM108" s="113">
        <v>0</v>
      </c>
      <c r="AN108" s="113">
        <v>0</v>
      </c>
      <c r="AO108" s="113">
        <v>0</v>
      </c>
      <c r="AP108" s="113">
        <v>0</v>
      </c>
      <c r="AQ108" s="113">
        <v>0</v>
      </c>
      <c r="AR108" s="113">
        <v>0</v>
      </c>
      <c r="AS108" s="113">
        <v>0</v>
      </c>
      <c r="AT108" s="113">
        <v>0</v>
      </c>
      <c r="AU108" s="113">
        <v>0</v>
      </c>
      <c r="AV108" s="113">
        <v>0</v>
      </c>
      <c r="AW108" s="113">
        <v>0</v>
      </c>
      <c r="AX108" s="113">
        <v>0</v>
      </c>
      <c r="AY108" s="113">
        <v>2958</v>
      </c>
      <c r="AZ108" s="113">
        <v>67</v>
      </c>
      <c r="BA108" s="113">
        <v>2</v>
      </c>
      <c r="BB108" s="113">
        <v>0</v>
      </c>
      <c r="BC108" s="113">
        <v>0</v>
      </c>
      <c r="BD108" s="113">
        <v>0</v>
      </c>
      <c r="BF108" s="113">
        <f t="shared" si="4"/>
        <v>39455</v>
      </c>
      <c r="BG108" s="113">
        <f t="shared" si="5"/>
        <v>900</v>
      </c>
      <c r="BH108" s="113">
        <f t="shared" si="6"/>
        <v>0</v>
      </c>
      <c r="BI108" s="113">
        <f t="shared" si="7"/>
        <v>20</v>
      </c>
    </row>
    <row r="109" spans="1:61">
      <c r="A109" s="102" t="s">
        <v>161</v>
      </c>
      <c r="B109" s="24" t="s">
        <v>162</v>
      </c>
      <c r="C109" s="103" t="s">
        <v>162</v>
      </c>
      <c r="D109" s="113">
        <v>361</v>
      </c>
      <c r="E109" s="113">
        <v>44489</v>
      </c>
      <c r="F109" s="113">
        <v>663</v>
      </c>
      <c r="G109" s="113">
        <v>364</v>
      </c>
      <c r="H109" s="113">
        <v>0</v>
      </c>
      <c r="I109" s="113">
        <v>0</v>
      </c>
      <c r="J109" s="113">
        <v>0</v>
      </c>
      <c r="K109" s="113">
        <v>8748</v>
      </c>
      <c r="L109" s="113">
        <v>130</v>
      </c>
      <c r="M109" s="113">
        <v>0</v>
      </c>
      <c r="N109" s="113">
        <v>72</v>
      </c>
      <c r="O109" s="113">
        <v>0</v>
      </c>
      <c r="P109" s="113">
        <v>0</v>
      </c>
      <c r="Q109" s="113">
        <v>0</v>
      </c>
      <c r="R109" s="113">
        <v>0</v>
      </c>
      <c r="S109" s="113">
        <v>0</v>
      </c>
      <c r="T109" s="113">
        <v>0</v>
      </c>
      <c r="U109" s="113">
        <v>0</v>
      </c>
      <c r="V109" s="113">
        <v>0</v>
      </c>
      <c r="W109" s="113">
        <v>0</v>
      </c>
      <c r="X109" s="113">
        <v>0</v>
      </c>
      <c r="Y109" s="113">
        <v>0</v>
      </c>
      <c r="Z109" s="113">
        <v>0</v>
      </c>
      <c r="AA109" s="113">
        <v>0</v>
      </c>
      <c r="AB109" s="113">
        <v>0</v>
      </c>
      <c r="AC109" s="113">
        <v>0</v>
      </c>
      <c r="AD109" s="113">
        <v>25707</v>
      </c>
      <c r="AE109" s="113">
        <v>382</v>
      </c>
      <c r="AF109" s="113">
        <v>217</v>
      </c>
      <c r="AG109" s="113">
        <v>0</v>
      </c>
      <c r="AH109" s="113">
        <v>0</v>
      </c>
      <c r="AI109" s="113">
        <v>0</v>
      </c>
      <c r="AJ109" s="113">
        <v>0</v>
      </c>
      <c r="AK109" s="113">
        <v>0</v>
      </c>
      <c r="AL109" s="113">
        <v>0</v>
      </c>
      <c r="AM109" s="113">
        <v>0</v>
      </c>
      <c r="AN109" s="113">
        <v>0</v>
      </c>
      <c r="AO109" s="113">
        <v>0</v>
      </c>
      <c r="AP109" s="113">
        <v>0</v>
      </c>
      <c r="AQ109" s="113">
        <v>0</v>
      </c>
      <c r="AR109" s="113">
        <v>0</v>
      </c>
      <c r="AS109" s="113">
        <v>0</v>
      </c>
      <c r="AT109" s="113">
        <v>0</v>
      </c>
      <c r="AU109" s="113">
        <v>0</v>
      </c>
      <c r="AV109" s="113">
        <v>0</v>
      </c>
      <c r="AW109" s="113">
        <v>0</v>
      </c>
      <c r="AX109" s="113">
        <v>0</v>
      </c>
      <c r="AY109" s="113">
        <v>0</v>
      </c>
      <c r="AZ109" s="113">
        <v>0</v>
      </c>
      <c r="BA109" s="113">
        <v>0</v>
      </c>
      <c r="BB109" s="113">
        <v>0</v>
      </c>
      <c r="BC109" s="113">
        <v>0</v>
      </c>
      <c r="BD109" s="113">
        <v>0</v>
      </c>
      <c r="BF109" s="113">
        <f t="shared" si="4"/>
        <v>78944</v>
      </c>
      <c r="BG109" s="113">
        <f t="shared" si="5"/>
        <v>1175</v>
      </c>
      <c r="BH109" s="113">
        <f t="shared" si="6"/>
        <v>0</v>
      </c>
      <c r="BI109" s="113">
        <f t="shared" si="7"/>
        <v>1014</v>
      </c>
    </row>
    <row r="110" spans="1:61">
      <c r="A110" s="102" t="s">
        <v>163</v>
      </c>
      <c r="B110" s="24" t="s">
        <v>527</v>
      </c>
      <c r="C110" s="103" t="s">
        <v>162</v>
      </c>
      <c r="D110" s="113">
        <v>0</v>
      </c>
      <c r="E110" s="113">
        <v>9074</v>
      </c>
      <c r="F110" s="113">
        <v>166</v>
      </c>
      <c r="G110" s="113">
        <v>0</v>
      </c>
      <c r="H110" s="113">
        <v>0</v>
      </c>
      <c r="I110" s="113">
        <v>0</v>
      </c>
      <c r="J110" s="113">
        <v>0</v>
      </c>
      <c r="K110" s="113">
        <v>2832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  <c r="Q110" s="113">
        <v>0</v>
      </c>
      <c r="R110" s="113">
        <v>0</v>
      </c>
      <c r="S110" s="113">
        <v>0</v>
      </c>
      <c r="T110" s="113">
        <v>0</v>
      </c>
      <c r="U110" s="113">
        <v>0</v>
      </c>
      <c r="V110" s="113">
        <v>0</v>
      </c>
      <c r="W110" s="113">
        <v>0</v>
      </c>
      <c r="X110" s="113">
        <v>0</v>
      </c>
      <c r="Y110" s="113">
        <v>0</v>
      </c>
      <c r="Z110" s="113">
        <v>0</v>
      </c>
      <c r="AA110" s="113">
        <v>0</v>
      </c>
      <c r="AB110" s="113">
        <v>0</v>
      </c>
      <c r="AC110" s="113">
        <v>0</v>
      </c>
      <c r="AD110" s="113">
        <v>0</v>
      </c>
      <c r="AE110" s="113">
        <v>0</v>
      </c>
      <c r="AF110" s="113">
        <v>0</v>
      </c>
      <c r="AG110" s="113">
        <v>0</v>
      </c>
      <c r="AH110" s="113">
        <v>0</v>
      </c>
      <c r="AI110" s="113">
        <v>0</v>
      </c>
      <c r="AJ110" s="113">
        <v>0</v>
      </c>
      <c r="AK110" s="113">
        <v>0</v>
      </c>
      <c r="AL110" s="113">
        <v>0</v>
      </c>
      <c r="AM110" s="113">
        <v>0</v>
      </c>
      <c r="AN110" s="113">
        <v>0</v>
      </c>
      <c r="AO110" s="113">
        <v>0</v>
      </c>
      <c r="AP110" s="113">
        <v>0</v>
      </c>
      <c r="AQ110" s="113">
        <v>0</v>
      </c>
      <c r="AR110" s="113">
        <v>0</v>
      </c>
      <c r="AS110" s="113">
        <v>0</v>
      </c>
      <c r="AT110" s="113">
        <v>0</v>
      </c>
      <c r="AU110" s="113">
        <v>0</v>
      </c>
      <c r="AV110" s="113">
        <v>0</v>
      </c>
      <c r="AW110" s="113">
        <v>0</v>
      </c>
      <c r="AX110" s="113">
        <v>0</v>
      </c>
      <c r="AY110" s="113">
        <v>0</v>
      </c>
      <c r="AZ110" s="113">
        <v>0</v>
      </c>
      <c r="BA110" s="113">
        <v>0</v>
      </c>
      <c r="BB110" s="113">
        <v>0</v>
      </c>
      <c r="BC110" s="113">
        <v>0</v>
      </c>
      <c r="BD110" s="113">
        <v>0</v>
      </c>
      <c r="BF110" s="113">
        <f t="shared" si="4"/>
        <v>11906</v>
      </c>
      <c r="BG110" s="113">
        <f t="shared" si="5"/>
        <v>166</v>
      </c>
      <c r="BH110" s="113">
        <f t="shared" si="6"/>
        <v>0</v>
      </c>
      <c r="BI110" s="113">
        <f t="shared" si="7"/>
        <v>0</v>
      </c>
    </row>
    <row r="111" spans="1:61">
      <c r="A111" s="102" t="s">
        <v>164</v>
      </c>
      <c r="B111" s="24" t="s">
        <v>528</v>
      </c>
      <c r="C111" s="103" t="s">
        <v>165</v>
      </c>
      <c r="D111" s="113">
        <v>0</v>
      </c>
      <c r="E111" s="113">
        <v>32508</v>
      </c>
      <c r="F111" s="113">
        <v>0</v>
      </c>
      <c r="G111" s="113">
        <v>0</v>
      </c>
      <c r="H111" s="113">
        <v>0</v>
      </c>
      <c r="I111" s="113">
        <v>0</v>
      </c>
      <c r="J111" s="113">
        <v>0</v>
      </c>
      <c r="K111" s="113">
        <v>9536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  <c r="Q111" s="113">
        <v>0</v>
      </c>
      <c r="R111" s="113">
        <v>0</v>
      </c>
      <c r="S111" s="113">
        <v>0</v>
      </c>
      <c r="T111" s="113">
        <v>0</v>
      </c>
      <c r="U111" s="113">
        <v>0</v>
      </c>
      <c r="V111" s="113">
        <v>0</v>
      </c>
      <c r="W111" s="113">
        <v>0</v>
      </c>
      <c r="X111" s="113">
        <v>0</v>
      </c>
      <c r="Y111" s="113">
        <v>0</v>
      </c>
      <c r="Z111" s="113">
        <v>0</v>
      </c>
      <c r="AA111" s="113">
        <v>0</v>
      </c>
      <c r="AB111" s="113">
        <v>0</v>
      </c>
      <c r="AC111" s="113">
        <v>0</v>
      </c>
      <c r="AD111" s="113">
        <v>0</v>
      </c>
      <c r="AE111" s="113">
        <v>0</v>
      </c>
      <c r="AF111" s="113">
        <v>0</v>
      </c>
      <c r="AG111" s="113">
        <v>0</v>
      </c>
      <c r="AH111" s="113">
        <v>0</v>
      </c>
      <c r="AI111" s="113">
        <v>0</v>
      </c>
      <c r="AJ111" s="113">
        <v>0</v>
      </c>
      <c r="AK111" s="113">
        <v>0</v>
      </c>
      <c r="AL111" s="113">
        <v>0</v>
      </c>
      <c r="AM111" s="113">
        <v>0</v>
      </c>
      <c r="AN111" s="113">
        <v>0</v>
      </c>
      <c r="AO111" s="113">
        <v>0</v>
      </c>
      <c r="AP111" s="113">
        <v>0</v>
      </c>
      <c r="AQ111" s="113">
        <v>0</v>
      </c>
      <c r="AR111" s="113">
        <v>0</v>
      </c>
      <c r="AS111" s="113">
        <v>0</v>
      </c>
      <c r="AT111" s="113">
        <v>0</v>
      </c>
      <c r="AU111" s="113">
        <v>0</v>
      </c>
      <c r="AV111" s="113">
        <v>0</v>
      </c>
      <c r="AW111" s="113">
        <v>0</v>
      </c>
      <c r="AX111" s="113">
        <v>0</v>
      </c>
      <c r="AY111" s="113">
        <v>2382</v>
      </c>
      <c r="AZ111" s="113">
        <v>0</v>
      </c>
      <c r="BA111" s="113">
        <v>0</v>
      </c>
      <c r="BB111" s="113">
        <v>0</v>
      </c>
      <c r="BC111" s="113">
        <v>0</v>
      </c>
      <c r="BD111" s="113">
        <v>0</v>
      </c>
      <c r="BF111" s="113">
        <f t="shared" si="4"/>
        <v>42044</v>
      </c>
      <c r="BG111" s="113">
        <f t="shared" si="5"/>
        <v>0</v>
      </c>
      <c r="BH111" s="113">
        <f t="shared" si="6"/>
        <v>0</v>
      </c>
      <c r="BI111" s="113">
        <f t="shared" si="7"/>
        <v>0</v>
      </c>
    </row>
    <row r="112" spans="1:61">
      <c r="A112" s="102" t="s">
        <v>166</v>
      </c>
      <c r="B112" s="24" t="s">
        <v>529</v>
      </c>
      <c r="C112" s="103" t="s">
        <v>25</v>
      </c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13"/>
      <c r="AU112" s="113"/>
      <c r="AV112" s="113"/>
      <c r="AW112" s="113"/>
      <c r="AX112" s="113"/>
      <c r="AY112" s="113"/>
      <c r="AZ112" s="113"/>
      <c r="BA112" s="113"/>
      <c r="BB112" s="113"/>
      <c r="BC112" s="113"/>
      <c r="BD112" s="113"/>
      <c r="BF112" s="113">
        <f t="shared" si="4"/>
        <v>0</v>
      </c>
      <c r="BG112" s="113">
        <f t="shared" si="5"/>
        <v>0</v>
      </c>
      <c r="BH112" s="113">
        <f t="shared" si="6"/>
        <v>0</v>
      </c>
      <c r="BI112" s="113">
        <f t="shared" si="7"/>
        <v>0</v>
      </c>
    </row>
    <row r="113" spans="1:61">
      <c r="A113" s="102" t="s">
        <v>167</v>
      </c>
      <c r="B113" s="24" t="s">
        <v>530</v>
      </c>
      <c r="C113" s="103" t="s">
        <v>25</v>
      </c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AU113" s="113"/>
      <c r="AV113" s="113"/>
      <c r="AW113" s="113"/>
      <c r="AX113" s="113"/>
      <c r="AY113" s="113"/>
      <c r="AZ113" s="113"/>
      <c r="BA113" s="113"/>
      <c r="BB113" s="113"/>
      <c r="BC113" s="113"/>
      <c r="BD113" s="113"/>
      <c r="BF113" s="113">
        <f t="shared" si="4"/>
        <v>0</v>
      </c>
      <c r="BG113" s="113">
        <f t="shared" si="5"/>
        <v>0</v>
      </c>
      <c r="BH113" s="113">
        <f t="shared" si="6"/>
        <v>0</v>
      </c>
      <c r="BI113" s="113">
        <f t="shared" si="7"/>
        <v>0</v>
      </c>
    </row>
    <row r="114" spans="1:61">
      <c r="A114" s="102" t="s">
        <v>168</v>
      </c>
      <c r="B114" s="24" t="s">
        <v>531</v>
      </c>
      <c r="C114" s="103" t="s">
        <v>25</v>
      </c>
      <c r="D114" s="113">
        <v>0</v>
      </c>
      <c r="E114" s="113">
        <v>23200</v>
      </c>
      <c r="F114" s="113">
        <v>328</v>
      </c>
      <c r="G114" s="113">
        <v>0</v>
      </c>
      <c r="H114" s="113">
        <v>0</v>
      </c>
      <c r="I114" s="113">
        <v>0</v>
      </c>
      <c r="J114" s="113">
        <v>0</v>
      </c>
      <c r="K114" s="113">
        <v>10921</v>
      </c>
      <c r="L114" s="113">
        <v>154</v>
      </c>
      <c r="M114" s="113">
        <v>0</v>
      </c>
      <c r="N114" s="113">
        <v>0</v>
      </c>
      <c r="O114" s="113">
        <v>0</v>
      </c>
      <c r="P114" s="113">
        <v>0</v>
      </c>
      <c r="Q114" s="113">
        <v>0</v>
      </c>
      <c r="R114" s="113">
        <v>0</v>
      </c>
      <c r="S114" s="113">
        <v>0</v>
      </c>
      <c r="T114" s="113">
        <v>0</v>
      </c>
      <c r="U114" s="113">
        <v>0</v>
      </c>
      <c r="V114" s="113">
        <v>0</v>
      </c>
      <c r="W114" s="113">
        <v>0</v>
      </c>
      <c r="X114" s="113">
        <v>0</v>
      </c>
      <c r="Y114" s="113">
        <v>0</v>
      </c>
      <c r="Z114" s="113">
        <v>0</v>
      </c>
      <c r="AA114" s="113">
        <v>0</v>
      </c>
      <c r="AB114" s="113">
        <v>0</v>
      </c>
      <c r="AC114" s="113">
        <v>0</v>
      </c>
      <c r="AD114" s="113">
        <v>4209</v>
      </c>
      <c r="AE114" s="113">
        <v>58</v>
      </c>
      <c r="AF114" s="113">
        <v>0</v>
      </c>
      <c r="AG114" s="113">
        <v>0</v>
      </c>
      <c r="AH114" s="113">
        <v>0</v>
      </c>
      <c r="AI114" s="113">
        <v>0</v>
      </c>
      <c r="AJ114" s="113">
        <v>0</v>
      </c>
      <c r="AK114" s="113">
        <v>0</v>
      </c>
      <c r="AL114" s="113">
        <v>0</v>
      </c>
      <c r="AM114" s="113">
        <v>0</v>
      </c>
      <c r="AN114" s="113">
        <v>0</v>
      </c>
      <c r="AO114" s="113">
        <v>0</v>
      </c>
      <c r="AP114" s="113">
        <v>0</v>
      </c>
      <c r="AQ114" s="113">
        <v>0</v>
      </c>
      <c r="AR114" s="113">
        <v>0</v>
      </c>
      <c r="AS114" s="113">
        <v>0</v>
      </c>
      <c r="AT114" s="113">
        <v>0</v>
      </c>
      <c r="AU114" s="113">
        <v>0</v>
      </c>
      <c r="AV114" s="113">
        <v>0</v>
      </c>
      <c r="AW114" s="113">
        <v>0</v>
      </c>
      <c r="AX114" s="113">
        <v>0</v>
      </c>
      <c r="AY114" s="113">
        <v>5725</v>
      </c>
      <c r="AZ114" s="113">
        <v>81</v>
      </c>
      <c r="BA114" s="113">
        <v>0</v>
      </c>
      <c r="BB114" s="113">
        <v>1180</v>
      </c>
      <c r="BC114" s="113">
        <v>17</v>
      </c>
      <c r="BD114" s="113">
        <v>0</v>
      </c>
      <c r="BF114" s="113">
        <f t="shared" si="4"/>
        <v>38330</v>
      </c>
      <c r="BG114" s="113">
        <f t="shared" si="5"/>
        <v>540</v>
      </c>
      <c r="BH114" s="113">
        <f t="shared" si="6"/>
        <v>0</v>
      </c>
      <c r="BI114" s="113">
        <f t="shared" si="7"/>
        <v>0</v>
      </c>
    </row>
    <row r="115" spans="1:61">
      <c r="A115" s="102" t="s">
        <v>169</v>
      </c>
      <c r="B115" s="24" t="s">
        <v>532</v>
      </c>
      <c r="C115" s="103" t="s">
        <v>25</v>
      </c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  <c r="AU115" s="113"/>
      <c r="AV115" s="113"/>
      <c r="AW115" s="113"/>
      <c r="AX115" s="113"/>
      <c r="AY115" s="113"/>
      <c r="AZ115" s="113"/>
      <c r="BA115" s="113"/>
      <c r="BB115" s="113"/>
      <c r="BC115" s="113"/>
      <c r="BD115" s="113"/>
      <c r="BF115" s="113">
        <f t="shared" si="4"/>
        <v>0</v>
      </c>
      <c r="BG115" s="113">
        <f t="shared" si="5"/>
        <v>0</v>
      </c>
      <c r="BH115" s="113">
        <f t="shared" si="6"/>
        <v>0</v>
      </c>
      <c r="BI115" s="113">
        <f t="shared" si="7"/>
        <v>0</v>
      </c>
    </row>
    <row r="116" spans="1:61">
      <c r="A116" s="102" t="s">
        <v>170</v>
      </c>
      <c r="B116" s="24" t="s">
        <v>533</v>
      </c>
      <c r="C116" s="103" t="s">
        <v>171</v>
      </c>
      <c r="D116" s="113">
        <v>26342</v>
      </c>
      <c r="E116" s="113">
        <v>899929</v>
      </c>
      <c r="F116" s="113">
        <v>14296</v>
      </c>
      <c r="G116" s="113">
        <v>25155</v>
      </c>
      <c r="H116" s="113">
        <v>25229</v>
      </c>
      <c r="I116" s="113">
        <v>406</v>
      </c>
      <c r="J116" s="113">
        <v>651</v>
      </c>
      <c r="K116" s="113">
        <v>201672</v>
      </c>
      <c r="L116" s="113">
        <v>3243</v>
      </c>
      <c r="M116" s="113">
        <v>12644</v>
      </c>
      <c r="N116" s="113">
        <v>6518</v>
      </c>
      <c r="O116" s="113">
        <v>0</v>
      </c>
      <c r="P116" s="113">
        <v>0</v>
      </c>
      <c r="Q116" s="113">
        <v>0</v>
      </c>
      <c r="R116" s="113">
        <v>0</v>
      </c>
      <c r="S116" s="113">
        <v>0</v>
      </c>
      <c r="T116" s="113">
        <v>0</v>
      </c>
      <c r="U116" s="113">
        <v>0</v>
      </c>
      <c r="V116" s="113">
        <v>0</v>
      </c>
      <c r="W116" s="113">
        <v>0</v>
      </c>
      <c r="X116" s="113">
        <v>0</v>
      </c>
      <c r="Y116" s="113">
        <v>0</v>
      </c>
      <c r="Z116" s="113">
        <v>0</v>
      </c>
      <c r="AA116" s="113">
        <v>0</v>
      </c>
      <c r="AB116" s="113">
        <v>0</v>
      </c>
      <c r="AC116" s="113">
        <v>0</v>
      </c>
      <c r="AD116" s="113">
        <v>669686</v>
      </c>
      <c r="AE116" s="113">
        <v>10990</v>
      </c>
      <c r="AF116" s="113">
        <v>16093</v>
      </c>
      <c r="AG116" s="113">
        <v>0</v>
      </c>
      <c r="AH116" s="113">
        <v>0</v>
      </c>
      <c r="AI116" s="113">
        <v>0</v>
      </c>
      <c r="AJ116" s="113">
        <v>0</v>
      </c>
      <c r="AK116" s="113">
        <v>0</v>
      </c>
      <c r="AL116" s="113">
        <v>0</v>
      </c>
      <c r="AM116" s="113">
        <v>0</v>
      </c>
      <c r="AN116" s="113">
        <v>0</v>
      </c>
      <c r="AO116" s="113">
        <v>0</v>
      </c>
      <c r="AP116" s="113">
        <v>0</v>
      </c>
      <c r="AQ116" s="113">
        <v>0</v>
      </c>
      <c r="AR116" s="113">
        <v>0</v>
      </c>
      <c r="AS116" s="113">
        <v>0</v>
      </c>
      <c r="AT116" s="113">
        <v>0</v>
      </c>
      <c r="AU116" s="113">
        <v>0</v>
      </c>
      <c r="AV116" s="113">
        <v>0</v>
      </c>
      <c r="AW116" s="113">
        <v>0</v>
      </c>
      <c r="AX116" s="113">
        <v>0</v>
      </c>
      <c r="AY116" s="113">
        <v>0</v>
      </c>
      <c r="AZ116" s="113">
        <v>0</v>
      </c>
      <c r="BA116" s="113">
        <v>0</v>
      </c>
      <c r="BB116" s="113">
        <v>0</v>
      </c>
      <c r="BC116" s="113">
        <v>0</v>
      </c>
      <c r="BD116" s="113">
        <v>0</v>
      </c>
      <c r="BF116" s="113">
        <f t="shared" si="4"/>
        <v>1796516</v>
      </c>
      <c r="BG116" s="113">
        <f t="shared" si="5"/>
        <v>28935</v>
      </c>
      <c r="BH116" s="113">
        <f t="shared" si="6"/>
        <v>12644</v>
      </c>
      <c r="BI116" s="113">
        <f t="shared" si="7"/>
        <v>74759</v>
      </c>
    </row>
    <row r="117" spans="1:61">
      <c r="A117" s="102" t="s">
        <v>172</v>
      </c>
      <c r="B117" s="24" t="s">
        <v>534</v>
      </c>
      <c r="C117" s="103" t="s">
        <v>171</v>
      </c>
      <c r="D117" s="113">
        <v>47587</v>
      </c>
      <c r="E117" s="113">
        <v>87655</v>
      </c>
      <c r="F117" s="113">
        <v>2709</v>
      </c>
      <c r="G117" s="113">
        <v>31067</v>
      </c>
      <c r="H117" s="113">
        <v>0</v>
      </c>
      <c r="I117" s="113">
        <v>0</v>
      </c>
      <c r="J117" s="113">
        <v>0</v>
      </c>
      <c r="K117" s="113">
        <v>23534</v>
      </c>
      <c r="L117" s="113">
        <v>753</v>
      </c>
      <c r="M117" s="113">
        <v>0</v>
      </c>
      <c r="N117" s="113">
        <v>7114</v>
      </c>
      <c r="O117" s="113">
        <v>0</v>
      </c>
      <c r="P117" s="113">
        <v>0</v>
      </c>
      <c r="Q117" s="113">
        <v>0</v>
      </c>
      <c r="R117" s="113">
        <v>0</v>
      </c>
      <c r="S117" s="113">
        <v>0</v>
      </c>
      <c r="T117" s="113">
        <v>0</v>
      </c>
      <c r="U117" s="113">
        <v>0</v>
      </c>
      <c r="V117" s="113">
        <v>0</v>
      </c>
      <c r="W117" s="113">
        <v>0</v>
      </c>
      <c r="X117" s="113">
        <v>0</v>
      </c>
      <c r="Y117" s="113">
        <v>0</v>
      </c>
      <c r="Z117" s="113">
        <v>0</v>
      </c>
      <c r="AA117" s="113">
        <v>0</v>
      </c>
      <c r="AB117" s="113">
        <v>0</v>
      </c>
      <c r="AC117" s="113">
        <v>0</v>
      </c>
      <c r="AD117" s="113">
        <v>0</v>
      </c>
      <c r="AE117" s="113">
        <v>0</v>
      </c>
      <c r="AF117" s="113">
        <v>0</v>
      </c>
      <c r="AG117" s="113">
        <v>0</v>
      </c>
      <c r="AH117" s="113">
        <v>0</v>
      </c>
      <c r="AI117" s="113">
        <v>0</v>
      </c>
      <c r="AJ117" s="113">
        <v>0</v>
      </c>
      <c r="AK117" s="113">
        <v>0</v>
      </c>
      <c r="AL117" s="113">
        <v>0</v>
      </c>
      <c r="AM117" s="113">
        <v>0</v>
      </c>
      <c r="AN117" s="113">
        <v>0</v>
      </c>
      <c r="AO117" s="113">
        <v>0</v>
      </c>
      <c r="AP117" s="113">
        <v>0</v>
      </c>
      <c r="AQ117" s="113">
        <v>0</v>
      </c>
      <c r="AR117" s="113">
        <v>0</v>
      </c>
      <c r="AS117" s="113">
        <v>0</v>
      </c>
      <c r="AT117" s="113">
        <v>0</v>
      </c>
      <c r="AU117" s="113">
        <v>0</v>
      </c>
      <c r="AV117" s="113">
        <v>0</v>
      </c>
      <c r="AW117" s="113">
        <v>0</v>
      </c>
      <c r="AX117" s="113">
        <v>0</v>
      </c>
      <c r="AY117" s="113">
        <v>0</v>
      </c>
      <c r="AZ117" s="113">
        <v>0</v>
      </c>
      <c r="BA117" s="113">
        <v>0</v>
      </c>
      <c r="BB117" s="113">
        <v>0</v>
      </c>
      <c r="BC117" s="113">
        <v>0</v>
      </c>
      <c r="BD117" s="113">
        <v>0</v>
      </c>
      <c r="BF117" s="113">
        <f t="shared" si="4"/>
        <v>111189</v>
      </c>
      <c r="BG117" s="113">
        <f t="shared" si="5"/>
        <v>3462</v>
      </c>
      <c r="BH117" s="113">
        <f t="shared" si="6"/>
        <v>0</v>
      </c>
      <c r="BI117" s="113">
        <f t="shared" si="7"/>
        <v>85768</v>
      </c>
    </row>
    <row r="118" spans="1:61">
      <c r="A118" s="102" t="s">
        <v>173</v>
      </c>
      <c r="B118" s="24" t="s">
        <v>535</v>
      </c>
      <c r="C118" s="103" t="s">
        <v>171</v>
      </c>
      <c r="D118" s="113">
        <v>0</v>
      </c>
      <c r="E118" s="113">
        <v>62617</v>
      </c>
      <c r="F118" s="113">
        <v>1469</v>
      </c>
      <c r="G118" s="113">
        <v>0</v>
      </c>
      <c r="H118" s="113">
        <v>0</v>
      </c>
      <c r="I118" s="113">
        <v>0</v>
      </c>
      <c r="J118" s="113">
        <v>0</v>
      </c>
      <c r="K118" s="113">
        <v>12599</v>
      </c>
      <c r="L118" s="113">
        <v>295</v>
      </c>
      <c r="M118" s="113">
        <v>0</v>
      </c>
      <c r="N118" s="113">
        <v>0</v>
      </c>
      <c r="O118" s="113">
        <v>0</v>
      </c>
      <c r="P118" s="113">
        <v>0</v>
      </c>
      <c r="Q118" s="113">
        <v>0</v>
      </c>
      <c r="R118" s="113">
        <v>0</v>
      </c>
      <c r="S118" s="113">
        <v>0</v>
      </c>
      <c r="T118" s="113">
        <v>0</v>
      </c>
      <c r="U118" s="113">
        <v>0</v>
      </c>
      <c r="V118" s="113">
        <v>0</v>
      </c>
      <c r="W118" s="113">
        <v>0</v>
      </c>
      <c r="X118" s="113">
        <v>0</v>
      </c>
      <c r="Y118" s="113">
        <v>0</v>
      </c>
      <c r="Z118" s="113">
        <v>0</v>
      </c>
      <c r="AA118" s="113">
        <v>0</v>
      </c>
      <c r="AB118" s="113">
        <v>0</v>
      </c>
      <c r="AC118" s="113">
        <v>0</v>
      </c>
      <c r="AD118" s="113">
        <v>18776</v>
      </c>
      <c r="AE118" s="113">
        <v>433</v>
      </c>
      <c r="AF118" s="113">
        <v>0</v>
      </c>
      <c r="AG118" s="113">
        <v>0</v>
      </c>
      <c r="AH118" s="113">
        <v>0</v>
      </c>
      <c r="AI118" s="113">
        <v>0</v>
      </c>
      <c r="AJ118" s="113">
        <v>0</v>
      </c>
      <c r="AK118" s="113">
        <v>0</v>
      </c>
      <c r="AL118" s="113">
        <v>0</v>
      </c>
      <c r="AM118" s="113">
        <v>0</v>
      </c>
      <c r="AN118" s="113">
        <v>0</v>
      </c>
      <c r="AO118" s="113">
        <v>0</v>
      </c>
      <c r="AP118" s="113">
        <v>0</v>
      </c>
      <c r="AQ118" s="113">
        <v>0</v>
      </c>
      <c r="AR118" s="113">
        <v>0</v>
      </c>
      <c r="AS118" s="113">
        <v>0</v>
      </c>
      <c r="AT118" s="113">
        <v>0</v>
      </c>
      <c r="AU118" s="113">
        <v>0</v>
      </c>
      <c r="AV118" s="113">
        <v>0</v>
      </c>
      <c r="AW118" s="113">
        <v>0</v>
      </c>
      <c r="AX118" s="113">
        <v>0</v>
      </c>
      <c r="AY118" s="113">
        <v>0</v>
      </c>
      <c r="AZ118" s="113">
        <v>0</v>
      </c>
      <c r="BA118" s="113">
        <v>0</v>
      </c>
      <c r="BB118" s="113">
        <v>0</v>
      </c>
      <c r="BC118" s="113">
        <v>0</v>
      </c>
      <c r="BD118" s="113">
        <v>0</v>
      </c>
      <c r="BF118" s="113">
        <f t="shared" si="4"/>
        <v>93992</v>
      </c>
      <c r="BG118" s="113">
        <f t="shared" si="5"/>
        <v>2197</v>
      </c>
      <c r="BH118" s="113">
        <f t="shared" si="6"/>
        <v>0</v>
      </c>
      <c r="BI118" s="113">
        <f t="shared" si="7"/>
        <v>0</v>
      </c>
    </row>
    <row r="119" spans="1:61">
      <c r="A119" s="102" t="s">
        <v>174</v>
      </c>
      <c r="B119" s="24" t="s">
        <v>536</v>
      </c>
      <c r="C119" s="103" t="s">
        <v>175</v>
      </c>
      <c r="D119" s="113">
        <v>740</v>
      </c>
      <c r="E119" s="113">
        <v>473902</v>
      </c>
      <c r="F119" s="113">
        <v>4427</v>
      </c>
      <c r="G119" s="113">
        <v>560</v>
      </c>
      <c r="H119" s="113">
        <v>0</v>
      </c>
      <c r="I119" s="113">
        <v>0</v>
      </c>
      <c r="J119" s="113">
        <v>0</v>
      </c>
      <c r="K119" s="113">
        <v>121494</v>
      </c>
      <c r="L119" s="113">
        <v>1135</v>
      </c>
      <c r="M119" s="113">
        <v>0</v>
      </c>
      <c r="N119" s="113">
        <v>145</v>
      </c>
      <c r="O119" s="113">
        <v>0</v>
      </c>
      <c r="P119" s="113">
        <v>0</v>
      </c>
      <c r="Q119" s="113">
        <v>0</v>
      </c>
      <c r="R119" s="113">
        <v>0</v>
      </c>
      <c r="S119" s="113">
        <v>0</v>
      </c>
      <c r="T119" s="113">
        <v>0</v>
      </c>
      <c r="U119" s="113">
        <v>0</v>
      </c>
      <c r="V119" s="113">
        <v>0</v>
      </c>
      <c r="W119" s="113">
        <v>0</v>
      </c>
      <c r="X119" s="113">
        <v>0</v>
      </c>
      <c r="Y119" s="113">
        <v>0</v>
      </c>
      <c r="Z119" s="113">
        <v>0</v>
      </c>
      <c r="AA119" s="113">
        <v>0</v>
      </c>
      <c r="AB119" s="113">
        <v>0</v>
      </c>
      <c r="AC119" s="113">
        <v>0</v>
      </c>
      <c r="AD119" s="113">
        <v>53390</v>
      </c>
      <c r="AE119" s="113">
        <v>508</v>
      </c>
      <c r="AF119" s="113">
        <v>253</v>
      </c>
      <c r="AG119" s="113">
        <v>0</v>
      </c>
      <c r="AH119" s="113">
        <v>0</v>
      </c>
      <c r="AI119" s="113">
        <v>0</v>
      </c>
      <c r="AJ119" s="113">
        <v>0</v>
      </c>
      <c r="AK119" s="113">
        <v>0</v>
      </c>
      <c r="AL119" s="113">
        <v>0</v>
      </c>
      <c r="AM119" s="113">
        <v>0</v>
      </c>
      <c r="AN119" s="113">
        <v>0</v>
      </c>
      <c r="AO119" s="113">
        <v>0</v>
      </c>
      <c r="AP119" s="113">
        <v>0</v>
      </c>
      <c r="AQ119" s="113">
        <v>0</v>
      </c>
      <c r="AR119" s="113">
        <v>0</v>
      </c>
      <c r="AS119" s="113">
        <v>0</v>
      </c>
      <c r="AT119" s="113">
        <v>0</v>
      </c>
      <c r="AU119" s="113">
        <v>0</v>
      </c>
      <c r="AV119" s="113">
        <v>0</v>
      </c>
      <c r="AW119" s="113">
        <v>0</v>
      </c>
      <c r="AX119" s="113">
        <v>0</v>
      </c>
      <c r="AY119" s="113">
        <v>120932</v>
      </c>
      <c r="AZ119" s="113">
        <v>1135</v>
      </c>
      <c r="BA119" s="113">
        <v>145</v>
      </c>
      <c r="BB119" s="113">
        <v>35553</v>
      </c>
      <c r="BC119" s="113">
        <v>334</v>
      </c>
      <c r="BD119" s="113">
        <v>36</v>
      </c>
      <c r="BF119" s="113">
        <f t="shared" si="4"/>
        <v>648786</v>
      </c>
      <c r="BG119" s="113">
        <f t="shared" si="5"/>
        <v>6070</v>
      </c>
      <c r="BH119" s="113">
        <f t="shared" si="6"/>
        <v>0</v>
      </c>
      <c r="BI119" s="113">
        <f t="shared" si="7"/>
        <v>1698</v>
      </c>
    </row>
    <row r="120" spans="1:61">
      <c r="A120" s="102" t="s">
        <v>176</v>
      </c>
      <c r="B120" s="24" t="s">
        <v>537</v>
      </c>
      <c r="C120" s="103" t="s">
        <v>175</v>
      </c>
      <c r="D120" s="113">
        <v>1579</v>
      </c>
      <c r="E120" s="113">
        <v>157543</v>
      </c>
      <c r="F120" s="113">
        <v>6176</v>
      </c>
      <c r="G120" s="113">
        <v>1681</v>
      </c>
      <c r="H120" s="113">
        <v>0</v>
      </c>
      <c r="I120" s="113">
        <v>0</v>
      </c>
      <c r="J120" s="113">
        <v>0</v>
      </c>
      <c r="K120" s="113">
        <v>17085</v>
      </c>
      <c r="L120" s="113">
        <v>639</v>
      </c>
      <c r="M120" s="113">
        <v>186</v>
      </c>
      <c r="N120" s="113">
        <v>158</v>
      </c>
      <c r="O120" s="113">
        <v>0</v>
      </c>
      <c r="P120" s="113">
        <v>0</v>
      </c>
      <c r="Q120" s="113">
        <v>0</v>
      </c>
      <c r="R120" s="113">
        <v>0</v>
      </c>
      <c r="S120" s="113">
        <v>0</v>
      </c>
      <c r="T120" s="113">
        <v>0</v>
      </c>
      <c r="U120" s="113">
        <v>0</v>
      </c>
      <c r="V120" s="113">
        <v>0</v>
      </c>
      <c r="W120" s="113">
        <v>0</v>
      </c>
      <c r="X120" s="113">
        <v>0</v>
      </c>
      <c r="Y120" s="113">
        <v>0</v>
      </c>
      <c r="Z120" s="113">
        <v>0</v>
      </c>
      <c r="AA120" s="113">
        <v>0</v>
      </c>
      <c r="AB120" s="113">
        <v>0</v>
      </c>
      <c r="AC120" s="113">
        <v>0</v>
      </c>
      <c r="AD120" s="113">
        <v>47398</v>
      </c>
      <c r="AE120" s="113">
        <v>1865</v>
      </c>
      <c r="AF120" s="113">
        <v>410</v>
      </c>
      <c r="AG120" s="113">
        <v>0</v>
      </c>
      <c r="AH120" s="113">
        <v>0</v>
      </c>
      <c r="AI120" s="113">
        <v>0</v>
      </c>
      <c r="AJ120" s="113">
        <v>0</v>
      </c>
      <c r="AK120" s="113">
        <v>0</v>
      </c>
      <c r="AL120" s="113">
        <v>0</v>
      </c>
      <c r="AM120" s="113">
        <v>0</v>
      </c>
      <c r="AN120" s="113">
        <v>0</v>
      </c>
      <c r="AO120" s="113">
        <v>0</v>
      </c>
      <c r="AP120" s="113">
        <v>0</v>
      </c>
      <c r="AQ120" s="113">
        <v>0</v>
      </c>
      <c r="AR120" s="113">
        <v>0</v>
      </c>
      <c r="AS120" s="113">
        <v>0</v>
      </c>
      <c r="AT120" s="113">
        <v>0</v>
      </c>
      <c r="AU120" s="113">
        <v>0</v>
      </c>
      <c r="AV120" s="113">
        <v>0</v>
      </c>
      <c r="AW120" s="113">
        <v>0</v>
      </c>
      <c r="AX120" s="113">
        <v>0</v>
      </c>
      <c r="AY120" s="113">
        <v>0</v>
      </c>
      <c r="AZ120" s="113">
        <v>0</v>
      </c>
      <c r="BA120" s="113">
        <v>0</v>
      </c>
      <c r="BB120" s="113">
        <v>0</v>
      </c>
      <c r="BC120" s="113">
        <v>0</v>
      </c>
      <c r="BD120" s="113">
        <v>0</v>
      </c>
      <c r="BF120" s="113">
        <f t="shared" si="4"/>
        <v>222026</v>
      </c>
      <c r="BG120" s="113">
        <f t="shared" si="5"/>
        <v>8680</v>
      </c>
      <c r="BH120" s="113">
        <f t="shared" si="6"/>
        <v>186</v>
      </c>
      <c r="BI120" s="113">
        <f t="shared" si="7"/>
        <v>3828</v>
      </c>
    </row>
    <row r="121" spans="1:61">
      <c r="A121" s="102" t="s">
        <v>177</v>
      </c>
      <c r="B121" s="24" t="s">
        <v>538</v>
      </c>
      <c r="C121" s="103" t="s">
        <v>175</v>
      </c>
      <c r="D121" s="113">
        <v>0</v>
      </c>
      <c r="E121" s="113">
        <v>52599</v>
      </c>
      <c r="F121" s="113">
        <v>795</v>
      </c>
      <c r="G121" s="113">
        <v>0</v>
      </c>
      <c r="H121" s="113">
        <v>0</v>
      </c>
      <c r="I121" s="113">
        <v>0</v>
      </c>
      <c r="J121" s="113">
        <v>0</v>
      </c>
      <c r="K121" s="113">
        <v>20548</v>
      </c>
      <c r="L121" s="113">
        <v>289</v>
      </c>
      <c r="M121" s="113">
        <v>0</v>
      </c>
      <c r="N121" s="113">
        <v>0</v>
      </c>
      <c r="O121" s="113">
        <v>0</v>
      </c>
      <c r="P121" s="113">
        <v>0</v>
      </c>
      <c r="Q121" s="113">
        <v>0</v>
      </c>
      <c r="R121" s="113">
        <v>0</v>
      </c>
      <c r="S121" s="113">
        <v>0</v>
      </c>
      <c r="T121" s="113">
        <v>0</v>
      </c>
      <c r="U121" s="113">
        <v>0</v>
      </c>
      <c r="V121" s="113">
        <v>0</v>
      </c>
      <c r="W121" s="113">
        <v>0</v>
      </c>
      <c r="X121" s="113">
        <v>0</v>
      </c>
      <c r="Y121" s="113">
        <v>0</v>
      </c>
      <c r="Z121" s="113">
        <v>0</v>
      </c>
      <c r="AA121" s="113">
        <v>0</v>
      </c>
      <c r="AB121" s="113">
        <v>0</v>
      </c>
      <c r="AC121" s="113">
        <v>0</v>
      </c>
      <c r="AD121" s="113">
        <v>0</v>
      </c>
      <c r="AE121" s="113">
        <v>0</v>
      </c>
      <c r="AF121" s="113">
        <v>0</v>
      </c>
      <c r="AG121" s="113">
        <v>0</v>
      </c>
      <c r="AH121" s="113">
        <v>0</v>
      </c>
      <c r="AI121" s="113">
        <v>0</v>
      </c>
      <c r="AJ121" s="113">
        <v>0</v>
      </c>
      <c r="AK121" s="113">
        <v>0</v>
      </c>
      <c r="AL121" s="113">
        <v>0</v>
      </c>
      <c r="AM121" s="113">
        <v>0</v>
      </c>
      <c r="AN121" s="113">
        <v>0</v>
      </c>
      <c r="AO121" s="113">
        <v>0</v>
      </c>
      <c r="AP121" s="113">
        <v>0</v>
      </c>
      <c r="AQ121" s="113">
        <v>0</v>
      </c>
      <c r="AR121" s="113">
        <v>0</v>
      </c>
      <c r="AS121" s="113">
        <v>0</v>
      </c>
      <c r="AT121" s="113">
        <v>0</v>
      </c>
      <c r="AU121" s="113">
        <v>0</v>
      </c>
      <c r="AV121" s="113">
        <v>0</v>
      </c>
      <c r="AW121" s="113">
        <v>0</v>
      </c>
      <c r="AX121" s="113">
        <v>0</v>
      </c>
      <c r="AY121" s="113">
        <v>0</v>
      </c>
      <c r="AZ121" s="113">
        <v>0</v>
      </c>
      <c r="BA121" s="113">
        <v>0</v>
      </c>
      <c r="BB121" s="113">
        <v>0</v>
      </c>
      <c r="BC121" s="113">
        <v>0</v>
      </c>
      <c r="BD121" s="113">
        <v>0</v>
      </c>
      <c r="BF121" s="113">
        <f t="shared" si="4"/>
        <v>73147</v>
      </c>
      <c r="BG121" s="113">
        <f t="shared" si="5"/>
        <v>1084</v>
      </c>
      <c r="BH121" s="113">
        <f t="shared" si="6"/>
        <v>0</v>
      </c>
      <c r="BI121" s="113">
        <f t="shared" si="7"/>
        <v>0</v>
      </c>
    </row>
    <row r="122" spans="1:61">
      <c r="A122" s="102" t="s">
        <v>178</v>
      </c>
      <c r="B122" s="24" t="s">
        <v>539</v>
      </c>
      <c r="C122" s="103" t="s">
        <v>175</v>
      </c>
      <c r="D122" s="113">
        <v>0</v>
      </c>
      <c r="E122" s="113">
        <v>37020</v>
      </c>
      <c r="F122" s="113">
        <v>395</v>
      </c>
      <c r="G122" s="113">
        <v>0</v>
      </c>
      <c r="H122" s="113">
        <v>0</v>
      </c>
      <c r="I122" s="113">
        <v>0</v>
      </c>
      <c r="J122" s="113">
        <v>0</v>
      </c>
      <c r="K122" s="113">
        <v>5909</v>
      </c>
      <c r="L122" s="113">
        <v>63</v>
      </c>
      <c r="M122" s="113">
        <v>0</v>
      </c>
      <c r="N122" s="113">
        <v>0</v>
      </c>
      <c r="O122" s="113">
        <v>0</v>
      </c>
      <c r="P122" s="113">
        <v>0</v>
      </c>
      <c r="Q122" s="113">
        <v>0</v>
      </c>
      <c r="R122" s="113">
        <v>0</v>
      </c>
      <c r="S122" s="113">
        <v>0</v>
      </c>
      <c r="T122" s="113">
        <v>0</v>
      </c>
      <c r="U122" s="113">
        <v>0</v>
      </c>
      <c r="V122" s="113">
        <v>0</v>
      </c>
      <c r="W122" s="113">
        <v>0</v>
      </c>
      <c r="X122" s="113">
        <v>0</v>
      </c>
      <c r="Y122" s="113">
        <v>0</v>
      </c>
      <c r="Z122" s="113">
        <v>0</v>
      </c>
      <c r="AA122" s="113">
        <v>0</v>
      </c>
      <c r="AB122" s="113">
        <v>0</v>
      </c>
      <c r="AC122" s="113">
        <v>0</v>
      </c>
      <c r="AD122" s="113">
        <v>12912</v>
      </c>
      <c r="AE122" s="113">
        <v>139</v>
      </c>
      <c r="AF122" s="113">
        <v>0</v>
      </c>
      <c r="AG122" s="113">
        <v>0</v>
      </c>
      <c r="AH122" s="113">
        <v>0</v>
      </c>
      <c r="AI122" s="113">
        <v>0</v>
      </c>
      <c r="AJ122" s="113">
        <v>0</v>
      </c>
      <c r="AK122" s="113">
        <v>0</v>
      </c>
      <c r="AL122" s="113">
        <v>0</v>
      </c>
      <c r="AM122" s="113">
        <v>0</v>
      </c>
      <c r="AN122" s="113">
        <v>0</v>
      </c>
      <c r="AO122" s="113">
        <v>0</v>
      </c>
      <c r="AP122" s="113">
        <v>0</v>
      </c>
      <c r="AQ122" s="113">
        <v>0</v>
      </c>
      <c r="AR122" s="113">
        <v>0</v>
      </c>
      <c r="AS122" s="113">
        <v>0</v>
      </c>
      <c r="AT122" s="113">
        <v>0</v>
      </c>
      <c r="AU122" s="113">
        <v>0</v>
      </c>
      <c r="AV122" s="113">
        <v>0</v>
      </c>
      <c r="AW122" s="113">
        <v>0</v>
      </c>
      <c r="AX122" s="113">
        <v>0</v>
      </c>
      <c r="AY122" s="113">
        <v>3780</v>
      </c>
      <c r="AZ122" s="113">
        <v>42</v>
      </c>
      <c r="BA122" s="113">
        <v>0</v>
      </c>
      <c r="BB122" s="113">
        <v>0</v>
      </c>
      <c r="BC122" s="113">
        <v>0</v>
      </c>
      <c r="BD122" s="113">
        <v>0</v>
      </c>
      <c r="BF122" s="113">
        <f t="shared" si="4"/>
        <v>55841</v>
      </c>
      <c r="BG122" s="113">
        <f t="shared" si="5"/>
        <v>597</v>
      </c>
      <c r="BH122" s="113">
        <f t="shared" si="6"/>
        <v>0</v>
      </c>
      <c r="BI122" s="113">
        <f t="shared" si="7"/>
        <v>0</v>
      </c>
    </row>
    <row r="123" spans="1:61">
      <c r="A123" s="102" t="s">
        <v>179</v>
      </c>
      <c r="B123" s="24" t="s">
        <v>540</v>
      </c>
      <c r="C123" s="103" t="s">
        <v>175</v>
      </c>
      <c r="D123" s="113">
        <v>0</v>
      </c>
      <c r="E123" s="113">
        <v>125649</v>
      </c>
      <c r="F123" s="113">
        <v>2480</v>
      </c>
      <c r="G123" s="113">
        <v>0</v>
      </c>
      <c r="H123" s="113">
        <v>0</v>
      </c>
      <c r="I123" s="113">
        <v>0</v>
      </c>
      <c r="J123" s="113">
        <v>0</v>
      </c>
      <c r="K123" s="113">
        <v>21444</v>
      </c>
      <c r="L123" s="113">
        <v>426</v>
      </c>
      <c r="M123" s="113">
        <v>0</v>
      </c>
      <c r="N123" s="113">
        <v>0</v>
      </c>
      <c r="O123" s="113">
        <v>0</v>
      </c>
      <c r="P123" s="113">
        <v>0</v>
      </c>
      <c r="Q123" s="113">
        <v>0</v>
      </c>
      <c r="R123" s="113">
        <v>0</v>
      </c>
      <c r="S123" s="113">
        <v>0</v>
      </c>
      <c r="T123" s="113">
        <v>0</v>
      </c>
      <c r="U123" s="113">
        <v>0</v>
      </c>
      <c r="V123" s="113">
        <v>0</v>
      </c>
      <c r="W123" s="113">
        <v>0</v>
      </c>
      <c r="X123" s="113">
        <v>0</v>
      </c>
      <c r="Y123" s="113">
        <v>0</v>
      </c>
      <c r="Z123" s="113">
        <v>0</v>
      </c>
      <c r="AA123" s="113">
        <v>0</v>
      </c>
      <c r="AB123" s="113">
        <v>0</v>
      </c>
      <c r="AC123" s="113">
        <v>0</v>
      </c>
      <c r="AD123" s="113">
        <v>49999</v>
      </c>
      <c r="AE123" s="113">
        <v>987</v>
      </c>
      <c r="AF123" s="113">
        <v>0</v>
      </c>
      <c r="AG123" s="113">
        <v>0</v>
      </c>
      <c r="AH123" s="113">
        <v>0</v>
      </c>
      <c r="AI123" s="113">
        <v>0</v>
      </c>
      <c r="AJ123" s="113">
        <v>0</v>
      </c>
      <c r="AK123" s="113">
        <v>0</v>
      </c>
      <c r="AL123" s="113">
        <v>0</v>
      </c>
      <c r="AM123" s="113">
        <v>0</v>
      </c>
      <c r="AN123" s="113">
        <v>0</v>
      </c>
      <c r="AO123" s="113">
        <v>0</v>
      </c>
      <c r="AP123" s="113">
        <v>0</v>
      </c>
      <c r="AQ123" s="113">
        <v>0</v>
      </c>
      <c r="AR123" s="113">
        <v>0</v>
      </c>
      <c r="AS123" s="113">
        <v>0</v>
      </c>
      <c r="AT123" s="113">
        <v>0</v>
      </c>
      <c r="AU123" s="113">
        <v>0</v>
      </c>
      <c r="AV123" s="113">
        <v>0</v>
      </c>
      <c r="AW123" s="113">
        <v>0</v>
      </c>
      <c r="AX123" s="113">
        <v>0</v>
      </c>
      <c r="AY123" s="113">
        <v>0</v>
      </c>
      <c r="AZ123" s="113">
        <v>0</v>
      </c>
      <c r="BA123" s="113">
        <v>0</v>
      </c>
      <c r="BB123" s="113">
        <v>0</v>
      </c>
      <c r="BC123" s="113">
        <v>0</v>
      </c>
      <c r="BD123" s="113">
        <v>0</v>
      </c>
      <c r="BF123" s="113">
        <f t="shared" si="4"/>
        <v>197092</v>
      </c>
      <c r="BG123" s="113">
        <f t="shared" si="5"/>
        <v>3893</v>
      </c>
      <c r="BH123" s="113">
        <f t="shared" si="6"/>
        <v>0</v>
      </c>
      <c r="BI123" s="113">
        <f t="shared" si="7"/>
        <v>0</v>
      </c>
    </row>
    <row r="124" spans="1:61">
      <c r="A124" s="102" t="s">
        <v>180</v>
      </c>
      <c r="B124" s="24" t="s">
        <v>541</v>
      </c>
      <c r="C124" s="103" t="s">
        <v>175</v>
      </c>
      <c r="D124" s="113">
        <v>0</v>
      </c>
      <c r="E124" s="113">
        <v>320979</v>
      </c>
      <c r="F124" s="113">
        <v>4802</v>
      </c>
      <c r="G124" s="113">
        <v>0</v>
      </c>
      <c r="H124" s="113">
        <v>0</v>
      </c>
      <c r="I124" s="113">
        <v>0</v>
      </c>
      <c r="J124" s="113">
        <v>0</v>
      </c>
      <c r="K124" s="113">
        <v>110109</v>
      </c>
      <c r="L124" s="113">
        <v>1610</v>
      </c>
      <c r="M124" s="113">
        <v>0</v>
      </c>
      <c r="N124" s="113">
        <v>0</v>
      </c>
      <c r="O124" s="113">
        <v>0</v>
      </c>
      <c r="P124" s="113">
        <v>0</v>
      </c>
      <c r="Q124" s="113">
        <v>0</v>
      </c>
      <c r="R124" s="113">
        <v>0</v>
      </c>
      <c r="S124" s="113">
        <v>0</v>
      </c>
      <c r="T124" s="113">
        <v>0</v>
      </c>
      <c r="U124" s="113">
        <v>0</v>
      </c>
      <c r="V124" s="113">
        <v>0</v>
      </c>
      <c r="W124" s="113">
        <v>0</v>
      </c>
      <c r="X124" s="113">
        <v>0</v>
      </c>
      <c r="Y124" s="113">
        <v>0</v>
      </c>
      <c r="Z124" s="113">
        <v>0</v>
      </c>
      <c r="AA124" s="113">
        <v>0</v>
      </c>
      <c r="AB124" s="113">
        <v>0</v>
      </c>
      <c r="AC124" s="113">
        <v>0</v>
      </c>
      <c r="AD124" s="113">
        <v>117818</v>
      </c>
      <c r="AE124" s="113">
        <v>1729</v>
      </c>
      <c r="AF124" s="113">
        <v>0</v>
      </c>
      <c r="AG124" s="113">
        <v>0</v>
      </c>
      <c r="AH124" s="113">
        <v>0</v>
      </c>
      <c r="AI124" s="113">
        <v>0</v>
      </c>
      <c r="AJ124" s="113">
        <v>0</v>
      </c>
      <c r="AK124" s="113">
        <v>0</v>
      </c>
      <c r="AL124" s="113">
        <v>0</v>
      </c>
      <c r="AM124" s="113">
        <v>0</v>
      </c>
      <c r="AN124" s="113">
        <v>0</v>
      </c>
      <c r="AO124" s="113">
        <v>0</v>
      </c>
      <c r="AP124" s="113">
        <v>0</v>
      </c>
      <c r="AQ124" s="113">
        <v>0</v>
      </c>
      <c r="AR124" s="113">
        <v>0</v>
      </c>
      <c r="AS124" s="113">
        <v>0</v>
      </c>
      <c r="AT124" s="113">
        <v>0</v>
      </c>
      <c r="AU124" s="113">
        <v>0</v>
      </c>
      <c r="AV124" s="113">
        <v>0</v>
      </c>
      <c r="AW124" s="113">
        <v>0</v>
      </c>
      <c r="AX124" s="113">
        <v>0</v>
      </c>
      <c r="AY124" s="113">
        <v>0</v>
      </c>
      <c r="AZ124" s="113">
        <v>0</v>
      </c>
      <c r="BA124" s="113">
        <v>0</v>
      </c>
      <c r="BB124" s="113">
        <v>0</v>
      </c>
      <c r="BC124" s="113">
        <v>0</v>
      </c>
      <c r="BD124" s="113">
        <v>0</v>
      </c>
      <c r="BF124" s="113">
        <f t="shared" si="4"/>
        <v>548906</v>
      </c>
      <c r="BG124" s="113">
        <f t="shared" si="5"/>
        <v>8141</v>
      </c>
      <c r="BH124" s="113">
        <f t="shared" si="6"/>
        <v>0</v>
      </c>
      <c r="BI124" s="113">
        <f t="shared" si="7"/>
        <v>0</v>
      </c>
    </row>
    <row r="125" spans="1:61">
      <c r="A125" s="102" t="s">
        <v>181</v>
      </c>
      <c r="B125" s="24" t="s">
        <v>542</v>
      </c>
      <c r="C125" s="103" t="s">
        <v>182</v>
      </c>
      <c r="D125" s="113">
        <v>0</v>
      </c>
      <c r="E125" s="113">
        <v>17964</v>
      </c>
      <c r="F125" s="113">
        <v>140</v>
      </c>
      <c r="G125" s="113">
        <v>0</v>
      </c>
      <c r="H125" s="113">
        <v>0</v>
      </c>
      <c r="I125" s="113">
        <v>0</v>
      </c>
      <c r="J125" s="113">
        <v>0</v>
      </c>
      <c r="K125" s="113">
        <v>5177</v>
      </c>
      <c r="L125" s="113">
        <v>39</v>
      </c>
      <c r="M125" s="113">
        <v>30</v>
      </c>
      <c r="N125" s="113">
        <v>0</v>
      </c>
      <c r="O125" s="113">
        <v>0</v>
      </c>
      <c r="P125" s="113">
        <v>0</v>
      </c>
      <c r="Q125" s="113">
        <v>0</v>
      </c>
      <c r="R125" s="113">
        <v>0</v>
      </c>
      <c r="S125" s="113">
        <v>0</v>
      </c>
      <c r="T125" s="113">
        <v>0</v>
      </c>
      <c r="U125" s="113">
        <v>0</v>
      </c>
      <c r="V125" s="113">
        <v>0</v>
      </c>
      <c r="W125" s="113">
        <v>0</v>
      </c>
      <c r="X125" s="113">
        <v>0</v>
      </c>
      <c r="Y125" s="113">
        <v>0</v>
      </c>
      <c r="Z125" s="113">
        <v>0</v>
      </c>
      <c r="AA125" s="113">
        <v>0</v>
      </c>
      <c r="AB125" s="113">
        <v>0</v>
      </c>
      <c r="AC125" s="113">
        <v>0</v>
      </c>
      <c r="AD125" s="113">
        <v>0</v>
      </c>
      <c r="AE125" s="113">
        <v>0</v>
      </c>
      <c r="AF125" s="113">
        <v>0</v>
      </c>
      <c r="AG125" s="113">
        <v>0</v>
      </c>
      <c r="AH125" s="113">
        <v>0</v>
      </c>
      <c r="AI125" s="113">
        <v>0</v>
      </c>
      <c r="AJ125" s="113">
        <v>0</v>
      </c>
      <c r="AK125" s="113">
        <v>0</v>
      </c>
      <c r="AL125" s="113">
        <v>0</v>
      </c>
      <c r="AM125" s="113">
        <v>0</v>
      </c>
      <c r="AN125" s="113">
        <v>0</v>
      </c>
      <c r="AO125" s="113">
        <v>0</v>
      </c>
      <c r="AP125" s="113">
        <v>0</v>
      </c>
      <c r="AQ125" s="113">
        <v>0</v>
      </c>
      <c r="AR125" s="113">
        <v>0</v>
      </c>
      <c r="AS125" s="113">
        <v>0</v>
      </c>
      <c r="AT125" s="113">
        <v>0</v>
      </c>
      <c r="AU125" s="113">
        <v>0</v>
      </c>
      <c r="AV125" s="113">
        <v>0</v>
      </c>
      <c r="AW125" s="113">
        <v>0</v>
      </c>
      <c r="AX125" s="113">
        <v>0</v>
      </c>
      <c r="AY125" s="113">
        <v>989</v>
      </c>
      <c r="AZ125" s="113">
        <v>8</v>
      </c>
      <c r="BA125" s="113">
        <v>0</v>
      </c>
      <c r="BB125" s="113">
        <v>0</v>
      </c>
      <c r="BC125" s="113">
        <v>0</v>
      </c>
      <c r="BD125" s="113">
        <v>0</v>
      </c>
      <c r="BF125" s="113">
        <f t="shared" si="4"/>
        <v>23141</v>
      </c>
      <c r="BG125" s="113">
        <f t="shared" si="5"/>
        <v>179</v>
      </c>
      <c r="BH125" s="113">
        <f t="shared" si="6"/>
        <v>30</v>
      </c>
      <c r="BI125" s="113">
        <f t="shared" si="7"/>
        <v>0</v>
      </c>
    </row>
    <row r="126" spans="1:61">
      <c r="A126" s="102" t="s">
        <v>183</v>
      </c>
      <c r="B126" s="24" t="s">
        <v>543</v>
      </c>
      <c r="C126" s="103" t="s">
        <v>182</v>
      </c>
      <c r="D126" s="113">
        <v>0</v>
      </c>
      <c r="E126" s="113">
        <v>172355</v>
      </c>
      <c r="F126" s="113">
        <v>2015</v>
      </c>
      <c r="G126" s="113">
        <v>0</v>
      </c>
      <c r="H126" s="113">
        <v>0</v>
      </c>
      <c r="I126" s="113">
        <v>0</v>
      </c>
      <c r="J126" s="113">
        <v>0</v>
      </c>
      <c r="K126" s="113">
        <v>0</v>
      </c>
      <c r="L126" s="113">
        <v>0</v>
      </c>
      <c r="M126" s="113">
        <v>0</v>
      </c>
      <c r="N126" s="113">
        <v>0</v>
      </c>
      <c r="O126" s="113">
        <v>0</v>
      </c>
      <c r="P126" s="113">
        <v>0</v>
      </c>
      <c r="Q126" s="113">
        <v>0</v>
      </c>
      <c r="R126" s="113">
        <v>0</v>
      </c>
      <c r="S126" s="113">
        <v>0</v>
      </c>
      <c r="T126" s="113">
        <v>0</v>
      </c>
      <c r="U126" s="113">
        <v>0</v>
      </c>
      <c r="V126" s="113">
        <v>0</v>
      </c>
      <c r="W126" s="113">
        <v>0</v>
      </c>
      <c r="X126" s="113">
        <v>0</v>
      </c>
      <c r="Y126" s="113">
        <v>0</v>
      </c>
      <c r="Z126" s="113">
        <v>0</v>
      </c>
      <c r="AA126" s="113">
        <v>0</v>
      </c>
      <c r="AB126" s="113">
        <v>0</v>
      </c>
      <c r="AC126" s="113">
        <v>0</v>
      </c>
      <c r="AD126" s="113">
        <v>55808</v>
      </c>
      <c r="AE126" s="113">
        <v>701</v>
      </c>
      <c r="AF126" s="113">
        <v>0</v>
      </c>
      <c r="AG126" s="113">
        <v>0</v>
      </c>
      <c r="AH126" s="113">
        <v>0</v>
      </c>
      <c r="AI126" s="113">
        <v>0</v>
      </c>
      <c r="AJ126" s="113">
        <v>0</v>
      </c>
      <c r="AK126" s="113">
        <v>0</v>
      </c>
      <c r="AL126" s="113">
        <v>0</v>
      </c>
      <c r="AM126" s="113">
        <v>0</v>
      </c>
      <c r="AN126" s="113">
        <v>0</v>
      </c>
      <c r="AO126" s="113">
        <v>0</v>
      </c>
      <c r="AP126" s="113">
        <v>0</v>
      </c>
      <c r="AQ126" s="113">
        <v>0</v>
      </c>
      <c r="AR126" s="113">
        <v>0</v>
      </c>
      <c r="AS126" s="113">
        <v>0</v>
      </c>
      <c r="AT126" s="113">
        <v>0</v>
      </c>
      <c r="AU126" s="113">
        <v>0</v>
      </c>
      <c r="AV126" s="113">
        <v>0</v>
      </c>
      <c r="AW126" s="113">
        <v>0</v>
      </c>
      <c r="AX126" s="113">
        <v>0</v>
      </c>
      <c r="AY126" s="113">
        <v>0</v>
      </c>
      <c r="AZ126" s="113">
        <v>0</v>
      </c>
      <c r="BA126" s="113">
        <v>0</v>
      </c>
      <c r="BB126" s="113">
        <v>0</v>
      </c>
      <c r="BC126" s="113">
        <v>0</v>
      </c>
      <c r="BD126" s="113">
        <v>0</v>
      </c>
      <c r="BF126" s="113">
        <f t="shared" si="4"/>
        <v>228163</v>
      </c>
      <c r="BG126" s="113">
        <f t="shared" si="5"/>
        <v>2716</v>
      </c>
      <c r="BH126" s="113">
        <f t="shared" si="6"/>
        <v>0</v>
      </c>
      <c r="BI126" s="113">
        <f t="shared" si="7"/>
        <v>0</v>
      </c>
    </row>
    <row r="127" spans="1:61">
      <c r="A127" s="102" t="s">
        <v>184</v>
      </c>
      <c r="B127" s="24" t="s">
        <v>544</v>
      </c>
      <c r="C127" s="103" t="s">
        <v>182</v>
      </c>
      <c r="D127" s="113">
        <v>0</v>
      </c>
      <c r="E127" s="113">
        <v>8941</v>
      </c>
      <c r="F127" s="113">
        <v>172</v>
      </c>
      <c r="G127" s="113">
        <v>0</v>
      </c>
      <c r="H127" s="113">
        <v>0</v>
      </c>
      <c r="I127" s="113">
        <v>0</v>
      </c>
      <c r="J127" s="113">
        <v>0</v>
      </c>
      <c r="K127" s="113">
        <v>4859</v>
      </c>
      <c r="L127" s="113">
        <v>93</v>
      </c>
      <c r="M127" s="113">
        <v>0</v>
      </c>
      <c r="N127" s="113">
        <v>0</v>
      </c>
      <c r="O127" s="113">
        <v>0</v>
      </c>
      <c r="P127" s="113">
        <v>0</v>
      </c>
      <c r="Q127" s="113">
        <v>0</v>
      </c>
      <c r="R127" s="113">
        <v>0</v>
      </c>
      <c r="S127" s="113">
        <v>0</v>
      </c>
      <c r="T127" s="113">
        <v>0</v>
      </c>
      <c r="U127" s="113">
        <v>0</v>
      </c>
      <c r="V127" s="113">
        <v>0</v>
      </c>
      <c r="W127" s="113">
        <v>0</v>
      </c>
      <c r="X127" s="113">
        <v>0</v>
      </c>
      <c r="Y127" s="113">
        <v>0</v>
      </c>
      <c r="Z127" s="113">
        <v>0</v>
      </c>
      <c r="AA127" s="113">
        <v>0</v>
      </c>
      <c r="AB127" s="113">
        <v>0</v>
      </c>
      <c r="AC127" s="113">
        <v>0</v>
      </c>
      <c r="AD127" s="113">
        <v>0</v>
      </c>
      <c r="AE127" s="113">
        <v>0</v>
      </c>
      <c r="AF127" s="113">
        <v>0</v>
      </c>
      <c r="AG127" s="113">
        <v>0</v>
      </c>
      <c r="AH127" s="113">
        <v>0</v>
      </c>
      <c r="AI127" s="113">
        <v>0</v>
      </c>
      <c r="AJ127" s="113">
        <v>0</v>
      </c>
      <c r="AK127" s="113">
        <v>0</v>
      </c>
      <c r="AL127" s="113">
        <v>0</v>
      </c>
      <c r="AM127" s="113">
        <v>0</v>
      </c>
      <c r="AN127" s="113">
        <v>0</v>
      </c>
      <c r="AO127" s="113">
        <v>0</v>
      </c>
      <c r="AP127" s="113">
        <v>0</v>
      </c>
      <c r="AQ127" s="113">
        <v>0</v>
      </c>
      <c r="AR127" s="113">
        <v>0</v>
      </c>
      <c r="AS127" s="113">
        <v>0</v>
      </c>
      <c r="AT127" s="113">
        <v>0</v>
      </c>
      <c r="AU127" s="113">
        <v>0</v>
      </c>
      <c r="AV127" s="113">
        <v>0</v>
      </c>
      <c r="AW127" s="113">
        <v>0</v>
      </c>
      <c r="AX127" s="113">
        <v>0</v>
      </c>
      <c r="AY127" s="113">
        <v>0</v>
      </c>
      <c r="AZ127" s="113">
        <v>0</v>
      </c>
      <c r="BA127" s="113">
        <v>0</v>
      </c>
      <c r="BB127" s="113">
        <v>0</v>
      </c>
      <c r="BC127" s="113">
        <v>0</v>
      </c>
      <c r="BD127" s="113">
        <v>0</v>
      </c>
      <c r="BF127" s="113">
        <f t="shared" si="4"/>
        <v>13800</v>
      </c>
      <c r="BG127" s="113">
        <f t="shared" si="5"/>
        <v>265</v>
      </c>
      <c r="BH127" s="113">
        <f t="shared" si="6"/>
        <v>0</v>
      </c>
      <c r="BI127" s="113">
        <f t="shared" si="7"/>
        <v>0</v>
      </c>
    </row>
    <row r="128" spans="1:61">
      <c r="A128" s="102" t="s">
        <v>185</v>
      </c>
      <c r="B128" s="24" t="s">
        <v>545</v>
      </c>
      <c r="C128" s="103" t="s">
        <v>186</v>
      </c>
      <c r="D128" s="113">
        <v>7090</v>
      </c>
      <c r="E128" s="113">
        <v>117562</v>
      </c>
      <c r="F128" s="113">
        <v>5947</v>
      </c>
      <c r="G128" s="113">
        <v>0</v>
      </c>
      <c r="H128" s="113">
        <v>0</v>
      </c>
      <c r="I128" s="113">
        <v>0</v>
      </c>
      <c r="J128" s="113">
        <v>0</v>
      </c>
      <c r="K128" s="113">
        <v>30458</v>
      </c>
      <c r="L128" s="113">
        <v>728</v>
      </c>
      <c r="M128" s="113">
        <v>0</v>
      </c>
      <c r="N128" s="113">
        <v>0</v>
      </c>
      <c r="O128" s="113">
        <v>0</v>
      </c>
      <c r="P128" s="113">
        <v>0</v>
      </c>
      <c r="Q128" s="113">
        <v>0</v>
      </c>
      <c r="R128" s="113">
        <v>0</v>
      </c>
      <c r="S128" s="113">
        <v>0</v>
      </c>
      <c r="T128" s="113">
        <v>0</v>
      </c>
      <c r="U128" s="113">
        <v>0</v>
      </c>
      <c r="V128" s="113">
        <v>0</v>
      </c>
      <c r="W128" s="113">
        <v>0</v>
      </c>
      <c r="X128" s="113">
        <v>0</v>
      </c>
      <c r="Y128" s="113">
        <v>0</v>
      </c>
      <c r="Z128" s="113">
        <v>0</v>
      </c>
      <c r="AA128" s="113">
        <v>0</v>
      </c>
      <c r="AB128" s="113">
        <v>0</v>
      </c>
      <c r="AC128" s="113">
        <v>0</v>
      </c>
      <c r="AD128" s="113">
        <v>0</v>
      </c>
      <c r="AE128" s="113">
        <v>0</v>
      </c>
      <c r="AF128" s="113">
        <v>0</v>
      </c>
      <c r="AG128" s="113">
        <v>116116</v>
      </c>
      <c r="AH128" s="113">
        <v>2768</v>
      </c>
      <c r="AI128" s="113">
        <v>0</v>
      </c>
      <c r="AJ128" s="113">
        <v>0</v>
      </c>
      <c r="AK128" s="113">
        <v>0</v>
      </c>
      <c r="AL128" s="113">
        <v>0</v>
      </c>
      <c r="AM128" s="113">
        <v>0</v>
      </c>
      <c r="AN128" s="113">
        <v>0</v>
      </c>
      <c r="AO128" s="113">
        <v>0</v>
      </c>
      <c r="AP128" s="113">
        <v>0</v>
      </c>
      <c r="AQ128" s="113">
        <v>0</v>
      </c>
      <c r="AR128" s="113">
        <v>0</v>
      </c>
      <c r="AS128" s="113">
        <v>0</v>
      </c>
      <c r="AT128" s="113">
        <v>0</v>
      </c>
      <c r="AU128" s="113">
        <v>0</v>
      </c>
      <c r="AV128" s="113">
        <v>0</v>
      </c>
      <c r="AW128" s="113">
        <v>0</v>
      </c>
      <c r="AX128" s="113">
        <v>0</v>
      </c>
      <c r="AY128" s="113">
        <v>0</v>
      </c>
      <c r="AZ128" s="113">
        <v>0</v>
      </c>
      <c r="BA128" s="113">
        <v>0</v>
      </c>
      <c r="BB128" s="113">
        <v>0</v>
      </c>
      <c r="BC128" s="113">
        <v>0</v>
      </c>
      <c r="BD128" s="113">
        <v>0</v>
      </c>
      <c r="BF128" s="113">
        <f t="shared" si="4"/>
        <v>264136</v>
      </c>
      <c r="BG128" s="113">
        <f t="shared" si="5"/>
        <v>9443</v>
      </c>
      <c r="BH128" s="113">
        <f t="shared" si="6"/>
        <v>0</v>
      </c>
      <c r="BI128" s="113">
        <f t="shared" si="7"/>
        <v>7090</v>
      </c>
    </row>
    <row r="129" spans="1:61">
      <c r="A129" s="102" t="s">
        <v>187</v>
      </c>
      <c r="B129" s="24" t="s">
        <v>546</v>
      </c>
      <c r="C129" s="103" t="s">
        <v>186</v>
      </c>
      <c r="D129" s="113">
        <v>0</v>
      </c>
      <c r="E129" s="113">
        <v>77445</v>
      </c>
      <c r="F129" s="113">
        <v>1240</v>
      </c>
      <c r="G129" s="113">
        <v>0</v>
      </c>
      <c r="H129" s="113">
        <v>0</v>
      </c>
      <c r="I129" s="113">
        <v>0</v>
      </c>
      <c r="J129" s="113">
        <v>0</v>
      </c>
      <c r="K129" s="113">
        <v>42046</v>
      </c>
      <c r="L129" s="113">
        <v>668</v>
      </c>
      <c r="M129" s="113">
        <v>0</v>
      </c>
      <c r="N129" s="113">
        <v>0</v>
      </c>
      <c r="O129" s="113">
        <v>0</v>
      </c>
      <c r="P129" s="113">
        <v>0</v>
      </c>
      <c r="Q129" s="113">
        <v>0</v>
      </c>
      <c r="R129" s="113">
        <v>0</v>
      </c>
      <c r="S129" s="113">
        <v>0</v>
      </c>
      <c r="T129" s="113">
        <v>0</v>
      </c>
      <c r="U129" s="113">
        <v>0</v>
      </c>
      <c r="V129" s="113">
        <v>0</v>
      </c>
      <c r="W129" s="113">
        <v>0</v>
      </c>
      <c r="X129" s="113">
        <v>0</v>
      </c>
      <c r="Y129" s="113">
        <v>0</v>
      </c>
      <c r="Z129" s="113">
        <v>0</v>
      </c>
      <c r="AA129" s="113">
        <v>0</v>
      </c>
      <c r="AB129" s="113">
        <v>0</v>
      </c>
      <c r="AC129" s="113">
        <v>0</v>
      </c>
      <c r="AD129" s="113">
        <v>0</v>
      </c>
      <c r="AE129" s="113">
        <v>0</v>
      </c>
      <c r="AF129" s="113">
        <v>0</v>
      </c>
      <c r="AG129" s="113">
        <v>0</v>
      </c>
      <c r="AH129" s="113">
        <v>0</v>
      </c>
      <c r="AI129" s="113">
        <v>0</v>
      </c>
      <c r="AJ129" s="113">
        <v>0</v>
      </c>
      <c r="AK129" s="113">
        <v>0</v>
      </c>
      <c r="AL129" s="113">
        <v>0</v>
      </c>
      <c r="AM129" s="113">
        <v>0</v>
      </c>
      <c r="AN129" s="113">
        <v>0</v>
      </c>
      <c r="AO129" s="113">
        <v>0</v>
      </c>
      <c r="AP129" s="113">
        <v>0</v>
      </c>
      <c r="AQ129" s="113">
        <v>0</v>
      </c>
      <c r="AR129" s="113">
        <v>0</v>
      </c>
      <c r="AS129" s="113">
        <v>0</v>
      </c>
      <c r="AT129" s="113">
        <v>0</v>
      </c>
      <c r="AU129" s="113">
        <v>0</v>
      </c>
      <c r="AV129" s="113">
        <v>0</v>
      </c>
      <c r="AW129" s="113">
        <v>0</v>
      </c>
      <c r="AX129" s="113">
        <v>0</v>
      </c>
      <c r="AY129" s="113">
        <v>0</v>
      </c>
      <c r="AZ129" s="113">
        <v>0</v>
      </c>
      <c r="BA129" s="113">
        <v>0</v>
      </c>
      <c r="BB129" s="113">
        <v>0</v>
      </c>
      <c r="BC129" s="113">
        <v>0</v>
      </c>
      <c r="BD129" s="113">
        <v>0</v>
      </c>
      <c r="BF129" s="113">
        <f t="shared" si="4"/>
        <v>119491</v>
      </c>
      <c r="BG129" s="113">
        <f t="shared" si="5"/>
        <v>1908</v>
      </c>
      <c r="BH129" s="113">
        <f t="shared" si="6"/>
        <v>0</v>
      </c>
      <c r="BI129" s="113">
        <f t="shared" si="7"/>
        <v>0</v>
      </c>
    </row>
    <row r="130" spans="1:61">
      <c r="A130" s="102" t="s">
        <v>188</v>
      </c>
      <c r="B130" s="24" t="s">
        <v>547</v>
      </c>
      <c r="C130" s="103" t="s">
        <v>186</v>
      </c>
      <c r="D130" s="113">
        <v>0</v>
      </c>
      <c r="E130" s="113">
        <v>31854</v>
      </c>
      <c r="F130" s="113">
        <v>1176</v>
      </c>
      <c r="G130" s="113">
        <v>0</v>
      </c>
      <c r="H130" s="113">
        <v>0</v>
      </c>
      <c r="I130" s="113">
        <v>0</v>
      </c>
      <c r="J130" s="113">
        <v>0</v>
      </c>
      <c r="K130" s="113">
        <v>7102</v>
      </c>
      <c r="L130" s="113">
        <v>263</v>
      </c>
      <c r="M130" s="113">
        <v>0</v>
      </c>
      <c r="N130" s="113">
        <v>0</v>
      </c>
      <c r="O130" s="113">
        <v>0</v>
      </c>
      <c r="P130" s="113">
        <v>0</v>
      </c>
      <c r="Q130" s="113">
        <v>0</v>
      </c>
      <c r="R130" s="113">
        <v>0</v>
      </c>
      <c r="S130" s="113">
        <v>0</v>
      </c>
      <c r="T130" s="113">
        <v>0</v>
      </c>
      <c r="U130" s="113">
        <v>0</v>
      </c>
      <c r="V130" s="113">
        <v>0</v>
      </c>
      <c r="W130" s="113">
        <v>0</v>
      </c>
      <c r="X130" s="113">
        <v>0</v>
      </c>
      <c r="Y130" s="113">
        <v>0</v>
      </c>
      <c r="Z130" s="113">
        <v>0</v>
      </c>
      <c r="AA130" s="113">
        <v>0</v>
      </c>
      <c r="AB130" s="113">
        <v>0</v>
      </c>
      <c r="AC130" s="113">
        <v>0</v>
      </c>
      <c r="AD130" s="113">
        <v>18978</v>
      </c>
      <c r="AE130" s="113">
        <v>706</v>
      </c>
      <c r="AF130" s="113">
        <v>0</v>
      </c>
      <c r="AG130" s="113">
        <v>0</v>
      </c>
      <c r="AH130" s="113">
        <v>0</v>
      </c>
      <c r="AI130" s="113">
        <v>0</v>
      </c>
      <c r="AJ130" s="113">
        <v>0</v>
      </c>
      <c r="AK130" s="113">
        <v>0</v>
      </c>
      <c r="AL130" s="113">
        <v>0</v>
      </c>
      <c r="AM130" s="113">
        <v>0</v>
      </c>
      <c r="AN130" s="113">
        <v>0</v>
      </c>
      <c r="AO130" s="113">
        <v>0</v>
      </c>
      <c r="AP130" s="113">
        <v>0</v>
      </c>
      <c r="AQ130" s="113">
        <v>0</v>
      </c>
      <c r="AR130" s="113">
        <v>0</v>
      </c>
      <c r="AS130" s="113">
        <v>0</v>
      </c>
      <c r="AT130" s="113">
        <v>0</v>
      </c>
      <c r="AU130" s="113">
        <v>0</v>
      </c>
      <c r="AV130" s="113">
        <v>0</v>
      </c>
      <c r="AW130" s="113">
        <v>0</v>
      </c>
      <c r="AX130" s="113">
        <v>0</v>
      </c>
      <c r="AY130" s="113">
        <v>0</v>
      </c>
      <c r="AZ130" s="113">
        <v>0</v>
      </c>
      <c r="BA130" s="113">
        <v>0</v>
      </c>
      <c r="BB130" s="113">
        <v>0</v>
      </c>
      <c r="BC130" s="113">
        <v>0</v>
      </c>
      <c r="BD130" s="113">
        <v>0</v>
      </c>
      <c r="BF130" s="113">
        <f t="shared" si="4"/>
        <v>57934</v>
      </c>
      <c r="BG130" s="113">
        <f t="shared" si="5"/>
        <v>2145</v>
      </c>
      <c r="BH130" s="113">
        <f t="shared" si="6"/>
        <v>0</v>
      </c>
      <c r="BI130" s="113">
        <f t="shared" si="7"/>
        <v>0</v>
      </c>
    </row>
    <row r="131" spans="1:61">
      <c r="A131" s="102" t="s">
        <v>189</v>
      </c>
      <c r="B131" s="24" t="s">
        <v>548</v>
      </c>
      <c r="C131" s="103" t="s">
        <v>186</v>
      </c>
      <c r="D131" s="113">
        <v>0</v>
      </c>
      <c r="E131" s="113">
        <v>61150</v>
      </c>
      <c r="F131" s="113">
        <v>1812</v>
      </c>
      <c r="G131" s="113">
        <v>0</v>
      </c>
      <c r="H131" s="113">
        <v>0</v>
      </c>
      <c r="I131" s="113">
        <v>0</v>
      </c>
      <c r="J131" s="113">
        <v>0</v>
      </c>
      <c r="K131" s="113">
        <v>0</v>
      </c>
      <c r="L131" s="113">
        <v>0</v>
      </c>
      <c r="M131" s="113">
        <v>0</v>
      </c>
      <c r="N131" s="113">
        <v>0</v>
      </c>
      <c r="O131" s="113">
        <v>0</v>
      </c>
      <c r="P131" s="113">
        <v>0</v>
      </c>
      <c r="Q131" s="113">
        <v>0</v>
      </c>
      <c r="R131" s="113">
        <v>0</v>
      </c>
      <c r="S131" s="113">
        <v>0</v>
      </c>
      <c r="T131" s="113">
        <v>0</v>
      </c>
      <c r="U131" s="113">
        <v>0</v>
      </c>
      <c r="V131" s="113">
        <v>0</v>
      </c>
      <c r="W131" s="113">
        <v>0</v>
      </c>
      <c r="X131" s="113">
        <v>0</v>
      </c>
      <c r="Y131" s="113">
        <v>0</v>
      </c>
      <c r="Z131" s="113">
        <v>0</v>
      </c>
      <c r="AA131" s="113">
        <v>0</v>
      </c>
      <c r="AB131" s="113">
        <v>0</v>
      </c>
      <c r="AC131" s="113">
        <v>0</v>
      </c>
      <c r="AD131" s="113">
        <v>59382</v>
      </c>
      <c r="AE131" s="113">
        <v>1855</v>
      </c>
      <c r="AF131" s="113">
        <v>0</v>
      </c>
      <c r="AG131" s="113">
        <v>0</v>
      </c>
      <c r="AH131" s="113">
        <v>0</v>
      </c>
      <c r="AI131" s="113">
        <v>0</v>
      </c>
      <c r="AJ131" s="113">
        <v>0</v>
      </c>
      <c r="AK131" s="113">
        <v>0</v>
      </c>
      <c r="AL131" s="113">
        <v>0</v>
      </c>
      <c r="AM131" s="113">
        <v>0</v>
      </c>
      <c r="AN131" s="113">
        <v>0</v>
      </c>
      <c r="AO131" s="113">
        <v>0</v>
      </c>
      <c r="AP131" s="113">
        <v>0</v>
      </c>
      <c r="AQ131" s="113">
        <v>0</v>
      </c>
      <c r="AR131" s="113">
        <v>0</v>
      </c>
      <c r="AS131" s="113">
        <v>0</v>
      </c>
      <c r="AT131" s="113">
        <v>0</v>
      </c>
      <c r="AU131" s="113">
        <v>0</v>
      </c>
      <c r="AV131" s="113">
        <v>0</v>
      </c>
      <c r="AW131" s="113">
        <v>0</v>
      </c>
      <c r="AX131" s="113">
        <v>0</v>
      </c>
      <c r="AY131" s="113">
        <v>0</v>
      </c>
      <c r="AZ131" s="113">
        <v>0</v>
      </c>
      <c r="BA131" s="113">
        <v>0</v>
      </c>
      <c r="BB131" s="113">
        <v>0</v>
      </c>
      <c r="BC131" s="113">
        <v>0</v>
      </c>
      <c r="BD131" s="113">
        <v>0</v>
      </c>
      <c r="BF131" s="113">
        <f t="shared" si="4"/>
        <v>120532</v>
      </c>
      <c r="BG131" s="113">
        <f t="shared" si="5"/>
        <v>3667</v>
      </c>
      <c r="BH131" s="113">
        <f t="shared" si="6"/>
        <v>0</v>
      </c>
      <c r="BI131" s="113">
        <f t="shared" si="7"/>
        <v>0</v>
      </c>
    </row>
    <row r="132" spans="1:61">
      <c r="A132" s="102" t="s">
        <v>190</v>
      </c>
      <c r="B132" s="24" t="s">
        <v>549</v>
      </c>
      <c r="C132" s="103" t="s">
        <v>32</v>
      </c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13"/>
      <c r="AU132" s="113"/>
      <c r="AV132" s="113"/>
      <c r="AW132" s="113"/>
      <c r="AX132" s="113"/>
      <c r="AY132" s="113"/>
      <c r="AZ132" s="113"/>
      <c r="BA132" s="113"/>
      <c r="BB132" s="113"/>
      <c r="BC132" s="113"/>
      <c r="BD132" s="113"/>
      <c r="BF132" s="113">
        <f t="shared" si="4"/>
        <v>0</v>
      </c>
      <c r="BG132" s="113">
        <f t="shared" si="5"/>
        <v>0</v>
      </c>
      <c r="BH132" s="113">
        <f t="shared" si="6"/>
        <v>0</v>
      </c>
      <c r="BI132" s="113">
        <f t="shared" si="7"/>
        <v>0</v>
      </c>
    </row>
    <row r="133" spans="1:61">
      <c r="A133" s="102" t="s">
        <v>191</v>
      </c>
      <c r="B133" s="24" t="s">
        <v>550</v>
      </c>
      <c r="C133" s="103" t="s">
        <v>32</v>
      </c>
      <c r="D133" s="113">
        <v>0</v>
      </c>
      <c r="E133" s="113">
        <v>80595</v>
      </c>
      <c r="F133" s="113">
        <v>1678</v>
      </c>
      <c r="G133" s="113">
        <v>0</v>
      </c>
      <c r="H133" s="113">
        <v>0</v>
      </c>
      <c r="I133" s="113">
        <v>0</v>
      </c>
      <c r="J133" s="113">
        <v>0</v>
      </c>
      <c r="K133" s="113">
        <v>15054</v>
      </c>
      <c r="L133" s="113">
        <v>312</v>
      </c>
      <c r="M133" s="113">
        <v>0</v>
      </c>
      <c r="N133" s="113">
        <v>0</v>
      </c>
      <c r="O133" s="113">
        <v>0</v>
      </c>
      <c r="P133" s="113">
        <v>0</v>
      </c>
      <c r="Q133" s="113">
        <v>0</v>
      </c>
      <c r="R133" s="113">
        <v>0</v>
      </c>
      <c r="S133" s="113">
        <v>0</v>
      </c>
      <c r="T133" s="113">
        <v>0</v>
      </c>
      <c r="U133" s="113">
        <v>0</v>
      </c>
      <c r="V133" s="113">
        <v>0</v>
      </c>
      <c r="W133" s="113">
        <v>0</v>
      </c>
      <c r="X133" s="113">
        <v>0</v>
      </c>
      <c r="Y133" s="113">
        <v>0</v>
      </c>
      <c r="Z133" s="113">
        <v>0</v>
      </c>
      <c r="AA133" s="113">
        <v>0</v>
      </c>
      <c r="AB133" s="113">
        <v>0</v>
      </c>
      <c r="AC133" s="113">
        <v>0</v>
      </c>
      <c r="AD133" s="113">
        <v>18922</v>
      </c>
      <c r="AE133" s="113">
        <v>387</v>
      </c>
      <c r="AF133" s="113">
        <v>0</v>
      </c>
      <c r="AG133" s="113">
        <v>0</v>
      </c>
      <c r="AH133" s="113">
        <v>0</v>
      </c>
      <c r="AI133" s="113">
        <v>0</v>
      </c>
      <c r="AJ133" s="113">
        <v>0</v>
      </c>
      <c r="AK133" s="113">
        <v>0</v>
      </c>
      <c r="AL133" s="113">
        <v>0</v>
      </c>
      <c r="AM133" s="113">
        <v>0</v>
      </c>
      <c r="AN133" s="113">
        <v>0</v>
      </c>
      <c r="AO133" s="113">
        <v>0</v>
      </c>
      <c r="AP133" s="113">
        <v>0</v>
      </c>
      <c r="AQ133" s="113">
        <v>0</v>
      </c>
      <c r="AR133" s="113">
        <v>0</v>
      </c>
      <c r="AS133" s="113">
        <v>0</v>
      </c>
      <c r="AT133" s="113">
        <v>0</v>
      </c>
      <c r="AU133" s="113">
        <v>0</v>
      </c>
      <c r="AV133" s="113">
        <v>0</v>
      </c>
      <c r="AW133" s="113">
        <v>0</v>
      </c>
      <c r="AX133" s="113">
        <v>0</v>
      </c>
      <c r="AY133" s="113">
        <v>0</v>
      </c>
      <c r="AZ133" s="113">
        <v>0</v>
      </c>
      <c r="BA133" s="113">
        <v>0</v>
      </c>
      <c r="BB133" s="113">
        <v>0</v>
      </c>
      <c r="BC133" s="113">
        <v>0</v>
      </c>
      <c r="BD133" s="113">
        <v>0</v>
      </c>
      <c r="BF133" s="113">
        <f t="shared" si="4"/>
        <v>114571</v>
      </c>
      <c r="BG133" s="113">
        <f t="shared" si="5"/>
        <v>2377</v>
      </c>
      <c r="BH133" s="113">
        <f t="shared" si="6"/>
        <v>0</v>
      </c>
      <c r="BI133" s="113">
        <f t="shared" si="7"/>
        <v>0</v>
      </c>
    </row>
    <row r="134" spans="1:61">
      <c r="A134" s="102" t="s">
        <v>192</v>
      </c>
      <c r="B134" s="24" t="s">
        <v>134</v>
      </c>
      <c r="C134" s="103" t="s">
        <v>32</v>
      </c>
      <c r="D134" s="113">
        <v>0</v>
      </c>
      <c r="E134" s="113">
        <v>19976</v>
      </c>
      <c r="F134" s="113">
        <v>622</v>
      </c>
      <c r="G134" s="113">
        <v>0</v>
      </c>
      <c r="H134" s="113">
        <v>0</v>
      </c>
      <c r="I134" s="113">
        <v>0</v>
      </c>
      <c r="J134" s="113">
        <v>0</v>
      </c>
      <c r="K134" s="113">
        <v>0</v>
      </c>
      <c r="L134" s="113">
        <v>0</v>
      </c>
      <c r="M134" s="113">
        <v>0</v>
      </c>
      <c r="N134" s="113">
        <v>0</v>
      </c>
      <c r="O134" s="113">
        <v>0</v>
      </c>
      <c r="P134" s="113">
        <v>0</v>
      </c>
      <c r="Q134" s="113">
        <v>0</v>
      </c>
      <c r="R134" s="113">
        <v>0</v>
      </c>
      <c r="S134" s="113">
        <v>0</v>
      </c>
      <c r="T134" s="113">
        <v>0</v>
      </c>
      <c r="U134" s="113">
        <v>0</v>
      </c>
      <c r="V134" s="113">
        <v>0</v>
      </c>
      <c r="W134" s="113">
        <v>0</v>
      </c>
      <c r="X134" s="113">
        <v>0</v>
      </c>
      <c r="Y134" s="113">
        <v>0</v>
      </c>
      <c r="Z134" s="113">
        <v>0</v>
      </c>
      <c r="AA134" s="113">
        <v>0</v>
      </c>
      <c r="AB134" s="113">
        <v>0</v>
      </c>
      <c r="AC134" s="113">
        <v>0</v>
      </c>
      <c r="AD134" s="113">
        <v>0</v>
      </c>
      <c r="AE134" s="113">
        <v>0</v>
      </c>
      <c r="AF134" s="113">
        <v>0</v>
      </c>
      <c r="AG134" s="113">
        <v>0</v>
      </c>
      <c r="AH134" s="113">
        <v>0</v>
      </c>
      <c r="AI134" s="113">
        <v>0</v>
      </c>
      <c r="AJ134" s="113">
        <v>0</v>
      </c>
      <c r="AK134" s="113">
        <v>0</v>
      </c>
      <c r="AL134" s="113">
        <v>0</v>
      </c>
      <c r="AM134" s="113">
        <v>0</v>
      </c>
      <c r="AN134" s="113">
        <v>0</v>
      </c>
      <c r="AO134" s="113">
        <v>0</v>
      </c>
      <c r="AP134" s="113">
        <v>0</v>
      </c>
      <c r="AQ134" s="113">
        <v>0</v>
      </c>
      <c r="AR134" s="113">
        <v>0</v>
      </c>
      <c r="AS134" s="113">
        <v>0</v>
      </c>
      <c r="AT134" s="113">
        <v>0</v>
      </c>
      <c r="AU134" s="113">
        <v>0</v>
      </c>
      <c r="AV134" s="113">
        <v>0</v>
      </c>
      <c r="AW134" s="113">
        <v>0</v>
      </c>
      <c r="AX134" s="113">
        <v>0</v>
      </c>
      <c r="AY134" s="113">
        <v>0</v>
      </c>
      <c r="AZ134" s="113">
        <v>0</v>
      </c>
      <c r="BA134" s="113">
        <v>0</v>
      </c>
      <c r="BB134" s="113">
        <v>0</v>
      </c>
      <c r="BC134" s="113">
        <v>0</v>
      </c>
      <c r="BD134" s="113">
        <v>0</v>
      </c>
      <c r="BF134" s="113">
        <f t="shared" si="4"/>
        <v>19976</v>
      </c>
      <c r="BG134" s="113">
        <f t="shared" si="5"/>
        <v>622</v>
      </c>
      <c r="BH134" s="113">
        <f t="shared" si="6"/>
        <v>0</v>
      </c>
      <c r="BI134" s="113">
        <f t="shared" si="7"/>
        <v>0</v>
      </c>
    </row>
    <row r="135" spans="1:61">
      <c r="A135" s="102" t="s">
        <v>193</v>
      </c>
      <c r="B135" s="24" t="s">
        <v>194</v>
      </c>
      <c r="C135" s="103" t="s">
        <v>194</v>
      </c>
      <c r="D135" s="113">
        <v>0</v>
      </c>
      <c r="E135" s="113">
        <v>73287</v>
      </c>
      <c r="F135" s="113">
        <v>1098</v>
      </c>
      <c r="G135" s="113">
        <v>0</v>
      </c>
      <c r="H135" s="113">
        <v>0</v>
      </c>
      <c r="I135" s="113">
        <v>0</v>
      </c>
      <c r="J135" s="113">
        <v>0</v>
      </c>
      <c r="K135" s="113">
        <v>17053</v>
      </c>
      <c r="L135" s="113">
        <v>257</v>
      </c>
      <c r="M135" s="113">
        <v>50855</v>
      </c>
      <c r="N135" s="113">
        <v>0</v>
      </c>
      <c r="O135" s="113">
        <v>0</v>
      </c>
      <c r="P135" s="113">
        <v>0</v>
      </c>
      <c r="Q135" s="113">
        <v>0</v>
      </c>
      <c r="R135" s="113">
        <v>0</v>
      </c>
      <c r="S135" s="113">
        <v>0</v>
      </c>
      <c r="T135" s="113">
        <v>0</v>
      </c>
      <c r="U135" s="113">
        <v>0</v>
      </c>
      <c r="V135" s="113">
        <v>0</v>
      </c>
      <c r="W135" s="113">
        <v>0</v>
      </c>
      <c r="X135" s="113">
        <v>0</v>
      </c>
      <c r="Y135" s="113">
        <v>0</v>
      </c>
      <c r="Z135" s="113">
        <v>0</v>
      </c>
      <c r="AA135" s="113">
        <v>0</v>
      </c>
      <c r="AB135" s="113">
        <v>0</v>
      </c>
      <c r="AC135" s="113">
        <v>0</v>
      </c>
      <c r="AD135" s="113">
        <v>0</v>
      </c>
      <c r="AE135" s="113">
        <v>0</v>
      </c>
      <c r="AF135" s="113">
        <v>0</v>
      </c>
      <c r="AG135" s="113">
        <v>0</v>
      </c>
      <c r="AH135" s="113">
        <v>0</v>
      </c>
      <c r="AI135" s="113">
        <v>0</v>
      </c>
      <c r="AJ135" s="113">
        <v>0</v>
      </c>
      <c r="AK135" s="113">
        <v>0</v>
      </c>
      <c r="AL135" s="113">
        <v>0</v>
      </c>
      <c r="AM135" s="113">
        <v>0</v>
      </c>
      <c r="AN135" s="113">
        <v>0</v>
      </c>
      <c r="AO135" s="113">
        <v>0</v>
      </c>
      <c r="AP135" s="113">
        <v>0</v>
      </c>
      <c r="AQ135" s="113">
        <v>0</v>
      </c>
      <c r="AR135" s="113">
        <v>0</v>
      </c>
      <c r="AS135" s="113">
        <v>0</v>
      </c>
      <c r="AT135" s="113">
        <v>0</v>
      </c>
      <c r="AU135" s="113">
        <v>0</v>
      </c>
      <c r="AV135" s="113">
        <v>0</v>
      </c>
      <c r="AW135" s="113">
        <v>0</v>
      </c>
      <c r="AX135" s="113">
        <v>0</v>
      </c>
      <c r="AY135" s="113">
        <v>0</v>
      </c>
      <c r="AZ135" s="113">
        <v>0</v>
      </c>
      <c r="BA135" s="113">
        <v>0</v>
      </c>
      <c r="BB135" s="113">
        <v>0</v>
      </c>
      <c r="BC135" s="113">
        <v>0</v>
      </c>
      <c r="BD135" s="113">
        <v>0</v>
      </c>
      <c r="BF135" s="113">
        <f t="shared" ref="BF135:BF198" si="8">E135+H135+K135+O135+R135+U135+X135+AA135+AD135+AG135+AJ135+AM135</f>
        <v>90340</v>
      </c>
      <c r="BG135" s="113">
        <f t="shared" ref="BG135:BG198" si="9">F135+I135+L135+P135+S135+V135+Y135+AB135+AE135+AH135+AK135+AN135</f>
        <v>1355</v>
      </c>
      <c r="BH135" s="113">
        <f t="shared" ref="BH135:BH198" si="10">M135</f>
        <v>50855</v>
      </c>
      <c r="BI135" s="113">
        <f t="shared" ref="BI135:BI198" si="11">D135+G135+J135+N135+Q135+T135+W135+Z135+AC135+AF135+AI135+AL135+AO135</f>
        <v>0</v>
      </c>
    </row>
    <row r="136" spans="1:61">
      <c r="A136" s="102" t="s">
        <v>195</v>
      </c>
      <c r="B136" s="24" t="s">
        <v>551</v>
      </c>
      <c r="C136" s="103" t="s">
        <v>194</v>
      </c>
      <c r="D136" s="113">
        <v>348</v>
      </c>
      <c r="E136" s="113">
        <v>31586</v>
      </c>
      <c r="F136" s="113">
        <v>382</v>
      </c>
      <c r="G136" s="113">
        <v>0</v>
      </c>
      <c r="H136" s="113">
        <v>0</v>
      </c>
      <c r="I136" s="113">
        <v>0</v>
      </c>
      <c r="J136" s="113">
        <v>0</v>
      </c>
      <c r="K136" s="113">
        <v>8508</v>
      </c>
      <c r="L136" s="113">
        <v>101</v>
      </c>
      <c r="M136" s="113">
        <v>0</v>
      </c>
      <c r="N136" s="113">
        <v>0</v>
      </c>
      <c r="O136" s="113">
        <v>0</v>
      </c>
      <c r="P136" s="113">
        <v>0</v>
      </c>
      <c r="Q136" s="113">
        <v>0</v>
      </c>
      <c r="R136" s="113">
        <v>0</v>
      </c>
      <c r="S136" s="113">
        <v>0</v>
      </c>
      <c r="T136" s="113">
        <v>0</v>
      </c>
      <c r="U136" s="113">
        <v>0</v>
      </c>
      <c r="V136" s="113">
        <v>0</v>
      </c>
      <c r="W136" s="113">
        <v>0</v>
      </c>
      <c r="X136" s="113">
        <v>0</v>
      </c>
      <c r="Y136" s="113">
        <v>0</v>
      </c>
      <c r="Z136" s="113">
        <v>0</v>
      </c>
      <c r="AA136" s="113">
        <v>0</v>
      </c>
      <c r="AB136" s="113">
        <v>0</v>
      </c>
      <c r="AC136" s="113">
        <v>0</v>
      </c>
      <c r="AD136" s="113">
        <v>26066</v>
      </c>
      <c r="AE136" s="113">
        <v>349</v>
      </c>
      <c r="AF136" s="113">
        <v>0</v>
      </c>
      <c r="AG136" s="113">
        <v>0</v>
      </c>
      <c r="AH136" s="113">
        <v>0</v>
      </c>
      <c r="AI136" s="113">
        <v>0</v>
      </c>
      <c r="AJ136" s="113">
        <v>0</v>
      </c>
      <c r="AK136" s="113">
        <v>0</v>
      </c>
      <c r="AL136" s="113">
        <v>0</v>
      </c>
      <c r="AM136" s="113">
        <v>0</v>
      </c>
      <c r="AN136" s="113">
        <v>0</v>
      </c>
      <c r="AO136" s="113">
        <v>0</v>
      </c>
      <c r="AP136" s="113">
        <v>0</v>
      </c>
      <c r="AQ136" s="113">
        <v>0</v>
      </c>
      <c r="AR136" s="113">
        <v>0</v>
      </c>
      <c r="AS136" s="113">
        <v>0</v>
      </c>
      <c r="AT136" s="113">
        <v>0</v>
      </c>
      <c r="AU136" s="113">
        <v>0</v>
      </c>
      <c r="AV136" s="113">
        <v>0</v>
      </c>
      <c r="AW136" s="113">
        <v>0</v>
      </c>
      <c r="AX136" s="113">
        <v>0</v>
      </c>
      <c r="AY136" s="113">
        <v>0</v>
      </c>
      <c r="AZ136" s="113">
        <v>0</v>
      </c>
      <c r="BA136" s="113">
        <v>0</v>
      </c>
      <c r="BB136" s="113">
        <v>0</v>
      </c>
      <c r="BC136" s="113">
        <v>0</v>
      </c>
      <c r="BD136" s="113">
        <v>0</v>
      </c>
      <c r="BF136" s="113">
        <f t="shared" si="8"/>
        <v>66160</v>
      </c>
      <c r="BG136" s="113">
        <f t="shared" si="9"/>
        <v>832</v>
      </c>
      <c r="BH136" s="113">
        <f t="shared" si="10"/>
        <v>0</v>
      </c>
      <c r="BI136" s="113">
        <f t="shared" si="11"/>
        <v>348</v>
      </c>
    </row>
    <row r="137" spans="1:61">
      <c r="A137" s="102" t="s">
        <v>196</v>
      </c>
      <c r="B137" s="24" t="s">
        <v>552</v>
      </c>
      <c r="C137" s="103" t="s">
        <v>197</v>
      </c>
      <c r="D137" s="113">
        <v>0</v>
      </c>
      <c r="E137" s="113">
        <v>72784</v>
      </c>
      <c r="F137" s="113">
        <v>1332</v>
      </c>
      <c r="G137" s="113">
        <v>0</v>
      </c>
      <c r="H137" s="113">
        <v>0</v>
      </c>
      <c r="I137" s="113">
        <v>0</v>
      </c>
      <c r="J137" s="113">
        <v>0</v>
      </c>
      <c r="K137" s="113">
        <v>16231</v>
      </c>
      <c r="L137" s="113">
        <v>297</v>
      </c>
      <c r="M137" s="113">
        <v>0</v>
      </c>
      <c r="N137" s="113">
        <v>0</v>
      </c>
      <c r="O137" s="113">
        <v>0</v>
      </c>
      <c r="P137" s="113">
        <v>0</v>
      </c>
      <c r="Q137" s="113">
        <v>0</v>
      </c>
      <c r="R137" s="113">
        <v>0</v>
      </c>
      <c r="S137" s="113">
        <v>0</v>
      </c>
      <c r="T137" s="113">
        <v>0</v>
      </c>
      <c r="U137" s="113">
        <v>0</v>
      </c>
      <c r="V137" s="113">
        <v>0</v>
      </c>
      <c r="W137" s="113">
        <v>0</v>
      </c>
      <c r="X137" s="113">
        <v>0</v>
      </c>
      <c r="Y137" s="113">
        <v>0</v>
      </c>
      <c r="Z137" s="113">
        <v>0</v>
      </c>
      <c r="AA137" s="113">
        <v>0</v>
      </c>
      <c r="AB137" s="113">
        <v>0</v>
      </c>
      <c r="AC137" s="113">
        <v>0</v>
      </c>
      <c r="AD137" s="113">
        <v>58866</v>
      </c>
      <c r="AE137" s="113">
        <v>1080</v>
      </c>
      <c r="AF137" s="113">
        <v>0</v>
      </c>
      <c r="AG137" s="113">
        <v>0</v>
      </c>
      <c r="AH137" s="113">
        <v>0</v>
      </c>
      <c r="AI137" s="113">
        <v>0</v>
      </c>
      <c r="AJ137" s="113">
        <v>0</v>
      </c>
      <c r="AK137" s="113">
        <v>0</v>
      </c>
      <c r="AL137" s="113">
        <v>0</v>
      </c>
      <c r="AM137" s="113">
        <v>0</v>
      </c>
      <c r="AN137" s="113">
        <v>0</v>
      </c>
      <c r="AO137" s="113">
        <v>0</v>
      </c>
      <c r="AP137" s="113">
        <v>0</v>
      </c>
      <c r="AQ137" s="113">
        <v>0</v>
      </c>
      <c r="AR137" s="113">
        <v>0</v>
      </c>
      <c r="AS137" s="113">
        <v>0</v>
      </c>
      <c r="AT137" s="113">
        <v>0</v>
      </c>
      <c r="AU137" s="113">
        <v>0</v>
      </c>
      <c r="AV137" s="113">
        <v>0</v>
      </c>
      <c r="AW137" s="113">
        <v>0</v>
      </c>
      <c r="AX137" s="113">
        <v>0</v>
      </c>
      <c r="AY137" s="113">
        <v>0</v>
      </c>
      <c r="AZ137" s="113">
        <v>0</v>
      </c>
      <c r="BA137" s="113">
        <v>0</v>
      </c>
      <c r="BB137" s="113">
        <v>0</v>
      </c>
      <c r="BC137" s="113">
        <v>0</v>
      </c>
      <c r="BD137" s="113">
        <v>0</v>
      </c>
      <c r="BF137" s="113">
        <f t="shared" si="8"/>
        <v>147881</v>
      </c>
      <c r="BG137" s="113">
        <f t="shared" si="9"/>
        <v>2709</v>
      </c>
      <c r="BH137" s="113">
        <f t="shared" si="10"/>
        <v>0</v>
      </c>
      <c r="BI137" s="113">
        <f t="shared" si="11"/>
        <v>0</v>
      </c>
    </row>
    <row r="138" spans="1:61">
      <c r="A138" s="102" t="s">
        <v>198</v>
      </c>
      <c r="B138" s="24" t="s">
        <v>553</v>
      </c>
      <c r="C138" s="103" t="s">
        <v>197</v>
      </c>
      <c r="D138" s="113">
        <v>1138</v>
      </c>
      <c r="E138" s="113">
        <v>50236</v>
      </c>
      <c r="F138" s="113">
        <v>855</v>
      </c>
      <c r="G138" s="113">
        <v>0</v>
      </c>
      <c r="H138" s="113">
        <v>0</v>
      </c>
      <c r="I138" s="113">
        <v>0</v>
      </c>
      <c r="J138" s="113">
        <v>0</v>
      </c>
      <c r="K138" s="113">
        <v>21769</v>
      </c>
      <c r="L138" s="113">
        <v>333</v>
      </c>
      <c r="M138" s="113">
        <v>0</v>
      </c>
      <c r="N138" s="113">
        <v>0</v>
      </c>
      <c r="O138" s="113">
        <v>0</v>
      </c>
      <c r="P138" s="113">
        <v>0</v>
      </c>
      <c r="Q138" s="113">
        <v>0</v>
      </c>
      <c r="R138" s="113">
        <v>0</v>
      </c>
      <c r="S138" s="113">
        <v>0</v>
      </c>
      <c r="T138" s="113">
        <v>0</v>
      </c>
      <c r="U138" s="113">
        <v>0</v>
      </c>
      <c r="V138" s="113">
        <v>0</v>
      </c>
      <c r="W138" s="113">
        <v>0</v>
      </c>
      <c r="X138" s="113">
        <v>0</v>
      </c>
      <c r="Y138" s="113">
        <v>0</v>
      </c>
      <c r="Z138" s="113">
        <v>0</v>
      </c>
      <c r="AA138" s="113">
        <v>0</v>
      </c>
      <c r="AB138" s="113">
        <v>0</v>
      </c>
      <c r="AC138" s="113">
        <v>0</v>
      </c>
      <c r="AD138" s="113">
        <v>47157</v>
      </c>
      <c r="AE138" s="113">
        <v>800</v>
      </c>
      <c r="AF138" s="113">
        <v>0</v>
      </c>
      <c r="AG138" s="113">
        <v>0</v>
      </c>
      <c r="AH138" s="113">
        <v>0</v>
      </c>
      <c r="AI138" s="113">
        <v>0</v>
      </c>
      <c r="AJ138" s="113">
        <v>0</v>
      </c>
      <c r="AK138" s="113">
        <v>0</v>
      </c>
      <c r="AL138" s="113">
        <v>0</v>
      </c>
      <c r="AM138" s="113">
        <v>0</v>
      </c>
      <c r="AN138" s="113">
        <v>0</v>
      </c>
      <c r="AO138" s="113">
        <v>0</v>
      </c>
      <c r="AP138" s="113">
        <v>0</v>
      </c>
      <c r="AQ138" s="113">
        <v>0</v>
      </c>
      <c r="AR138" s="113">
        <v>0</v>
      </c>
      <c r="AS138" s="113">
        <v>0</v>
      </c>
      <c r="AT138" s="113">
        <v>0</v>
      </c>
      <c r="AU138" s="113">
        <v>0</v>
      </c>
      <c r="AV138" s="113">
        <v>0</v>
      </c>
      <c r="AW138" s="113">
        <v>0</v>
      </c>
      <c r="AX138" s="113">
        <v>0</v>
      </c>
      <c r="AY138" s="113">
        <v>0</v>
      </c>
      <c r="AZ138" s="113">
        <v>0</v>
      </c>
      <c r="BA138" s="113">
        <v>0</v>
      </c>
      <c r="BB138" s="113">
        <v>0</v>
      </c>
      <c r="BC138" s="113">
        <v>0</v>
      </c>
      <c r="BD138" s="113">
        <v>0</v>
      </c>
      <c r="BF138" s="113">
        <f t="shared" si="8"/>
        <v>119162</v>
      </c>
      <c r="BG138" s="113">
        <f t="shared" si="9"/>
        <v>1988</v>
      </c>
      <c r="BH138" s="113">
        <f t="shared" si="10"/>
        <v>0</v>
      </c>
      <c r="BI138" s="113">
        <f t="shared" si="11"/>
        <v>1138</v>
      </c>
    </row>
    <row r="139" spans="1:61">
      <c r="A139" s="102" t="s">
        <v>199</v>
      </c>
      <c r="B139" s="24" t="s">
        <v>200</v>
      </c>
      <c r="C139" s="103" t="s">
        <v>200</v>
      </c>
      <c r="D139" s="113">
        <v>0</v>
      </c>
      <c r="E139" s="113">
        <v>113111</v>
      </c>
      <c r="F139" s="113">
        <v>1791</v>
      </c>
      <c r="G139" s="113">
        <v>0</v>
      </c>
      <c r="H139" s="113">
        <v>0</v>
      </c>
      <c r="I139" s="113">
        <v>0</v>
      </c>
      <c r="J139" s="113">
        <v>0</v>
      </c>
      <c r="K139" s="113">
        <v>7668</v>
      </c>
      <c r="L139" s="113">
        <v>102</v>
      </c>
      <c r="M139" s="113">
        <v>0</v>
      </c>
      <c r="N139" s="113">
        <v>0</v>
      </c>
      <c r="O139" s="113">
        <v>0</v>
      </c>
      <c r="P139" s="113">
        <v>0</v>
      </c>
      <c r="Q139" s="113">
        <v>0</v>
      </c>
      <c r="R139" s="113">
        <v>0</v>
      </c>
      <c r="S139" s="113">
        <v>0</v>
      </c>
      <c r="T139" s="113">
        <v>0</v>
      </c>
      <c r="U139" s="113">
        <v>0</v>
      </c>
      <c r="V139" s="113">
        <v>0</v>
      </c>
      <c r="W139" s="113">
        <v>0</v>
      </c>
      <c r="X139" s="113">
        <v>0</v>
      </c>
      <c r="Y139" s="113">
        <v>0</v>
      </c>
      <c r="Z139" s="113">
        <v>0</v>
      </c>
      <c r="AA139" s="113">
        <v>0</v>
      </c>
      <c r="AB139" s="113">
        <v>0</v>
      </c>
      <c r="AC139" s="113">
        <v>0</v>
      </c>
      <c r="AD139" s="113">
        <v>81198</v>
      </c>
      <c r="AE139" s="113">
        <v>1246</v>
      </c>
      <c r="AF139" s="113">
        <v>0</v>
      </c>
      <c r="AG139" s="113">
        <v>0</v>
      </c>
      <c r="AH139" s="113">
        <v>0</v>
      </c>
      <c r="AI139" s="113">
        <v>0</v>
      </c>
      <c r="AJ139" s="113">
        <v>0</v>
      </c>
      <c r="AK139" s="113">
        <v>0</v>
      </c>
      <c r="AL139" s="113">
        <v>0</v>
      </c>
      <c r="AM139" s="113">
        <v>0</v>
      </c>
      <c r="AN139" s="113">
        <v>0</v>
      </c>
      <c r="AO139" s="113">
        <v>0</v>
      </c>
      <c r="AP139" s="113">
        <v>0</v>
      </c>
      <c r="AQ139" s="113">
        <v>0</v>
      </c>
      <c r="AR139" s="113">
        <v>0</v>
      </c>
      <c r="AS139" s="113">
        <v>0</v>
      </c>
      <c r="AT139" s="113">
        <v>0</v>
      </c>
      <c r="AU139" s="113">
        <v>0</v>
      </c>
      <c r="AV139" s="113">
        <v>0</v>
      </c>
      <c r="AW139" s="113">
        <v>0</v>
      </c>
      <c r="AX139" s="113">
        <v>0</v>
      </c>
      <c r="AY139" s="113">
        <v>20803</v>
      </c>
      <c r="AZ139" s="113">
        <v>322</v>
      </c>
      <c r="BA139" s="113">
        <v>0</v>
      </c>
      <c r="BB139" s="113">
        <v>2579</v>
      </c>
      <c r="BC139" s="113">
        <v>40</v>
      </c>
      <c r="BD139" s="113">
        <v>0</v>
      </c>
      <c r="BF139" s="113">
        <f t="shared" si="8"/>
        <v>201977</v>
      </c>
      <c r="BG139" s="113">
        <f t="shared" si="9"/>
        <v>3139</v>
      </c>
      <c r="BH139" s="113">
        <f t="shared" si="10"/>
        <v>0</v>
      </c>
      <c r="BI139" s="113">
        <f t="shared" si="11"/>
        <v>0</v>
      </c>
    </row>
    <row r="140" spans="1:61">
      <c r="A140" s="102" t="s">
        <v>201</v>
      </c>
      <c r="B140" s="24" t="s">
        <v>554</v>
      </c>
      <c r="C140" s="103" t="s">
        <v>200</v>
      </c>
      <c r="D140" s="113">
        <v>0</v>
      </c>
      <c r="E140" s="113">
        <v>23416</v>
      </c>
      <c r="F140" s="113">
        <v>351</v>
      </c>
      <c r="G140" s="113">
        <v>0</v>
      </c>
      <c r="H140" s="113">
        <v>0</v>
      </c>
      <c r="I140" s="113">
        <v>0</v>
      </c>
      <c r="J140" s="113">
        <v>0</v>
      </c>
      <c r="K140" s="113">
        <v>11401</v>
      </c>
      <c r="L140" s="113">
        <v>170</v>
      </c>
      <c r="M140" s="113">
        <v>0</v>
      </c>
      <c r="N140" s="113">
        <v>0</v>
      </c>
      <c r="O140" s="113">
        <v>0</v>
      </c>
      <c r="P140" s="113">
        <v>0</v>
      </c>
      <c r="Q140" s="113">
        <v>0</v>
      </c>
      <c r="R140" s="113">
        <v>0</v>
      </c>
      <c r="S140" s="113">
        <v>0</v>
      </c>
      <c r="T140" s="113">
        <v>0</v>
      </c>
      <c r="U140" s="113">
        <v>0</v>
      </c>
      <c r="V140" s="113">
        <v>0</v>
      </c>
      <c r="W140" s="113">
        <v>0</v>
      </c>
      <c r="X140" s="113">
        <v>0</v>
      </c>
      <c r="Y140" s="113">
        <v>0</v>
      </c>
      <c r="Z140" s="113">
        <v>0</v>
      </c>
      <c r="AA140" s="113">
        <v>0</v>
      </c>
      <c r="AB140" s="113">
        <v>0</v>
      </c>
      <c r="AC140" s="113">
        <v>0</v>
      </c>
      <c r="AD140" s="113">
        <v>0</v>
      </c>
      <c r="AE140" s="113">
        <v>0</v>
      </c>
      <c r="AF140" s="113">
        <v>0</v>
      </c>
      <c r="AG140" s="113">
        <v>0</v>
      </c>
      <c r="AH140" s="113">
        <v>0</v>
      </c>
      <c r="AI140" s="113">
        <v>0</v>
      </c>
      <c r="AJ140" s="113">
        <v>0</v>
      </c>
      <c r="AK140" s="113">
        <v>0</v>
      </c>
      <c r="AL140" s="113">
        <v>0</v>
      </c>
      <c r="AM140" s="113">
        <v>0</v>
      </c>
      <c r="AN140" s="113">
        <v>0</v>
      </c>
      <c r="AO140" s="113">
        <v>0</v>
      </c>
      <c r="AP140" s="113">
        <v>0</v>
      </c>
      <c r="AQ140" s="113">
        <v>0</v>
      </c>
      <c r="AR140" s="113">
        <v>0</v>
      </c>
      <c r="AS140" s="113">
        <v>0</v>
      </c>
      <c r="AT140" s="113">
        <v>0</v>
      </c>
      <c r="AU140" s="113">
        <v>0</v>
      </c>
      <c r="AV140" s="113">
        <v>0</v>
      </c>
      <c r="AW140" s="113">
        <v>0</v>
      </c>
      <c r="AX140" s="113">
        <v>0</v>
      </c>
      <c r="AY140" s="113">
        <v>0</v>
      </c>
      <c r="AZ140" s="113">
        <v>0</v>
      </c>
      <c r="BA140" s="113">
        <v>0</v>
      </c>
      <c r="BB140" s="113">
        <v>0</v>
      </c>
      <c r="BC140" s="113">
        <v>0</v>
      </c>
      <c r="BD140" s="113">
        <v>0</v>
      </c>
      <c r="BF140" s="113">
        <f t="shared" si="8"/>
        <v>34817</v>
      </c>
      <c r="BG140" s="113">
        <f t="shared" si="9"/>
        <v>521</v>
      </c>
      <c r="BH140" s="113">
        <f t="shared" si="10"/>
        <v>0</v>
      </c>
      <c r="BI140" s="113">
        <f t="shared" si="11"/>
        <v>0</v>
      </c>
    </row>
    <row r="141" spans="1:61">
      <c r="A141" s="102" t="s">
        <v>202</v>
      </c>
      <c r="B141" s="24" t="s">
        <v>555</v>
      </c>
      <c r="C141" s="103" t="s">
        <v>203</v>
      </c>
      <c r="D141" s="113">
        <v>2809</v>
      </c>
      <c r="E141" s="113">
        <v>107460</v>
      </c>
      <c r="F141" s="113">
        <v>1436</v>
      </c>
      <c r="G141" s="113">
        <v>2364</v>
      </c>
      <c r="H141" s="113">
        <v>0</v>
      </c>
      <c r="I141" s="113">
        <v>0</v>
      </c>
      <c r="J141" s="113">
        <v>0</v>
      </c>
      <c r="K141" s="113">
        <v>30293</v>
      </c>
      <c r="L141" s="113">
        <v>405</v>
      </c>
      <c r="M141" s="113">
        <v>0</v>
      </c>
      <c r="N141" s="113">
        <v>773</v>
      </c>
      <c r="O141" s="113">
        <v>0</v>
      </c>
      <c r="P141" s="113">
        <v>0</v>
      </c>
      <c r="Q141" s="113">
        <v>0</v>
      </c>
      <c r="R141" s="113">
        <v>0</v>
      </c>
      <c r="S141" s="113">
        <v>0</v>
      </c>
      <c r="T141" s="113">
        <v>0</v>
      </c>
      <c r="U141" s="113">
        <v>0</v>
      </c>
      <c r="V141" s="113">
        <v>0</v>
      </c>
      <c r="W141" s="113">
        <v>0</v>
      </c>
      <c r="X141" s="113">
        <v>0</v>
      </c>
      <c r="Y141" s="113">
        <v>0</v>
      </c>
      <c r="Z141" s="113">
        <v>0</v>
      </c>
      <c r="AA141" s="113">
        <v>0</v>
      </c>
      <c r="AB141" s="113">
        <v>0</v>
      </c>
      <c r="AC141" s="113">
        <v>0</v>
      </c>
      <c r="AD141" s="113">
        <v>36694</v>
      </c>
      <c r="AE141" s="113">
        <v>490</v>
      </c>
      <c r="AF141" s="113">
        <v>749</v>
      </c>
      <c r="AG141" s="113">
        <v>0</v>
      </c>
      <c r="AH141" s="113">
        <v>0</v>
      </c>
      <c r="AI141" s="113">
        <v>0</v>
      </c>
      <c r="AJ141" s="113">
        <v>0</v>
      </c>
      <c r="AK141" s="113">
        <v>0</v>
      </c>
      <c r="AL141" s="113">
        <v>0</v>
      </c>
      <c r="AM141" s="113">
        <v>859</v>
      </c>
      <c r="AN141" s="113">
        <v>11</v>
      </c>
      <c r="AO141" s="113">
        <v>0</v>
      </c>
      <c r="AP141" s="113">
        <v>0</v>
      </c>
      <c r="AQ141" s="113">
        <v>0</v>
      </c>
      <c r="AR141" s="113">
        <v>0</v>
      </c>
      <c r="AS141" s="113">
        <v>0</v>
      </c>
      <c r="AT141" s="113">
        <v>0</v>
      </c>
      <c r="AU141" s="113">
        <v>0</v>
      </c>
      <c r="AV141" s="113">
        <v>0</v>
      </c>
      <c r="AW141" s="113">
        <v>0</v>
      </c>
      <c r="AX141" s="113">
        <v>0</v>
      </c>
      <c r="AY141" s="113">
        <v>0</v>
      </c>
      <c r="AZ141" s="113">
        <v>0</v>
      </c>
      <c r="BA141" s="113">
        <v>0</v>
      </c>
      <c r="BB141" s="113">
        <v>0</v>
      </c>
      <c r="BC141" s="113">
        <v>0</v>
      </c>
      <c r="BD141" s="113">
        <v>0</v>
      </c>
      <c r="BF141" s="113">
        <f t="shared" si="8"/>
        <v>175306</v>
      </c>
      <c r="BG141" s="113">
        <f t="shared" si="9"/>
        <v>2342</v>
      </c>
      <c r="BH141" s="113">
        <f t="shared" si="10"/>
        <v>0</v>
      </c>
      <c r="BI141" s="113">
        <f t="shared" si="11"/>
        <v>6695</v>
      </c>
    </row>
    <row r="142" spans="1:61">
      <c r="A142" s="102" t="s">
        <v>204</v>
      </c>
      <c r="B142" s="24" t="s">
        <v>556</v>
      </c>
      <c r="C142" s="103" t="s">
        <v>203</v>
      </c>
      <c r="D142" s="113">
        <v>0</v>
      </c>
      <c r="E142" s="113">
        <v>34856</v>
      </c>
      <c r="F142" s="113">
        <v>540</v>
      </c>
      <c r="G142" s="113">
        <v>0</v>
      </c>
      <c r="H142" s="113">
        <v>0</v>
      </c>
      <c r="I142" s="113">
        <v>0</v>
      </c>
      <c r="J142" s="113">
        <v>0</v>
      </c>
      <c r="K142" s="113">
        <v>8870</v>
      </c>
      <c r="L142" s="113">
        <v>87</v>
      </c>
      <c r="M142" s="113">
        <v>0</v>
      </c>
      <c r="N142" s="113">
        <v>0</v>
      </c>
      <c r="O142" s="113">
        <v>0</v>
      </c>
      <c r="P142" s="113">
        <v>0</v>
      </c>
      <c r="Q142" s="113">
        <v>0</v>
      </c>
      <c r="R142" s="113">
        <v>0</v>
      </c>
      <c r="S142" s="113">
        <v>0</v>
      </c>
      <c r="T142" s="113">
        <v>0</v>
      </c>
      <c r="U142" s="113">
        <v>0</v>
      </c>
      <c r="V142" s="113">
        <v>0</v>
      </c>
      <c r="W142" s="113">
        <v>0</v>
      </c>
      <c r="X142" s="113">
        <v>0</v>
      </c>
      <c r="Y142" s="113">
        <v>0</v>
      </c>
      <c r="Z142" s="113">
        <v>0</v>
      </c>
      <c r="AA142" s="113">
        <v>0</v>
      </c>
      <c r="AB142" s="113">
        <v>0</v>
      </c>
      <c r="AC142" s="113">
        <v>0</v>
      </c>
      <c r="AD142" s="113">
        <v>0</v>
      </c>
      <c r="AE142" s="113">
        <v>0</v>
      </c>
      <c r="AF142" s="113">
        <v>0</v>
      </c>
      <c r="AG142" s="113">
        <v>0</v>
      </c>
      <c r="AH142" s="113">
        <v>0</v>
      </c>
      <c r="AI142" s="113">
        <v>0</v>
      </c>
      <c r="AJ142" s="113">
        <v>0</v>
      </c>
      <c r="AK142" s="113">
        <v>0</v>
      </c>
      <c r="AL142" s="113">
        <v>0</v>
      </c>
      <c r="AM142" s="113">
        <v>0</v>
      </c>
      <c r="AN142" s="113">
        <v>0</v>
      </c>
      <c r="AO142" s="113">
        <v>0</v>
      </c>
      <c r="AP142" s="113">
        <v>0</v>
      </c>
      <c r="AQ142" s="113">
        <v>0</v>
      </c>
      <c r="AR142" s="113">
        <v>0</v>
      </c>
      <c r="AS142" s="113">
        <v>0</v>
      </c>
      <c r="AT142" s="113">
        <v>0</v>
      </c>
      <c r="AU142" s="113">
        <v>0</v>
      </c>
      <c r="AV142" s="113">
        <v>0</v>
      </c>
      <c r="AW142" s="113">
        <v>0</v>
      </c>
      <c r="AX142" s="113">
        <v>0</v>
      </c>
      <c r="AY142" s="113">
        <v>0</v>
      </c>
      <c r="AZ142" s="113">
        <v>0</v>
      </c>
      <c r="BA142" s="113">
        <v>0</v>
      </c>
      <c r="BB142" s="113">
        <v>0</v>
      </c>
      <c r="BC142" s="113">
        <v>0</v>
      </c>
      <c r="BD142" s="113">
        <v>0</v>
      </c>
      <c r="BF142" s="113">
        <f t="shared" si="8"/>
        <v>43726</v>
      </c>
      <c r="BG142" s="113">
        <f t="shared" si="9"/>
        <v>627</v>
      </c>
      <c r="BH142" s="113">
        <f t="shared" si="10"/>
        <v>0</v>
      </c>
      <c r="BI142" s="113">
        <f t="shared" si="11"/>
        <v>0</v>
      </c>
    </row>
    <row r="143" spans="1:61">
      <c r="A143" s="102" t="s">
        <v>205</v>
      </c>
      <c r="B143" s="24" t="s">
        <v>557</v>
      </c>
      <c r="C143" s="103" t="s">
        <v>206</v>
      </c>
      <c r="D143" s="113">
        <v>0</v>
      </c>
      <c r="E143" s="113">
        <v>33962</v>
      </c>
      <c r="F143" s="113">
        <v>468</v>
      </c>
      <c r="G143" s="113">
        <v>0</v>
      </c>
      <c r="H143" s="113">
        <v>0</v>
      </c>
      <c r="I143" s="113">
        <v>0</v>
      </c>
      <c r="J143" s="113">
        <v>0</v>
      </c>
      <c r="K143" s="113">
        <v>10960</v>
      </c>
      <c r="L143" s="113">
        <v>148</v>
      </c>
      <c r="M143" s="113">
        <v>0</v>
      </c>
      <c r="N143" s="113">
        <v>0</v>
      </c>
      <c r="O143" s="113">
        <v>0</v>
      </c>
      <c r="P143" s="113">
        <v>0</v>
      </c>
      <c r="Q143" s="113">
        <v>0</v>
      </c>
      <c r="R143" s="113">
        <v>0</v>
      </c>
      <c r="S143" s="113">
        <v>0</v>
      </c>
      <c r="T143" s="113">
        <v>0</v>
      </c>
      <c r="U143" s="113">
        <v>0</v>
      </c>
      <c r="V143" s="113">
        <v>0</v>
      </c>
      <c r="W143" s="113">
        <v>0</v>
      </c>
      <c r="X143" s="113">
        <v>0</v>
      </c>
      <c r="Y143" s="113">
        <v>0</v>
      </c>
      <c r="Z143" s="113">
        <v>0</v>
      </c>
      <c r="AA143" s="113">
        <v>0</v>
      </c>
      <c r="AB143" s="113">
        <v>0</v>
      </c>
      <c r="AC143" s="113">
        <v>0</v>
      </c>
      <c r="AD143" s="113">
        <v>0</v>
      </c>
      <c r="AE143" s="113">
        <v>0</v>
      </c>
      <c r="AF143" s="113">
        <v>0</v>
      </c>
      <c r="AG143" s="113">
        <v>0</v>
      </c>
      <c r="AH143" s="113">
        <v>0</v>
      </c>
      <c r="AI143" s="113">
        <v>0</v>
      </c>
      <c r="AJ143" s="113">
        <v>0</v>
      </c>
      <c r="AK143" s="113">
        <v>0</v>
      </c>
      <c r="AL143" s="113">
        <v>0</v>
      </c>
      <c r="AM143" s="113">
        <v>0</v>
      </c>
      <c r="AN143" s="113">
        <v>0</v>
      </c>
      <c r="AO143" s="113">
        <v>0</v>
      </c>
      <c r="AP143" s="113">
        <v>0</v>
      </c>
      <c r="AQ143" s="113">
        <v>0</v>
      </c>
      <c r="AR143" s="113">
        <v>0</v>
      </c>
      <c r="AS143" s="113">
        <v>0</v>
      </c>
      <c r="AT143" s="113">
        <v>0</v>
      </c>
      <c r="AU143" s="113">
        <v>0</v>
      </c>
      <c r="AV143" s="113">
        <v>0</v>
      </c>
      <c r="AW143" s="113">
        <v>0</v>
      </c>
      <c r="AX143" s="113">
        <v>0</v>
      </c>
      <c r="AY143" s="113">
        <v>0</v>
      </c>
      <c r="AZ143" s="113">
        <v>0</v>
      </c>
      <c r="BA143" s="113">
        <v>0</v>
      </c>
      <c r="BB143" s="113">
        <v>0</v>
      </c>
      <c r="BC143" s="113">
        <v>0</v>
      </c>
      <c r="BD143" s="113">
        <v>0</v>
      </c>
      <c r="BF143" s="113">
        <f t="shared" si="8"/>
        <v>44922</v>
      </c>
      <c r="BG143" s="113">
        <f t="shared" si="9"/>
        <v>616</v>
      </c>
      <c r="BH143" s="113">
        <f t="shared" si="10"/>
        <v>0</v>
      </c>
      <c r="BI143" s="113">
        <f t="shared" si="11"/>
        <v>0</v>
      </c>
    </row>
    <row r="144" spans="1:61">
      <c r="A144" s="102" t="s">
        <v>207</v>
      </c>
      <c r="B144" s="24" t="s">
        <v>558</v>
      </c>
      <c r="C144" s="103" t="s">
        <v>206</v>
      </c>
      <c r="D144" s="113">
        <v>0</v>
      </c>
      <c r="E144" s="113">
        <v>117976</v>
      </c>
      <c r="F144" s="113">
        <v>1488</v>
      </c>
      <c r="G144" s="113">
        <v>0</v>
      </c>
      <c r="H144" s="113">
        <v>0</v>
      </c>
      <c r="I144" s="113">
        <v>0</v>
      </c>
      <c r="J144" s="113">
        <v>0</v>
      </c>
      <c r="K144" s="113">
        <v>16684</v>
      </c>
      <c r="L144" s="113">
        <v>196</v>
      </c>
      <c r="M144" s="113">
        <v>0</v>
      </c>
      <c r="N144" s="113">
        <v>0</v>
      </c>
      <c r="O144" s="113">
        <v>0</v>
      </c>
      <c r="P144" s="113">
        <v>0</v>
      </c>
      <c r="Q144" s="113">
        <v>0</v>
      </c>
      <c r="R144" s="113">
        <v>0</v>
      </c>
      <c r="S144" s="113">
        <v>0</v>
      </c>
      <c r="T144" s="113">
        <v>0</v>
      </c>
      <c r="U144" s="113">
        <v>0</v>
      </c>
      <c r="V144" s="113">
        <v>0</v>
      </c>
      <c r="W144" s="113">
        <v>0</v>
      </c>
      <c r="X144" s="113">
        <v>0</v>
      </c>
      <c r="Y144" s="113">
        <v>0</v>
      </c>
      <c r="Z144" s="113">
        <v>0</v>
      </c>
      <c r="AA144" s="113">
        <v>0</v>
      </c>
      <c r="AB144" s="113">
        <v>0</v>
      </c>
      <c r="AC144" s="113">
        <v>0</v>
      </c>
      <c r="AD144" s="113">
        <v>28080</v>
      </c>
      <c r="AE144" s="113">
        <v>354</v>
      </c>
      <c r="AF144" s="113">
        <v>0</v>
      </c>
      <c r="AG144" s="113">
        <v>0</v>
      </c>
      <c r="AH144" s="113">
        <v>0</v>
      </c>
      <c r="AI144" s="113">
        <v>0</v>
      </c>
      <c r="AJ144" s="113">
        <v>0</v>
      </c>
      <c r="AK144" s="113">
        <v>0</v>
      </c>
      <c r="AL144" s="113">
        <v>0</v>
      </c>
      <c r="AM144" s="113">
        <v>0</v>
      </c>
      <c r="AN144" s="113">
        <v>0</v>
      </c>
      <c r="AO144" s="113">
        <v>0</v>
      </c>
      <c r="AP144" s="113">
        <v>0</v>
      </c>
      <c r="AQ144" s="113">
        <v>0</v>
      </c>
      <c r="AR144" s="113">
        <v>0</v>
      </c>
      <c r="AS144" s="113">
        <v>0</v>
      </c>
      <c r="AT144" s="113">
        <v>0</v>
      </c>
      <c r="AU144" s="113">
        <v>0</v>
      </c>
      <c r="AV144" s="113">
        <v>0</v>
      </c>
      <c r="AW144" s="113">
        <v>0</v>
      </c>
      <c r="AX144" s="113">
        <v>0</v>
      </c>
      <c r="AY144" s="113">
        <v>0</v>
      </c>
      <c r="AZ144" s="113">
        <v>0</v>
      </c>
      <c r="BA144" s="113">
        <v>0</v>
      </c>
      <c r="BB144" s="113">
        <v>0</v>
      </c>
      <c r="BC144" s="113">
        <v>0</v>
      </c>
      <c r="BD144" s="113">
        <v>0</v>
      </c>
      <c r="BF144" s="113">
        <f t="shared" si="8"/>
        <v>162740</v>
      </c>
      <c r="BG144" s="113">
        <f t="shared" si="9"/>
        <v>2038</v>
      </c>
      <c r="BH144" s="113">
        <f t="shared" si="10"/>
        <v>0</v>
      </c>
      <c r="BI144" s="113">
        <f t="shared" si="11"/>
        <v>0</v>
      </c>
    </row>
    <row r="145" spans="1:61">
      <c r="A145" s="102" t="s">
        <v>208</v>
      </c>
      <c r="B145" s="24" t="s">
        <v>559</v>
      </c>
      <c r="C145" s="103" t="s">
        <v>206</v>
      </c>
      <c r="D145" s="113">
        <v>0</v>
      </c>
      <c r="E145" s="113">
        <v>98964</v>
      </c>
      <c r="F145" s="113">
        <v>2143</v>
      </c>
      <c r="G145" s="113">
        <v>0</v>
      </c>
      <c r="H145" s="113">
        <v>0</v>
      </c>
      <c r="I145" s="113">
        <v>0</v>
      </c>
      <c r="J145" s="113">
        <v>0</v>
      </c>
      <c r="K145" s="113">
        <v>12734</v>
      </c>
      <c r="L145" s="113">
        <v>283</v>
      </c>
      <c r="M145" s="113">
        <v>0</v>
      </c>
      <c r="N145" s="113">
        <v>0</v>
      </c>
      <c r="O145" s="113">
        <v>0</v>
      </c>
      <c r="P145" s="113">
        <v>0</v>
      </c>
      <c r="Q145" s="113">
        <v>0</v>
      </c>
      <c r="R145" s="113">
        <v>0</v>
      </c>
      <c r="S145" s="113">
        <v>0</v>
      </c>
      <c r="T145" s="113">
        <v>0</v>
      </c>
      <c r="U145" s="113">
        <v>0</v>
      </c>
      <c r="V145" s="113">
        <v>0</v>
      </c>
      <c r="W145" s="113">
        <v>0</v>
      </c>
      <c r="X145" s="113">
        <v>0</v>
      </c>
      <c r="Y145" s="113">
        <v>0</v>
      </c>
      <c r="Z145" s="113">
        <v>0</v>
      </c>
      <c r="AA145" s="113">
        <v>0</v>
      </c>
      <c r="AB145" s="113">
        <v>0</v>
      </c>
      <c r="AC145" s="113">
        <v>0</v>
      </c>
      <c r="AD145" s="113">
        <v>0</v>
      </c>
      <c r="AE145" s="113">
        <v>0</v>
      </c>
      <c r="AF145" s="113">
        <v>0</v>
      </c>
      <c r="AG145" s="113">
        <v>0</v>
      </c>
      <c r="AH145" s="113">
        <v>0</v>
      </c>
      <c r="AI145" s="113">
        <v>0</v>
      </c>
      <c r="AJ145" s="113">
        <v>0</v>
      </c>
      <c r="AK145" s="113">
        <v>0</v>
      </c>
      <c r="AL145" s="113">
        <v>0</v>
      </c>
      <c r="AM145" s="113">
        <v>0</v>
      </c>
      <c r="AN145" s="113">
        <v>0</v>
      </c>
      <c r="AO145" s="113">
        <v>0</v>
      </c>
      <c r="AP145" s="113">
        <v>0</v>
      </c>
      <c r="AQ145" s="113">
        <v>0</v>
      </c>
      <c r="AR145" s="113">
        <v>0</v>
      </c>
      <c r="AS145" s="113">
        <v>0</v>
      </c>
      <c r="AT145" s="113">
        <v>0</v>
      </c>
      <c r="AU145" s="113">
        <v>0</v>
      </c>
      <c r="AV145" s="113">
        <v>0</v>
      </c>
      <c r="AW145" s="113">
        <v>0</v>
      </c>
      <c r="AX145" s="113">
        <v>0</v>
      </c>
      <c r="AY145" s="113">
        <v>0</v>
      </c>
      <c r="AZ145" s="113">
        <v>0</v>
      </c>
      <c r="BA145" s="113">
        <v>0</v>
      </c>
      <c r="BB145" s="113">
        <v>0</v>
      </c>
      <c r="BC145" s="113">
        <v>0</v>
      </c>
      <c r="BD145" s="113">
        <v>0</v>
      </c>
      <c r="BF145" s="113">
        <f t="shared" si="8"/>
        <v>111698</v>
      </c>
      <c r="BG145" s="113">
        <f t="shared" si="9"/>
        <v>2426</v>
      </c>
      <c r="BH145" s="113">
        <f t="shared" si="10"/>
        <v>0</v>
      </c>
      <c r="BI145" s="113">
        <f t="shared" si="11"/>
        <v>0</v>
      </c>
    </row>
    <row r="146" spans="1:61">
      <c r="A146" s="102" t="s">
        <v>209</v>
      </c>
      <c r="B146" s="24" t="s">
        <v>560</v>
      </c>
      <c r="C146" s="103" t="s">
        <v>210</v>
      </c>
      <c r="D146" s="113">
        <v>0</v>
      </c>
      <c r="E146" s="113">
        <v>46706</v>
      </c>
      <c r="F146" s="113">
        <v>2950</v>
      </c>
      <c r="G146" s="113">
        <v>0</v>
      </c>
      <c r="H146" s="113">
        <v>0</v>
      </c>
      <c r="I146" s="113">
        <v>0</v>
      </c>
      <c r="J146" s="113">
        <v>0</v>
      </c>
      <c r="K146" s="113">
        <v>5028</v>
      </c>
      <c r="L146" s="113">
        <v>308</v>
      </c>
      <c r="M146" s="113">
        <v>0</v>
      </c>
      <c r="N146" s="113">
        <v>0</v>
      </c>
      <c r="O146" s="113">
        <v>0</v>
      </c>
      <c r="P146" s="113">
        <v>0</v>
      </c>
      <c r="Q146" s="113">
        <v>0</v>
      </c>
      <c r="R146" s="113">
        <v>0</v>
      </c>
      <c r="S146" s="113">
        <v>0</v>
      </c>
      <c r="T146" s="113">
        <v>0</v>
      </c>
      <c r="U146" s="113">
        <v>0</v>
      </c>
      <c r="V146" s="113">
        <v>0</v>
      </c>
      <c r="W146" s="113">
        <v>0</v>
      </c>
      <c r="X146" s="113">
        <v>0</v>
      </c>
      <c r="Y146" s="113">
        <v>0</v>
      </c>
      <c r="Z146" s="113">
        <v>0</v>
      </c>
      <c r="AA146" s="113">
        <v>0</v>
      </c>
      <c r="AB146" s="113">
        <v>0</v>
      </c>
      <c r="AC146" s="113">
        <v>0</v>
      </c>
      <c r="AD146" s="113">
        <v>0</v>
      </c>
      <c r="AE146" s="113">
        <v>0</v>
      </c>
      <c r="AF146" s="113">
        <v>0</v>
      </c>
      <c r="AG146" s="113">
        <v>0</v>
      </c>
      <c r="AH146" s="113">
        <v>0</v>
      </c>
      <c r="AI146" s="113">
        <v>0</v>
      </c>
      <c r="AJ146" s="113">
        <v>0</v>
      </c>
      <c r="AK146" s="113">
        <v>0</v>
      </c>
      <c r="AL146" s="113">
        <v>0</v>
      </c>
      <c r="AM146" s="113">
        <v>0</v>
      </c>
      <c r="AN146" s="113">
        <v>0</v>
      </c>
      <c r="AO146" s="113">
        <v>0</v>
      </c>
      <c r="AP146" s="113">
        <v>0</v>
      </c>
      <c r="AQ146" s="113">
        <v>0</v>
      </c>
      <c r="AR146" s="113">
        <v>0</v>
      </c>
      <c r="AS146" s="113">
        <v>0</v>
      </c>
      <c r="AT146" s="113">
        <v>0</v>
      </c>
      <c r="AU146" s="113">
        <v>0</v>
      </c>
      <c r="AV146" s="113">
        <v>0</v>
      </c>
      <c r="AW146" s="113">
        <v>0</v>
      </c>
      <c r="AX146" s="113">
        <v>0</v>
      </c>
      <c r="AY146" s="113">
        <v>2512</v>
      </c>
      <c r="AZ146" s="113">
        <v>154</v>
      </c>
      <c r="BA146" s="113">
        <v>0</v>
      </c>
      <c r="BB146" s="113">
        <v>0</v>
      </c>
      <c r="BC146" s="113">
        <v>0</v>
      </c>
      <c r="BD146" s="113">
        <v>0</v>
      </c>
      <c r="BF146" s="113">
        <f t="shared" si="8"/>
        <v>51734</v>
      </c>
      <c r="BG146" s="113">
        <f t="shared" si="9"/>
        <v>3258</v>
      </c>
      <c r="BH146" s="113">
        <f t="shared" si="10"/>
        <v>0</v>
      </c>
      <c r="BI146" s="113">
        <f t="shared" si="11"/>
        <v>0</v>
      </c>
    </row>
    <row r="147" spans="1:61">
      <c r="A147" s="102" t="s">
        <v>211</v>
      </c>
      <c r="B147" s="24" t="s">
        <v>561</v>
      </c>
      <c r="C147" s="103" t="s">
        <v>210</v>
      </c>
      <c r="D147" s="113">
        <v>0</v>
      </c>
      <c r="E147" s="113">
        <v>52215</v>
      </c>
      <c r="F147" s="113">
        <v>534</v>
      </c>
      <c r="G147" s="113">
        <v>0</v>
      </c>
      <c r="H147" s="113">
        <v>0</v>
      </c>
      <c r="I147" s="113">
        <v>0</v>
      </c>
      <c r="J147" s="113">
        <v>0</v>
      </c>
      <c r="K147" s="113">
        <v>3582</v>
      </c>
      <c r="L147" s="113">
        <v>32</v>
      </c>
      <c r="M147" s="113">
        <v>143</v>
      </c>
      <c r="N147" s="113">
        <v>0</v>
      </c>
      <c r="O147" s="113">
        <v>0</v>
      </c>
      <c r="P147" s="113">
        <v>0</v>
      </c>
      <c r="Q147" s="113">
        <v>0</v>
      </c>
      <c r="R147" s="113">
        <v>0</v>
      </c>
      <c r="S147" s="113">
        <v>0</v>
      </c>
      <c r="T147" s="113">
        <v>0</v>
      </c>
      <c r="U147" s="113">
        <v>0</v>
      </c>
      <c r="V147" s="113">
        <v>0</v>
      </c>
      <c r="W147" s="113">
        <v>0</v>
      </c>
      <c r="X147" s="113">
        <v>0</v>
      </c>
      <c r="Y147" s="113">
        <v>0</v>
      </c>
      <c r="Z147" s="113">
        <v>0</v>
      </c>
      <c r="AA147" s="113">
        <v>0</v>
      </c>
      <c r="AB147" s="113">
        <v>0</v>
      </c>
      <c r="AC147" s="113">
        <v>0</v>
      </c>
      <c r="AD147" s="113">
        <v>31802</v>
      </c>
      <c r="AE147" s="113">
        <v>326</v>
      </c>
      <c r="AF147" s="113">
        <v>0</v>
      </c>
      <c r="AG147" s="113">
        <v>0</v>
      </c>
      <c r="AH147" s="113">
        <v>0</v>
      </c>
      <c r="AI147" s="113">
        <v>0</v>
      </c>
      <c r="AJ147" s="113">
        <v>0</v>
      </c>
      <c r="AK147" s="113">
        <v>0</v>
      </c>
      <c r="AL147" s="113">
        <v>0</v>
      </c>
      <c r="AM147" s="113">
        <v>0</v>
      </c>
      <c r="AN147" s="113">
        <v>0</v>
      </c>
      <c r="AO147" s="113">
        <v>0</v>
      </c>
      <c r="AP147" s="113">
        <v>0</v>
      </c>
      <c r="AQ147" s="113">
        <v>0</v>
      </c>
      <c r="AR147" s="113">
        <v>0</v>
      </c>
      <c r="AS147" s="113">
        <v>0</v>
      </c>
      <c r="AT147" s="113">
        <v>0</v>
      </c>
      <c r="AU147" s="113">
        <v>0</v>
      </c>
      <c r="AV147" s="113">
        <v>0</v>
      </c>
      <c r="AW147" s="113">
        <v>0</v>
      </c>
      <c r="AX147" s="113">
        <v>0</v>
      </c>
      <c r="AY147" s="113">
        <v>0</v>
      </c>
      <c r="AZ147" s="113">
        <v>0</v>
      </c>
      <c r="BA147" s="113">
        <v>0</v>
      </c>
      <c r="BB147" s="113">
        <v>0</v>
      </c>
      <c r="BC147" s="113">
        <v>0</v>
      </c>
      <c r="BD147" s="113">
        <v>0</v>
      </c>
      <c r="BF147" s="113">
        <f t="shared" si="8"/>
        <v>87599</v>
      </c>
      <c r="BG147" s="113">
        <f t="shared" si="9"/>
        <v>892</v>
      </c>
      <c r="BH147" s="113">
        <f t="shared" si="10"/>
        <v>143</v>
      </c>
      <c r="BI147" s="113">
        <f t="shared" si="11"/>
        <v>0</v>
      </c>
    </row>
    <row r="148" spans="1:61">
      <c r="A148" s="102" t="s">
        <v>212</v>
      </c>
      <c r="B148" s="24" t="s">
        <v>562</v>
      </c>
      <c r="C148" s="103" t="s">
        <v>210</v>
      </c>
      <c r="D148" s="113">
        <v>0</v>
      </c>
      <c r="E148" s="113">
        <v>108505</v>
      </c>
      <c r="F148" s="113">
        <v>2663</v>
      </c>
      <c r="G148" s="113">
        <v>0</v>
      </c>
      <c r="H148" s="113">
        <v>0</v>
      </c>
      <c r="I148" s="113">
        <v>0</v>
      </c>
      <c r="J148" s="113">
        <v>0</v>
      </c>
      <c r="K148" s="113">
        <v>24313</v>
      </c>
      <c r="L148" s="113">
        <v>595</v>
      </c>
      <c r="M148" s="113">
        <v>0</v>
      </c>
      <c r="N148" s="113">
        <v>0</v>
      </c>
      <c r="O148" s="113">
        <v>0</v>
      </c>
      <c r="P148" s="113">
        <v>0</v>
      </c>
      <c r="Q148" s="113">
        <v>0</v>
      </c>
      <c r="R148" s="113">
        <v>0</v>
      </c>
      <c r="S148" s="113">
        <v>0</v>
      </c>
      <c r="T148" s="113">
        <v>0</v>
      </c>
      <c r="U148" s="113">
        <v>0</v>
      </c>
      <c r="V148" s="113">
        <v>0</v>
      </c>
      <c r="W148" s="113">
        <v>0</v>
      </c>
      <c r="X148" s="113">
        <v>0</v>
      </c>
      <c r="Y148" s="113">
        <v>0</v>
      </c>
      <c r="Z148" s="113">
        <v>0</v>
      </c>
      <c r="AA148" s="113">
        <v>0</v>
      </c>
      <c r="AB148" s="113">
        <v>0</v>
      </c>
      <c r="AC148" s="113">
        <v>0</v>
      </c>
      <c r="AD148" s="113">
        <v>54477</v>
      </c>
      <c r="AE148" s="113">
        <v>1324</v>
      </c>
      <c r="AF148" s="113">
        <v>0</v>
      </c>
      <c r="AG148" s="113">
        <v>0</v>
      </c>
      <c r="AH148" s="113">
        <v>0</v>
      </c>
      <c r="AI148" s="113">
        <v>0</v>
      </c>
      <c r="AJ148" s="113">
        <v>0</v>
      </c>
      <c r="AK148" s="113">
        <v>0</v>
      </c>
      <c r="AL148" s="113">
        <v>0</v>
      </c>
      <c r="AM148" s="113">
        <v>0</v>
      </c>
      <c r="AN148" s="113">
        <v>0</v>
      </c>
      <c r="AO148" s="113">
        <v>0</v>
      </c>
      <c r="AP148" s="113">
        <v>0</v>
      </c>
      <c r="AQ148" s="113">
        <v>0</v>
      </c>
      <c r="AR148" s="113">
        <v>0</v>
      </c>
      <c r="AS148" s="113">
        <v>0</v>
      </c>
      <c r="AT148" s="113">
        <v>0</v>
      </c>
      <c r="AU148" s="113">
        <v>0</v>
      </c>
      <c r="AV148" s="113">
        <v>0</v>
      </c>
      <c r="AW148" s="113">
        <v>0</v>
      </c>
      <c r="AX148" s="113">
        <v>0</v>
      </c>
      <c r="AY148" s="113">
        <v>0</v>
      </c>
      <c r="AZ148" s="113">
        <v>0</v>
      </c>
      <c r="BA148" s="113">
        <v>0</v>
      </c>
      <c r="BB148" s="113">
        <v>0</v>
      </c>
      <c r="BC148" s="113">
        <v>0</v>
      </c>
      <c r="BD148" s="113">
        <v>0</v>
      </c>
      <c r="BF148" s="113">
        <f t="shared" si="8"/>
        <v>187295</v>
      </c>
      <c r="BG148" s="113">
        <f t="shared" si="9"/>
        <v>4582</v>
      </c>
      <c r="BH148" s="113">
        <f t="shared" si="10"/>
        <v>0</v>
      </c>
      <c r="BI148" s="113">
        <f t="shared" si="11"/>
        <v>0</v>
      </c>
    </row>
    <row r="149" spans="1:61">
      <c r="A149" s="102" t="s">
        <v>213</v>
      </c>
      <c r="B149" s="24" t="s">
        <v>563</v>
      </c>
      <c r="C149" s="103" t="s">
        <v>210</v>
      </c>
      <c r="D149" s="113">
        <v>0</v>
      </c>
      <c r="E149" s="113">
        <v>79671</v>
      </c>
      <c r="F149" s="113">
        <v>1168</v>
      </c>
      <c r="G149" s="113">
        <v>0</v>
      </c>
      <c r="H149" s="113">
        <v>0</v>
      </c>
      <c r="I149" s="113">
        <v>0</v>
      </c>
      <c r="J149" s="113">
        <v>0</v>
      </c>
      <c r="K149" s="113">
        <v>15871</v>
      </c>
      <c r="L149" s="113">
        <v>59</v>
      </c>
      <c r="M149" s="113">
        <v>0</v>
      </c>
      <c r="N149" s="113">
        <v>0</v>
      </c>
      <c r="O149" s="113">
        <v>0</v>
      </c>
      <c r="P149" s="113">
        <v>0</v>
      </c>
      <c r="Q149" s="113">
        <v>0</v>
      </c>
      <c r="R149" s="113">
        <v>0</v>
      </c>
      <c r="S149" s="113">
        <v>0</v>
      </c>
      <c r="T149" s="113">
        <v>0</v>
      </c>
      <c r="U149" s="113">
        <v>0</v>
      </c>
      <c r="V149" s="113">
        <v>0</v>
      </c>
      <c r="W149" s="113">
        <v>0</v>
      </c>
      <c r="X149" s="113">
        <v>0</v>
      </c>
      <c r="Y149" s="113">
        <v>0</v>
      </c>
      <c r="Z149" s="113">
        <v>0</v>
      </c>
      <c r="AA149" s="113">
        <v>0</v>
      </c>
      <c r="AB149" s="113">
        <v>0</v>
      </c>
      <c r="AC149" s="113">
        <v>0</v>
      </c>
      <c r="AD149" s="113">
        <v>0</v>
      </c>
      <c r="AE149" s="113">
        <v>0</v>
      </c>
      <c r="AF149" s="113">
        <v>0</v>
      </c>
      <c r="AG149" s="113">
        <v>0</v>
      </c>
      <c r="AH149" s="113">
        <v>0</v>
      </c>
      <c r="AI149" s="113">
        <v>0</v>
      </c>
      <c r="AJ149" s="113">
        <v>0</v>
      </c>
      <c r="AK149" s="113">
        <v>0</v>
      </c>
      <c r="AL149" s="113">
        <v>0</v>
      </c>
      <c r="AM149" s="113">
        <v>0</v>
      </c>
      <c r="AN149" s="113">
        <v>0</v>
      </c>
      <c r="AO149" s="113">
        <v>0</v>
      </c>
      <c r="AP149" s="113">
        <v>0</v>
      </c>
      <c r="AQ149" s="113">
        <v>0</v>
      </c>
      <c r="AR149" s="113">
        <v>0</v>
      </c>
      <c r="AS149" s="113">
        <v>0</v>
      </c>
      <c r="AT149" s="113">
        <v>0</v>
      </c>
      <c r="AU149" s="113">
        <v>0</v>
      </c>
      <c r="AV149" s="113">
        <v>0</v>
      </c>
      <c r="AW149" s="113">
        <v>0</v>
      </c>
      <c r="AX149" s="113">
        <v>0</v>
      </c>
      <c r="AY149" s="113">
        <v>3947</v>
      </c>
      <c r="AZ149" s="113">
        <v>24</v>
      </c>
      <c r="BA149" s="113">
        <v>0</v>
      </c>
      <c r="BB149" s="113">
        <v>0</v>
      </c>
      <c r="BC149" s="113">
        <v>0</v>
      </c>
      <c r="BD149" s="113">
        <v>0</v>
      </c>
      <c r="BF149" s="113">
        <f t="shared" si="8"/>
        <v>95542</v>
      </c>
      <c r="BG149" s="113">
        <f t="shared" si="9"/>
        <v>1227</v>
      </c>
      <c r="BH149" s="113">
        <f t="shared" si="10"/>
        <v>0</v>
      </c>
      <c r="BI149" s="113">
        <f t="shared" si="11"/>
        <v>0</v>
      </c>
    </row>
    <row r="150" spans="1:61">
      <c r="A150" s="102" t="s">
        <v>214</v>
      </c>
      <c r="B150" s="24" t="s">
        <v>564</v>
      </c>
      <c r="C150" s="103" t="s">
        <v>210</v>
      </c>
      <c r="D150" s="113">
        <v>0</v>
      </c>
      <c r="E150" s="113">
        <v>63642</v>
      </c>
      <c r="F150" s="113">
        <v>1361</v>
      </c>
      <c r="G150" s="113">
        <v>0</v>
      </c>
      <c r="H150" s="113">
        <v>0</v>
      </c>
      <c r="I150" s="113">
        <v>0</v>
      </c>
      <c r="J150" s="113">
        <v>0</v>
      </c>
      <c r="K150" s="113">
        <v>18812</v>
      </c>
      <c r="L150" s="113">
        <v>409</v>
      </c>
      <c r="M150" s="113">
        <v>0</v>
      </c>
      <c r="N150" s="113">
        <v>0</v>
      </c>
      <c r="O150" s="113">
        <v>0</v>
      </c>
      <c r="P150" s="113">
        <v>0</v>
      </c>
      <c r="Q150" s="113">
        <v>0</v>
      </c>
      <c r="R150" s="113">
        <v>0</v>
      </c>
      <c r="S150" s="113">
        <v>0</v>
      </c>
      <c r="T150" s="113">
        <v>0</v>
      </c>
      <c r="U150" s="113">
        <v>0</v>
      </c>
      <c r="V150" s="113">
        <v>0</v>
      </c>
      <c r="W150" s="113">
        <v>0</v>
      </c>
      <c r="X150" s="113">
        <v>0</v>
      </c>
      <c r="Y150" s="113">
        <v>0</v>
      </c>
      <c r="Z150" s="113">
        <v>0</v>
      </c>
      <c r="AA150" s="113">
        <v>0</v>
      </c>
      <c r="AB150" s="113">
        <v>0</v>
      </c>
      <c r="AC150" s="113">
        <v>0</v>
      </c>
      <c r="AD150" s="113">
        <v>0</v>
      </c>
      <c r="AE150" s="113">
        <v>0</v>
      </c>
      <c r="AF150" s="113">
        <v>0</v>
      </c>
      <c r="AG150" s="113">
        <v>0</v>
      </c>
      <c r="AH150" s="113">
        <v>0</v>
      </c>
      <c r="AI150" s="113">
        <v>0</v>
      </c>
      <c r="AJ150" s="113">
        <v>0</v>
      </c>
      <c r="AK150" s="113">
        <v>0</v>
      </c>
      <c r="AL150" s="113">
        <v>0</v>
      </c>
      <c r="AM150" s="113">
        <v>0</v>
      </c>
      <c r="AN150" s="113">
        <v>0</v>
      </c>
      <c r="AO150" s="113">
        <v>0</v>
      </c>
      <c r="AP150" s="113">
        <v>0</v>
      </c>
      <c r="AQ150" s="113">
        <v>0</v>
      </c>
      <c r="AR150" s="113">
        <v>0</v>
      </c>
      <c r="AS150" s="113">
        <v>0</v>
      </c>
      <c r="AT150" s="113">
        <v>0</v>
      </c>
      <c r="AU150" s="113">
        <v>0</v>
      </c>
      <c r="AV150" s="113">
        <v>0</v>
      </c>
      <c r="AW150" s="113">
        <v>0</v>
      </c>
      <c r="AX150" s="113">
        <v>0</v>
      </c>
      <c r="AY150" s="113">
        <v>9605</v>
      </c>
      <c r="AZ150" s="113">
        <v>204</v>
      </c>
      <c r="BA150" s="113">
        <v>0</v>
      </c>
      <c r="BB150" s="113">
        <v>0</v>
      </c>
      <c r="BC150" s="113">
        <v>0</v>
      </c>
      <c r="BD150" s="113">
        <v>0</v>
      </c>
      <c r="BF150" s="113">
        <f t="shared" si="8"/>
        <v>82454</v>
      </c>
      <c r="BG150" s="113">
        <f t="shared" si="9"/>
        <v>1770</v>
      </c>
      <c r="BH150" s="113">
        <f t="shared" si="10"/>
        <v>0</v>
      </c>
      <c r="BI150" s="113">
        <f t="shared" si="11"/>
        <v>0</v>
      </c>
    </row>
    <row r="151" spans="1:61">
      <c r="A151" s="102" t="s">
        <v>215</v>
      </c>
      <c r="B151" s="24" t="s">
        <v>565</v>
      </c>
      <c r="C151" s="103" t="s">
        <v>210</v>
      </c>
      <c r="D151" s="113">
        <v>0</v>
      </c>
      <c r="E151" s="113">
        <v>121018</v>
      </c>
      <c r="F151" s="113">
        <v>2453</v>
      </c>
      <c r="G151" s="113">
        <v>0</v>
      </c>
      <c r="H151" s="113">
        <v>0</v>
      </c>
      <c r="I151" s="113">
        <v>0</v>
      </c>
      <c r="J151" s="113">
        <v>0</v>
      </c>
      <c r="K151" s="113">
        <v>27181</v>
      </c>
      <c r="L151" s="113">
        <v>548</v>
      </c>
      <c r="M151" s="113">
        <v>25864</v>
      </c>
      <c r="N151" s="113">
        <v>0</v>
      </c>
      <c r="O151" s="113">
        <v>0</v>
      </c>
      <c r="P151" s="113">
        <v>0</v>
      </c>
      <c r="Q151" s="113">
        <v>0</v>
      </c>
      <c r="R151" s="113">
        <v>0</v>
      </c>
      <c r="S151" s="113">
        <v>0</v>
      </c>
      <c r="T151" s="113">
        <v>0</v>
      </c>
      <c r="U151" s="113">
        <v>0</v>
      </c>
      <c r="V151" s="113">
        <v>0</v>
      </c>
      <c r="W151" s="113">
        <v>0</v>
      </c>
      <c r="X151" s="113">
        <v>0</v>
      </c>
      <c r="Y151" s="113">
        <v>0</v>
      </c>
      <c r="Z151" s="113">
        <v>0</v>
      </c>
      <c r="AA151" s="113">
        <v>0</v>
      </c>
      <c r="AB151" s="113">
        <v>0</v>
      </c>
      <c r="AC151" s="113">
        <v>0</v>
      </c>
      <c r="AD151" s="113">
        <v>75888</v>
      </c>
      <c r="AE151" s="113">
        <v>1513</v>
      </c>
      <c r="AF151" s="113">
        <v>0</v>
      </c>
      <c r="AG151" s="113">
        <v>0</v>
      </c>
      <c r="AH151" s="113">
        <v>0</v>
      </c>
      <c r="AI151" s="113">
        <v>0</v>
      </c>
      <c r="AJ151" s="113">
        <v>0</v>
      </c>
      <c r="AK151" s="113">
        <v>0</v>
      </c>
      <c r="AL151" s="113">
        <v>0</v>
      </c>
      <c r="AM151" s="113">
        <v>0</v>
      </c>
      <c r="AN151" s="113">
        <v>0</v>
      </c>
      <c r="AO151" s="113">
        <v>0</v>
      </c>
      <c r="AP151" s="113">
        <v>0</v>
      </c>
      <c r="AQ151" s="113">
        <v>0</v>
      </c>
      <c r="AR151" s="113">
        <v>0</v>
      </c>
      <c r="AS151" s="113">
        <v>0</v>
      </c>
      <c r="AT151" s="113">
        <v>0</v>
      </c>
      <c r="AU151" s="113">
        <v>0</v>
      </c>
      <c r="AV151" s="113">
        <v>0</v>
      </c>
      <c r="AW151" s="113">
        <v>0</v>
      </c>
      <c r="AX151" s="113">
        <v>0</v>
      </c>
      <c r="AY151" s="113">
        <v>0</v>
      </c>
      <c r="AZ151" s="113">
        <v>0</v>
      </c>
      <c r="BA151" s="113">
        <v>0</v>
      </c>
      <c r="BB151" s="113">
        <v>0</v>
      </c>
      <c r="BC151" s="113">
        <v>0</v>
      </c>
      <c r="BD151" s="113">
        <v>0</v>
      </c>
      <c r="BF151" s="113">
        <f t="shared" si="8"/>
        <v>224087</v>
      </c>
      <c r="BG151" s="113">
        <f t="shared" si="9"/>
        <v>4514</v>
      </c>
      <c r="BH151" s="113">
        <f t="shared" si="10"/>
        <v>25864</v>
      </c>
      <c r="BI151" s="113">
        <f t="shared" si="11"/>
        <v>0</v>
      </c>
    </row>
    <row r="152" spans="1:61">
      <c r="A152" s="102" t="s">
        <v>216</v>
      </c>
      <c r="B152" s="24" t="s">
        <v>566</v>
      </c>
      <c r="C152" s="103" t="s">
        <v>217</v>
      </c>
      <c r="D152" s="113">
        <v>6148</v>
      </c>
      <c r="E152" s="113">
        <v>28857</v>
      </c>
      <c r="F152" s="113">
        <v>891</v>
      </c>
      <c r="G152" s="113">
        <v>3629</v>
      </c>
      <c r="H152" s="113">
        <v>0</v>
      </c>
      <c r="I152" s="113">
        <v>0</v>
      </c>
      <c r="J152" s="113">
        <v>0</v>
      </c>
      <c r="K152" s="113">
        <v>9655</v>
      </c>
      <c r="L152" s="113">
        <v>381</v>
      </c>
      <c r="M152" s="113">
        <v>0</v>
      </c>
      <c r="N152" s="113">
        <v>1218</v>
      </c>
      <c r="O152" s="113">
        <v>0</v>
      </c>
      <c r="P152" s="113">
        <v>0</v>
      </c>
      <c r="Q152" s="113">
        <v>0</v>
      </c>
      <c r="R152" s="113">
        <v>0</v>
      </c>
      <c r="S152" s="113">
        <v>0</v>
      </c>
      <c r="T152" s="113">
        <v>0</v>
      </c>
      <c r="U152" s="113">
        <v>0</v>
      </c>
      <c r="V152" s="113">
        <v>0</v>
      </c>
      <c r="W152" s="113">
        <v>0</v>
      </c>
      <c r="X152" s="113">
        <v>0</v>
      </c>
      <c r="Y152" s="113">
        <v>0</v>
      </c>
      <c r="Z152" s="113">
        <v>0</v>
      </c>
      <c r="AA152" s="113">
        <v>0</v>
      </c>
      <c r="AB152" s="113">
        <v>0</v>
      </c>
      <c r="AC152" s="113">
        <v>0</v>
      </c>
      <c r="AD152" s="113">
        <v>0</v>
      </c>
      <c r="AE152" s="113">
        <v>0</v>
      </c>
      <c r="AF152" s="113">
        <v>0</v>
      </c>
      <c r="AG152" s="113">
        <v>0</v>
      </c>
      <c r="AH152" s="113">
        <v>0</v>
      </c>
      <c r="AI152" s="113">
        <v>0</v>
      </c>
      <c r="AJ152" s="113">
        <v>0</v>
      </c>
      <c r="AK152" s="113">
        <v>0</v>
      </c>
      <c r="AL152" s="113">
        <v>0</v>
      </c>
      <c r="AM152" s="113">
        <v>0</v>
      </c>
      <c r="AN152" s="113">
        <v>0</v>
      </c>
      <c r="AO152" s="113">
        <v>0</v>
      </c>
      <c r="AP152" s="113">
        <v>0</v>
      </c>
      <c r="AQ152" s="113">
        <v>0</v>
      </c>
      <c r="AR152" s="113">
        <v>0</v>
      </c>
      <c r="AS152" s="113">
        <v>0</v>
      </c>
      <c r="AT152" s="113">
        <v>0</v>
      </c>
      <c r="AU152" s="113">
        <v>0</v>
      </c>
      <c r="AV152" s="113">
        <v>0</v>
      </c>
      <c r="AW152" s="113">
        <v>0</v>
      </c>
      <c r="AX152" s="113">
        <v>0</v>
      </c>
      <c r="AY152" s="113">
        <v>0</v>
      </c>
      <c r="AZ152" s="113">
        <v>0</v>
      </c>
      <c r="BA152" s="113">
        <v>0</v>
      </c>
      <c r="BB152" s="113">
        <v>0</v>
      </c>
      <c r="BC152" s="113">
        <v>0</v>
      </c>
      <c r="BD152" s="113">
        <v>0</v>
      </c>
      <c r="BF152" s="113">
        <f t="shared" si="8"/>
        <v>38512</v>
      </c>
      <c r="BG152" s="113">
        <f t="shared" si="9"/>
        <v>1272</v>
      </c>
      <c r="BH152" s="113">
        <f t="shared" si="10"/>
        <v>0</v>
      </c>
      <c r="BI152" s="113">
        <f t="shared" si="11"/>
        <v>10995</v>
      </c>
    </row>
    <row r="153" spans="1:61">
      <c r="A153" s="102" t="s">
        <v>218</v>
      </c>
      <c r="B153" s="24" t="s">
        <v>567</v>
      </c>
      <c r="C153" s="103" t="s">
        <v>219</v>
      </c>
      <c r="D153" s="113">
        <v>2739</v>
      </c>
      <c r="E153" s="113">
        <v>456145</v>
      </c>
      <c r="F153" s="113">
        <v>6941</v>
      </c>
      <c r="G153" s="113">
        <v>2247</v>
      </c>
      <c r="H153" s="113">
        <v>0</v>
      </c>
      <c r="I153" s="113">
        <v>0</v>
      </c>
      <c r="J153" s="113">
        <v>0</v>
      </c>
      <c r="K153" s="113">
        <v>173389</v>
      </c>
      <c r="L153" s="113">
        <v>2709</v>
      </c>
      <c r="M153" s="113">
        <v>0</v>
      </c>
      <c r="N153" s="113">
        <v>1095</v>
      </c>
      <c r="O153" s="113">
        <v>0</v>
      </c>
      <c r="P153" s="113">
        <v>0</v>
      </c>
      <c r="Q153" s="113">
        <v>0</v>
      </c>
      <c r="R153" s="113">
        <v>0</v>
      </c>
      <c r="S153" s="113">
        <v>0</v>
      </c>
      <c r="T153" s="113">
        <v>0</v>
      </c>
      <c r="U153" s="113">
        <v>0</v>
      </c>
      <c r="V153" s="113">
        <v>0</v>
      </c>
      <c r="W153" s="113">
        <v>0</v>
      </c>
      <c r="X153" s="113">
        <v>0</v>
      </c>
      <c r="Y153" s="113">
        <v>0</v>
      </c>
      <c r="Z153" s="113">
        <v>0</v>
      </c>
      <c r="AA153" s="113">
        <v>0</v>
      </c>
      <c r="AB153" s="113">
        <v>0</v>
      </c>
      <c r="AC153" s="113">
        <v>0</v>
      </c>
      <c r="AD153" s="113">
        <v>307323</v>
      </c>
      <c r="AE153" s="113">
        <v>4442</v>
      </c>
      <c r="AF153" s="113">
        <v>687</v>
      </c>
      <c r="AG153" s="113">
        <v>0</v>
      </c>
      <c r="AH153" s="113">
        <v>0</v>
      </c>
      <c r="AI153" s="113">
        <v>0</v>
      </c>
      <c r="AJ153" s="113">
        <v>0</v>
      </c>
      <c r="AK153" s="113">
        <v>0</v>
      </c>
      <c r="AL153" s="113">
        <v>0</v>
      </c>
      <c r="AM153" s="113">
        <v>0</v>
      </c>
      <c r="AN153" s="113">
        <v>0</v>
      </c>
      <c r="AO153" s="113">
        <v>0</v>
      </c>
      <c r="AP153" s="113">
        <v>0</v>
      </c>
      <c r="AQ153" s="113">
        <v>0</v>
      </c>
      <c r="AR153" s="113">
        <v>0</v>
      </c>
      <c r="AS153" s="113">
        <v>0</v>
      </c>
      <c r="AT153" s="113">
        <v>0</v>
      </c>
      <c r="AU153" s="113">
        <v>0</v>
      </c>
      <c r="AV153" s="113">
        <v>0</v>
      </c>
      <c r="AW153" s="113">
        <v>0</v>
      </c>
      <c r="AX153" s="113">
        <v>0</v>
      </c>
      <c r="AY153" s="113">
        <v>0</v>
      </c>
      <c r="AZ153" s="113">
        <v>0</v>
      </c>
      <c r="BA153" s="113">
        <v>0</v>
      </c>
      <c r="BB153" s="113">
        <v>0</v>
      </c>
      <c r="BC153" s="113">
        <v>0</v>
      </c>
      <c r="BD153" s="113">
        <v>0</v>
      </c>
      <c r="BF153" s="113">
        <f t="shared" si="8"/>
        <v>936857</v>
      </c>
      <c r="BG153" s="113">
        <f t="shared" si="9"/>
        <v>14092</v>
      </c>
      <c r="BH153" s="113">
        <f t="shared" si="10"/>
        <v>0</v>
      </c>
      <c r="BI153" s="113">
        <f t="shared" si="11"/>
        <v>6768</v>
      </c>
    </row>
    <row r="154" spans="1:61">
      <c r="A154" s="102" t="s">
        <v>220</v>
      </c>
      <c r="B154" s="24" t="s">
        <v>568</v>
      </c>
      <c r="C154" s="103" t="s">
        <v>217</v>
      </c>
      <c r="D154" s="113">
        <v>0</v>
      </c>
      <c r="E154" s="113">
        <v>77094</v>
      </c>
      <c r="F154" s="113">
        <v>2774</v>
      </c>
      <c r="G154" s="113">
        <v>0</v>
      </c>
      <c r="H154" s="113">
        <v>0</v>
      </c>
      <c r="I154" s="113">
        <v>0</v>
      </c>
      <c r="J154" s="113">
        <v>0</v>
      </c>
      <c r="K154" s="113">
        <v>16546</v>
      </c>
      <c r="L154" s="113">
        <v>573</v>
      </c>
      <c r="M154" s="113">
        <v>0</v>
      </c>
      <c r="N154" s="113">
        <v>0</v>
      </c>
      <c r="O154" s="113">
        <v>0</v>
      </c>
      <c r="P154" s="113">
        <v>0</v>
      </c>
      <c r="Q154" s="113">
        <v>0</v>
      </c>
      <c r="R154" s="113">
        <v>0</v>
      </c>
      <c r="S154" s="113">
        <v>0</v>
      </c>
      <c r="T154" s="113">
        <v>0</v>
      </c>
      <c r="U154" s="113">
        <v>0</v>
      </c>
      <c r="V154" s="113">
        <v>0</v>
      </c>
      <c r="W154" s="113">
        <v>0</v>
      </c>
      <c r="X154" s="113">
        <v>0</v>
      </c>
      <c r="Y154" s="113">
        <v>0</v>
      </c>
      <c r="Z154" s="113">
        <v>0</v>
      </c>
      <c r="AA154" s="113">
        <v>0</v>
      </c>
      <c r="AB154" s="113">
        <v>0</v>
      </c>
      <c r="AC154" s="113">
        <v>0</v>
      </c>
      <c r="AD154" s="113">
        <v>16263</v>
      </c>
      <c r="AE154" s="113">
        <v>553</v>
      </c>
      <c r="AF154" s="113">
        <v>0</v>
      </c>
      <c r="AG154" s="113">
        <v>0</v>
      </c>
      <c r="AH154" s="113">
        <v>0</v>
      </c>
      <c r="AI154" s="113">
        <v>0</v>
      </c>
      <c r="AJ154" s="113">
        <v>0</v>
      </c>
      <c r="AK154" s="113">
        <v>0</v>
      </c>
      <c r="AL154" s="113">
        <v>0</v>
      </c>
      <c r="AM154" s="113">
        <v>0</v>
      </c>
      <c r="AN154" s="113">
        <v>0</v>
      </c>
      <c r="AO154" s="113">
        <v>0</v>
      </c>
      <c r="AP154" s="113">
        <v>0</v>
      </c>
      <c r="AQ154" s="113">
        <v>0</v>
      </c>
      <c r="AR154" s="113">
        <v>0</v>
      </c>
      <c r="AS154" s="113">
        <v>0</v>
      </c>
      <c r="AT154" s="113">
        <v>0</v>
      </c>
      <c r="AU154" s="113">
        <v>0</v>
      </c>
      <c r="AV154" s="113">
        <v>0</v>
      </c>
      <c r="AW154" s="113">
        <v>0</v>
      </c>
      <c r="AX154" s="113">
        <v>0</v>
      </c>
      <c r="AY154" s="113">
        <v>0</v>
      </c>
      <c r="AZ154" s="113">
        <v>0</v>
      </c>
      <c r="BA154" s="113">
        <v>0</v>
      </c>
      <c r="BB154" s="113">
        <v>0</v>
      </c>
      <c r="BC154" s="113">
        <v>0</v>
      </c>
      <c r="BD154" s="113">
        <v>0</v>
      </c>
      <c r="BF154" s="113">
        <f t="shared" si="8"/>
        <v>109903</v>
      </c>
      <c r="BG154" s="113">
        <f t="shared" si="9"/>
        <v>3900</v>
      </c>
      <c r="BH154" s="113">
        <f t="shared" si="10"/>
        <v>0</v>
      </c>
      <c r="BI154" s="113">
        <f t="shared" si="11"/>
        <v>0</v>
      </c>
    </row>
    <row r="155" spans="1:61">
      <c r="A155" s="102" t="s">
        <v>221</v>
      </c>
      <c r="B155" s="24" t="s">
        <v>569</v>
      </c>
      <c r="C155" s="103" t="s">
        <v>222</v>
      </c>
      <c r="D155" s="113">
        <v>1632</v>
      </c>
      <c r="E155" s="113">
        <v>41278</v>
      </c>
      <c r="F155" s="113">
        <v>625</v>
      </c>
      <c r="G155" s="113">
        <v>1854</v>
      </c>
      <c r="H155" s="113">
        <v>0</v>
      </c>
      <c r="I155" s="113">
        <v>0</v>
      </c>
      <c r="J155" s="113">
        <v>0</v>
      </c>
      <c r="K155" s="113">
        <v>5746</v>
      </c>
      <c r="L155" s="113">
        <v>90</v>
      </c>
      <c r="M155" s="113">
        <v>88</v>
      </c>
      <c r="N155" s="113">
        <v>0</v>
      </c>
      <c r="O155" s="113">
        <v>0</v>
      </c>
      <c r="P155" s="113">
        <v>0</v>
      </c>
      <c r="Q155" s="113">
        <v>0</v>
      </c>
      <c r="R155" s="113">
        <v>0</v>
      </c>
      <c r="S155" s="113">
        <v>0</v>
      </c>
      <c r="T155" s="113">
        <v>0</v>
      </c>
      <c r="U155" s="113">
        <v>0</v>
      </c>
      <c r="V155" s="113">
        <v>0</v>
      </c>
      <c r="W155" s="113">
        <v>0</v>
      </c>
      <c r="X155" s="113">
        <v>0</v>
      </c>
      <c r="Y155" s="113">
        <v>0</v>
      </c>
      <c r="Z155" s="113">
        <v>0</v>
      </c>
      <c r="AA155" s="113">
        <v>0</v>
      </c>
      <c r="AB155" s="113">
        <v>0</v>
      </c>
      <c r="AC155" s="113">
        <v>0</v>
      </c>
      <c r="AD155" s="113">
        <v>0</v>
      </c>
      <c r="AE155" s="113">
        <v>0</v>
      </c>
      <c r="AF155" s="113">
        <v>0</v>
      </c>
      <c r="AG155" s="113">
        <v>0</v>
      </c>
      <c r="AH155" s="113">
        <v>0</v>
      </c>
      <c r="AI155" s="113">
        <v>0</v>
      </c>
      <c r="AJ155" s="113">
        <v>0</v>
      </c>
      <c r="AK155" s="113">
        <v>0</v>
      </c>
      <c r="AL155" s="113">
        <v>0</v>
      </c>
      <c r="AM155" s="113">
        <v>0</v>
      </c>
      <c r="AN155" s="113">
        <v>0</v>
      </c>
      <c r="AO155" s="113">
        <v>0</v>
      </c>
      <c r="AP155" s="113">
        <v>0</v>
      </c>
      <c r="AQ155" s="113">
        <v>0</v>
      </c>
      <c r="AR155" s="113">
        <v>0</v>
      </c>
      <c r="AS155" s="113">
        <v>0</v>
      </c>
      <c r="AT155" s="113">
        <v>0</v>
      </c>
      <c r="AU155" s="113">
        <v>0</v>
      </c>
      <c r="AV155" s="113">
        <v>0</v>
      </c>
      <c r="AW155" s="113">
        <v>0</v>
      </c>
      <c r="AX155" s="113">
        <v>0</v>
      </c>
      <c r="AY155" s="113">
        <v>0</v>
      </c>
      <c r="AZ155" s="113">
        <v>0</v>
      </c>
      <c r="BA155" s="113">
        <v>0</v>
      </c>
      <c r="BB155" s="113">
        <v>0</v>
      </c>
      <c r="BC155" s="113">
        <v>0</v>
      </c>
      <c r="BD155" s="113">
        <v>0</v>
      </c>
      <c r="BF155" s="113">
        <f t="shared" si="8"/>
        <v>47024</v>
      </c>
      <c r="BG155" s="113">
        <f t="shared" si="9"/>
        <v>715</v>
      </c>
      <c r="BH155" s="113">
        <f t="shared" si="10"/>
        <v>88</v>
      </c>
      <c r="BI155" s="113">
        <f t="shared" si="11"/>
        <v>3486</v>
      </c>
    </row>
    <row r="156" spans="1:61">
      <c r="A156" s="102" t="s">
        <v>223</v>
      </c>
      <c r="B156" s="24" t="s">
        <v>570</v>
      </c>
      <c r="C156" s="103" t="s">
        <v>224</v>
      </c>
      <c r="D156" s="113">
        <v>0</v>
      </c>
      <c r="E156" s="113">
        <v>184871</v>
      </c>
      <c r="F156" s="113">
        <v>3554</v>
      </c>
      <c r="G156" s="113">
        <v>0</v>
      </c>
      <c r="H156" s="113">
        <v>0</v>
      </c>
      <c r="I156" s="113">
        <v>0</v>
      </c>
      <c r="J156" s="113">
        <v>0</v>
      </c>
      <c r="K156" s="113">
        <v>9478</v>
      </c>
      <c r="L156" s="113">
        <v>1313</v>
      </c>
      <c r="M156" s="113">
        <v>0</v>
      </c>
      <c r="N156" s="113">
        <v>0</v>
      </c>
      <c r="O156" s="113">
        <v>0</v>
      </c>
      <c r="P156" s="113">
        <v>0</v>
      </c>
      <c r="Q156" s="113">
        <v>0</v>
      </c>
      <c r="R156" s="113">
        <v>0</v>
      </c>
      <c r="S156" s="113">
        <v>0</v>
      </c>
      <c r="T156" s="113">
        <v>0</v>
      </c>
      <c r="U156" s="113">
        <v>0</v>
      </c>
      <c r="V156" s="113">
        <v>0</v>
      </c>
      <c r="W156" s="113">
        <v>0</v>
      </c>
      <c r="X156" s="113">
        <v>0</v>
      </c>
      <c r="Y156" s="113">
        <v>0</v>
      </c>
      <c r="Z156" s="113">
        <v>0</v>
      </c>
      <c r="AA156" s="113">
        <v>0</v>
      </c>
      <c r="AB156" s="113">
        <v>0</v>
      </c>
      <c r="AC156" s="113">
        <v>0</v>
      </c>
      <c r="AD156" s="113">
        <v>89509</v>
      </c>
      <c r="AE156" s="113">
        <v>1717</v>
      </c>
      <c r="AF156" s="113">
        <v>0</v>
      </c>
      <c r="AG156" s="113">
        <v>0</v>
      </c>
      <c r="AH156" s="113">
        <v>0</v>
      </c>
      <c r="AI156" s="113">
        <v>0</v>
      </c>
      <c r="AJ156" s="113">
        <v>0</v>
      </c>
      <c r="AK156" s="113">
        <v>0</v>
      </c>
      <c r="AL156" s="113">
        <v>0</v>
      </c>
      <c r="AM156" s="113">
        <v>0</v>
      </c>
      <c r="AN156" s="113">
        <v>0</v>
      </c>
      <c r="AO156" s="113">
        <v>0</v>
      </c>
      <c r="AP156" s="113">
        <v>0</v>
      </c>
      <c r="AQ156" s="113">
        <v>0</v>
      </c>
      <c r="AR156" s="113">
        <v>0</v>
      </c>
      <c r="AS156" s="113">
        <v>0</v>
      </c>
      <c r="AT156" s="113">
        <v>0</v>
      </c>
      <c r="AU156" s="113">
        <v>0</v>
      </c>
      <c r="AV156" s="113">
        <v>0</v>
      </c>
      <c r="AW156" s="113">
        <v>0</v>
      </c>
      <c r="AX156" s="113">
        <v>0</v>
      </c>
      <c r="AY156" s="113">
        <v>34236</v>
      </c>
      <c r="AZ156" s="113">
        <v>657</v>
      </c>
      <c r="BA156" s="113">
        <v>0</v>
      </c>
      <c r="BB156" s="113">
        <v>8582</v>
      </c>
      <c r="BC156" s="113">
        <v>164</v>
      </c>
      <c r="BD156" s="113">
        <v>0</v>
      </c>
      <c r="BF156" s="113">
        <f t="shared" si="8"/>
        <v>283858</v>
      </c>
      <c r="BG156" s="113">
        <f t="shared" si="9"/>
        <v>6584</v>
      </c>
      <c r="BH156" s="113">
        <f t="shared" si="10"/>
        <v>0</v>
      </c>
      <c r="BI156" s="113">
        <f t="shared" si="11"/>
        <v>0</v>
      </c>
    </row>
    <row r="157" spans="1:61">
      <c r="A157" s="102" t="s">
        <v>225</v>
      </c>
      <c r="B157" s="24" t="s">
        <v>226</v>
      </c>
      <c r="C157" s="103" t="s">
        <v>226</v>
      </c>
      <c r="D157" s="113">
        <v>0</v>
      </c>
      <c r="E157" s="113">
        <v>27490</v>
      </c>
      <c r="F157" s="113">
        <v>647</v>
      </c>
      <c r="G157" s="113">
        <v>0</v>
      </c>
      <c r="H157" s="113">
        <v>0</v>
      </c>
      <c r="I157" s="113">
        <v>0</v>
      </c>
      <c r="J157" s="113">
        <v>0</v>
      </c>
      <c r="K157" s="113">
        <v>4484</v>
      </c>
      <c r="L157" s="113">
        <v>105</v>
      </c>
      <c r="M157" s="113">
        <v>0</v>
      </c>
      <c r="N157" s="113">
        <v>0</v>
      </c>
      <c r="O157" s="113">
        <v>0</v>
      </c>
      <c r="P157" s="113">
        <v>0</v>
      </c>
      <c r="Q157" s="113">
        <v>0</v>
      </c>
      <c r="R157" s="113">
        <v>0</v>
      </c>
      <c r="S157" s="113">
        <v>0</v>
      </c>
      <c r="T157" s="113">
        <v>0</v>
      </c>
      <c r="U157" s="113">
        <v>0</v>
      </c>
      <c r="V157" s="113">
        <v>0</v>
      </c>
      <c r="W157" s="113">
        <v>0</v>
      </c>
      <c r="X157" s="113">
        <v>0</v>
      </c>
      <c r="Y157" s="113">
        <v>0</v>
      </c>
      <c r="Z157" s="113">
        <v>0</v>
      </c>
      <c r="AA157" s="113">
        <v>0</v>
      </c>
      <c r="AB157" s="113">
        <v>0</v>
      </c>
      <c r="AC157" s="113">
        <v>0</v>
      </c>
      <c r="AD157" s="113">
        <v>17294</v>
      </c>
      <c r="AE157" s="113">
        <v>406</v>
      </c>
      <c r="AF157" s="113">
        <v>0</v>
      </c>
      <c r="AG157" s="113">
        <v>0</v>
      </c>
      <c r="AH157" s="113">
        <v>0</v>
      </c>
      <c r="AI157" s="113">
        <v>0</v>
      </c>
      <c r="AJ157" s="113">
        <v>0</v>
      </c>
      <c r="AK157" s="113">
        <v>0</v>
      </c>
      <c r="AL157" s="113">
        <v>0</v>
      </c>
      <c r="AM157" s="113">
        <v>0</v>
      </c>
      <c r="AN157" s="113">
        <v>0</v>
      </c>
      <c r="AO157" s="113">
        <v>0</v>
      </c>
      <c r="AP157" s="113">
        <v>0</v>
      </c>
      <c r="AQ157" s="113">
        <v>0</v>
      </c>
      <c r="AR157" s="113">
        <v>0</v>
      </c>
      <c r="AS157" s="113">
        <v>0</v>
      </c>
      <c r="AT157" s="113">
        <v>0</v>
      </c>
      <c r="AU157" s="113">
        <v>0</v>
      </c>
      <c r="AV157" s="113">
        <v>0</v>
      </c>
      <c r="AW157" s="113">
        <v>0</v>
      </c>
      <c r="AX157" s="113">
        <v>0</v>
      </c>
      <c r="AY157" s="113">
        <v>3725</v>
      </c>
      <c r="AZ157" s="113">
        <v>88</v>
      </c>
      <c r="BA157" s="113">
        <v>0</v>
      </c>
      <c r="BB157" s="113">
        <v>1211</v>
      </c>
      <c r="BC157" s="113">
        <v>28</v>
      </c>
      <c r="BD157" s="113">
        <v>0</v>
      </c>
      <c r="BF157" s="113">
        <f t="shared" si="8"/>
        <v>49268</v>
      </c>
      <c r="BG157" s="113">
        <f t="shared" si="9"/>
        <v>1158</v>
      </c>
      <c r="BH157" s="113">
        <f t="shared" si="10"/>
        <v>0</v>
      </c>
      <c r="BI157" s="113">
        <f t="shared" si="11"/>
        <v>0</v>
      </c>
    </row>
    <row r="158" spans="1:61">
      <c r="A158" s="102" t="s">
        <v>227</v>
      </c>
      <c r="B158" s="24" t="s">
        <v>571</v>
      </c>
      <c r="C158" s="103" t="s">
        <v>226</v>
      </c>
      <c r="D158" s="113">
        <v>0</v>
      </c>
      <c r="E158" s="113">
        <v>40895</v>
      </c>
      <c r="F158" s="113">
        <v>864</v>
      </c>
      <c r="G158" s="113">
        <v>0</v>
      </c>
      <c r="H158" s="113">
        <v>0</v>
      </c>
      <c r="I158" s="113">
        <v>0</v>
      </c>
      <c r="J158" s="113">
        <v>0</v>
      </c>
      <c r="K158" s="113">
        <v>6427</v>
      </c>
      <c r="L158" s="113">
        <v>137</v>
      </c>
      <c r="M158" s="113">
        <v>0</v>
      </c>
      <c r="N158" s="113">
        <v>0</v>
      </c>
      <c r="O158" s="113">
        <v>0</v>
      </c>
      <c r="P158" s="113">
        <v>0</v>
      </c>
      <c r="Q158" s="113">
        <v>0</v>
      </c>
      <c r="R158" s="113">
        <v>0</v>
      </c>
      <c r="S158" s="113">
        <v>0</v>
      </c>
      <c r="T158" s="113">
        <v>0</v>
      </c>
      <c r="U158" s="113">
        <v>0</v>
      </c>
      <c r="V158" s="113">
        <v>0</v>
      </c>
      <c r="W158" s="113">
        <v>0</v>
      </c>
      <c r="X158" s="113">
        <v>0</v>
      </c>
      <c r="Y158" s="113">
        <v>0</v>
      </c>
      <c r="Z158" s="113">
        <v>0</v>
      </c>
      <c r="AA158" s="113">
        <v>0</v>
      </c>
      <c r="AB158" s="113">
        <v>0</v>
      </c>
      <c r="AC158" s="113">
        <v>0</v>
      </c>
      <c r="AD158" s="113">
        <v>15184</v>
      </c>
      <c r="AE158" s="113">
        <v>320</v>
      </c>
      <c r="AF158" s="113">
        <v>0</v>
      </c>
      <c r="AG158" s="113">
        <v>0</v>
      </c>
      <c r="AH158" s="113">
        <v>0</v>
      </c>
      <c r="AI158" s="113">
        <v>0</v>
      </c>
      <c r="AJ158" s="113">
        <v>0</v>
      </c>
      <c r="AK158" s="113">
        <v>0</v>
      </c>
      <c r="AL158" s="113">
        <v>0</v>
      </c>
      <c r="AM158" s="113">
        <v>0</v>
      </c>
      <c r="AN158" s="113">
        <v>0</v>
      </c>
      <c r="AO158" s="113">
        <v>0</v>
      </c>
      <c r="AP158" s="113">
        <v>0</v>
      </c>
      <c r="AQ158" s="113">
        <v>0</v>
      </c>
      <c r="AR158" s="113">
        <v>0</v>
      </c>
      <c r="AS158" s="113">
        <v>0</v>
      </c>
      <c r="AT158" s="113">
        <v>0</v>
      </c>
      <c r="AU158" s="113">
        <v>0</v>
      </c>
      <c r="AV158" s="113">
        <v>0</v>
      </c>
      <c r="AW158" s="113">
        <v>0</v>
      </c>
      <c r="AX158" s="113">
        <v>0</v>
      </c>
      <c r="AY158" s="113">
        <v>6847</v>
      </c>
      <c r="AZ158" s="113">
        <v>144</v>
      </c>
      <c r="BA158" s="113">
        <v>0</v>
      </c>
      <c r="BB158" s="113">
        <v>1511</v>
      </c>
      <c r="BC158" s="113">
        <v>32</v>
      </c>
      <c r="BD158" s="113">
        <v>0</v>
      </c>
      <c r="BF158" s="113">
        <f t="shared" si="8"/>
        <v>62506</v>
      </c>
      <c r="BG158" s="113">
        <f t="shared" si="9"/>
        <v>1321</v>
      </c>
      <c r="BH158" s="113">
        <f t="shared" si="10"/>
        <v>0</v>
      </c>
      <c r="BI158" s="113">
        <f t="shared" si="11"/>
        <v>0</v>
      </c>
    </row>
    <row r="159" spans="1:61">
      <c r="A159" s="102" t="s">
        <v>228</v>
      </c>
      <c r="B159" s="24" t="s">
        <v>572</v>
      </c>
      <c r="C159" s="103" t="s">
        <v>226</v>
      </c>
      <c r="D159" s="113">
        <v>0</v>
      </c>
      <c r="E159" s="113">
        <v>12155</v>
      </c>
      <c r="F159" s="113">
        <v>361</v>
      </c>
      <c r="G159" s="113">
        <v>0</v>
      </c>
      <c r="H159" s="113">
        <v>0</v>
      </c>
      <c r="I159" s="113">
        <v>0</v>
      </c>
      <c r="J159" s="113">
        <v>0</v>
      </c>
      <c r="K159" s="113">
        <v>5144</v>
      </c>
      <c r="L159" s="113">
        <v>152</v>
      </c>
      <c r="M159" s="113">
        <v>0</v>
      </c>
      <c r="N159" s="113">
        <v>0</v>
      </c>
      <c r="O159" s="113">
        <v>0</v>
      </c>
      <c r="P159" s="113">
        <v>0</v>
      </c>
      <c r="Q159" s="113">
        <v>0</v>
      </c>
      <c r="R159" s="113">
        <v>0</v>
      </c>
      <c r="S159" s="113">
        <v>0</v>
      </c>
      <c r="T159" s="113">
        <v>0</v>
      </c>
      <c r="U159" s="113">
        <v>0</v>
      </c>
      <c r="V159" s="113">
        <v>0</v>
      </c>
      <c r="W159" s="113">
        <v>0</v>
      </c>
      <c r="X159" s="113">
        <v>0</v>
      </c>
      <c r="Y159" s="113">
        <v>0</v>
      </c>
      <c r="Z159" s="113">
        <v>0</v>
      </c>
      <c r="AA159" s="113">
        <v>0</v>
      </c>
      <c r="AB159" s="113">
        <v>0</v>
      </c>
      <c r="AC159" s="113">
        <v>0</v>
      </c>
      <c r="AD159" s="113">
        <v>0</v>
      </c>
      <c r="AE159" s="113">
        <v>0</v>
      </c>
      <c r="AF159" s="113">
        <v>0</v>
      </c>
      <c r="AG159" s="113">
        <v>0</v>
      </c>
      <c r="AH159" s="113">
        <v>0</v>
      </c>
      <c r="AI159" s="113">
        <v>0</v>
      </c>
      <c r="AJ159" s="113">
        <v>0</v>
      </c>
      <c r="AK159" s="113">
        <v>0</v>
      </c>
      <c r="AL159" s="113">
        <v>0</v>
      </c>
      <c r="AM159" s="113">
        <v>0</v>
      </c>
      <c r="AN159" s="113">
        <v>0</v>
      </c>
      <c r="AO159" s="113">
        <v>0</v>
      </c>
      <c r="AP159" s="113">
        <v>0</v>
      </c>
      <c r="AQ159" s="113">
        <v>0</v>
      </c>
      <c r="AR159" s="113">
        <v>0</v>
      </c>
      <c r="AS159" s="113">
        <v>0</v>
      </c>
      <c r="AT159" s="113">
        <v>0</v>
      </c>
      <c r="AU159" s="113">
        <v>0</v>
      </c>
      <c r="AV159" s="113">
        <v>0</v>
      </c>
      <c r="AW159" s="113">
        <v>0</v>
      </c>
      <c r="AX159" s="113">
        <v>0</v>
      </c>
      <c r="AY159" s="113">
        <v>1286</v>
      </c>
      <c r="AZ159" s="113">
        <v>38</v>
      </c>
      <c r="BA159" s="113">
        <v>0</v>
      </c>
      <c r="BB159" s="113">
        <v>0</v>
      </c>
      <c r="BC159" s="113">
        <v>0</v>
      </c>
      <c r="BD159" s="113">
        <v>0</v>
      </c>
      <c r="BF159" s="113">
        <f t="shared" si="8"/>
        <v>17299</v>
      </c>
      <c r="BG159" s="113">
        <f t="shared" si="9"/>
        <v>513</v>
      </c>
      <c r="BH159" s="113">
        <f t="shared" si="10"/>
        <v>0</v>
      </c>
      <c r="BI159" s="113">
        <f t="shared" si="11"/>
        <v>0</v>
      </c>
    </row>
    <row r="160" spans="1:61">
      <c r="A160" s="102" t="s">
        <v>229</v>
      </c>
      <c r="B160" s="24" t="s">
        <v>573</v>
      </c>
      <c r="C160" s="103" t="s">
        <v>230</v>
      </c>
      <c r="D160" s="113">
        <v>2194</v>
      </c>
      <c r="E160" s="113">
        <v>125769</v>
      </c>
      <c r="F160" s="113">
        <v>1892</v>
      </c>
      <c r="G160" s="113">
        <v>2124</v>
      </c>
      <c r="H160" s="113">
        <v>0</v>
      </c>
      <c r="I160" s="113">
        <v>0</v>
      </c>
      <c r="J160" s="113">
        <v>0</v>
      </c>
      <c r="K160" s="113">
        <v>22956</v>
      </c>
      <c r="L160" s="113">
        <v>352</v>
      </c>
      <c r="M160" s="113">
        <v>0</v>
      </c>
      <c r="N160" s="113">
        <v>124</v>
      </c>
      <c r="O160" s="113">
        <v>0</v>
      </c>
      <c r="P160" s="113">
        <v>0</v>
      </c>
      <c r="Q160" s="113">
        <v>0</v>
      </c>
      <c r="R160" s="113">
        <v>0</v>
      </c>
      <c r="S160" s="113">
        <v>0</v>
      </c>
      <c r="T160" s="113">
        <v>0</v>
      </c>
      <c r="U160" s="113">
        <v>0</v>
      </c>
      <c r="V160" s="113">
        <v>0</v>
      </c>
      <c r="W160" s="113">
        <v>0</v>
      </c>
      <c r="X160" s="113">
        <v>0</v>
      </c>
      <c r="Y160" s="113">
        <v>0</v>
      </c>
      <c r="Z160" s="113">
        <v>0</v>
      </c>
      <c r="AA160" s="113">
        <v>0</v>
      </c>
      <c r="AB160" s="113">
        <v>0</v>
      </c>
      <c r="AC160" s="113">
        <v>0</v>
      </c>
      <c r="AD160" s="113">
        <v>0</v>
      </c>
      <c r="AE160" s="113">
        <v>0</v>
      </c>
      <c r="AF160" s="113">
        <v>0</v>
      </c>
      <c r="AG160" s="113">
        <v>0</v>
      </c>
      <c r="AH160" s="113">
        <v>0</v>
      </c>
      <c r="AI160" s="113">
        <v>0</v>
      </c>
      <c r="AJ160" s="113">
        <v>0</v>
      </c>
      <c r="AK160" s="113">
        <v>0</v>
      </c>
      <c r="AL160" s="113">
        <v>0</v>
      </c>
      <c r="AM160" s="113">
        <v>0</v>
      </c>
      <c r="AN160" s="113">
        <v>0</v>
      </c>
      <c r="AO160" s="113">
        <v>0</v>
      </c>
      <c r="AP160" s="113">
        <v>0</v>
      </c>
      <c r="AQ160" s="113">
        <v>0</v>
      </c>
      <c r="AR160" s="113">
        <v>0</v>
      </c>
      <c r="AS160" s="113">
        <v>0</v>
      </c>
      <c r="AT160" s="113">
        <v>0</v>
      </c>
      <c r="AU160" s="113">
        <v>0</v>
      </c>
      <c r="AV160" s="113">
        <v>0</v>
      </c>
      <c r="AW160" s="113">
        <v>0</v>
      </c>
      <c r="AX160" s="113">
        <v>0</v>
      </c>
      <c r="AY160" s="113">
        <v>0</v>
      </c>
      <c r="AZ160" s="113">
        <v>0</v>
      </c>
      <c r="BA160" s="113">
        <v>0</v>
      </c>
      <c r="BB160" s="113">
        <v>0</v>
      </c>
      <c r="BC160" s="113">
        <v>0</v>
      </c>
      <c r="BD160" s="113">
        <v>0</v>
      </c>
      <c r="BF160" s="113">
        <f t="shared" si="8"/>
        <v>148725</v>
      </c>
      <c r="BG160" s="113">
        <f t="shared" si="9"/>
        <v>2244</v>
      </c>
      <c r="BH160" s="113">
        <f t="shared" si="10"/>
        <v>0</v>
      </c>
      <c r="BI160" s="113">
        <f t="shared" si="11"/>
        <v>4442</v>
      </c>
    </row>
    <row r="161" spans="1:61">
      <c r="A161" s="102" t="s">
        <v>231</v>
      </c>
      <c r="B161" s="24" t="s">
        <v>574</v>
      </c>
      <c r="C161" s="103" t="s">
        <v>232</v>
      </c>
      <c r="D161" s="113">
        <v>0</v>
      </c>
      <c r="E161" s="113">
        <v>140599</v>
      </c>
      <c r="F161" s="113">
        <v>1966</v>
      </c>
      <c r="G161" s="113">
        <v>0</v>
      </c>
      <c r="H161" s="113">
        <v>0</v>
      </c>
      <c r="I161" s="113">
        <v>0</v>
      </c>
      <c r="J161" s="113">
        <v>0</v>
      </c>
      <c r="K161" s="113">
        <v>32441</v>
      </c>
      <c r="L161" s="113">
        <v>433</v>
      </c>
      <c r="M161" s="113">
        <v>0</v>
      </c>
      <c r="N161" s="113">
        <v>0</v>
      </c>
      <c r="O161" s="113">
        <v>0</v>
      </c>
      <c r="P161" s="113">
        <v>0</v>
      </c>
      <c r="Q161" s="113">
        <v>0</v>
      </c>
      <c r="R161" s="113">
        <v>0</v>
      </c>
      <c r="S161" s="113">
        <v>0</v>
      </c>
      <c r="T161" s="113">
        <v>0</v>
      </c>
      <c r="U161" s="113">
        <v>0</v>
      </c>
      <c r="V161" s="113">
        <v>0</v>
      </c>
      <c r="W161" s="113">
        <v>0</v>
      </c>
      <c r="X161" s="113">
        <v>0</v>
      </c>
      <c r="Y161" s="113">
        <v>0</v>
      </c>
      <c r="Z161" s="113">
        <v>0</v>
      </c>
      <c r="AA161" s="113">
        <v>0</v>
      </c>
      <c r="AB161" s="113">
        <v>0</v>
      </c>
      <c r="AC161" s="113">
        <v>0</v>
      </c>
      <c r="AD161" s="113">
        <v>124305</v>
      </c>
      <c r="AE161" s="113">
        <v>1552</v>
      </c>
      <c r="AF161" s="113">
        <v>0</v>
      </c>
      <c r="AG161" s="113">
        <v>0</v>
      </c>
      <c r="AH161" s="113">
        <v>0</v>
      </c>
      <c r="AI161" s="113">
        <v>0</v>
      </c>
      <c r="AJ161" s="113">
        <v>0</v>
      </c>
      <c r="AK161" s="113">
        <v>0</v>
      </c>
      <c r="AL161" s="113">
        <v>0</v>
      </c>
      <c r="AM161" s="113">
        <v>0</v>
      </c>
      <c r="AN161" s="113">
        <v>0</v>
      </c>
      <c r="AO161" s="113">
        <v>0</v>
      </c>
      <c r="AP161" s="113">
        <v>0</v>
      </c>
      <c r="AQ161" s="113">
        <v>0</v>
      </c>
      <c r="AR161" s="113">
        <v>0</v>
      </c>
      <c r="AS161" s="113">
        <v>0</v>
      </c>
      <c r="AT161" s="113">
        <v>0</v>
      </c>
      <c r="AU161" s="113">
        <v>0</v>
      </c>
      <c r="AV161" s="113">
        <v>0</v>
      </c>
      <c r="AW161" s="113">
        <v>0</v>
      </c>
      <c r="AX161" s="113">
        <v>0</v>
      </c>
      <c r="AY161" s="113">
        <v>38048</v>
      </c>
      <c r="AZ161" s="113">
        <v>533</v>
      </c>
      <c r="BA161" s="113">
        <v>0</v>
      </c>
      <c r="BB161" s="113">
        <v>7534</v>
      </c>
      <c r="BC161" s="113">
        <v>74</v>
      </c>
      <c r="BD161" s="113">
        <v>0</v>
      </c>
      <c r="BF161" s="113">
        <f t="shared" si="8"/>
        <v>297345</v>
      </c>
      <c r="BG161" s="113">
        <f t="shared" si="9"/>
        <v>3951</v>
      </c>
      <c r="BH161" s="113">
        <f t="shared" si="10"/>
        <v>0</v>
      </c>
      <c r="BI161" s="113">
        <f t="shared" si="11"/>
        <v>0</v>
      </c>
    </row>
    <row r="162" spans="1:61">
      <c r="A162" s="102" t="s">
        <v>233</v>
      </c>
      <c r="B162" s="24" t="s">
        <v>575</v>
      </c>
      <c r="C162" s="103" t="s">
        <v>234</v>
      </c>
      <c r="D162" s="113">
        <v>0</v>
      </c>
      <c r="E162" s="113">
        <v>30767</v>
      </c>
      <c r="F162" s="113">
        <v>459</v>
      </c>
      <c r="G162" s="113">
        <v>0</v>
      </c>
      <c r="H162" s="113">
        <v>0</v>
      </c>
      <c r="I162" s="113">
        <v>0</v>
      </c>
      <c r="J162" s="113">
        <v>0</v>
      </c>
      <c r="K162" s="113">
        <v>8140</v>
      </c>
      <c r="L162" s="113">
        <v>120</v>
      </c>
      <c r="M162" s="113">
        <v>0</v>
      </c>
      <c r="N162" s="113">
        <v>0</v>
      </c>
      <c r="O162" s="113">
        <v>0</v>
      </c>
      <c r="P162" s="113">
        <v>0</v>
      </c>
      <c r="Q162" s="113">
        <v>0</v>
      </c>
      <c r="R162" s="113">
        <v>0</v>
      </c>
      <c r="S162" s="113">
        <v>0</v>
      </c>
      <c r="T162" s="113">
        <v>0</v>
      </c>
      <c r="U162" s="113">
        <v>0</v>
      </c>
      <c r="V162" s="113">
        <v>0</v>
      </c>
      <c r="W162" s="113">
        <v>0</v>
      </c>
      <c r="X162" s="113">
        <v>0</v>
      </c>
      <c r="Y162" s="113">
        <v>0</v>
      </c>
      <c r="Z162" s="113">
        <v>0</v>
      </c>
      <c r="AA162" s="113">
        <v>0</v>
      </c>
      <c r="AB162" s="113">
        <v>0</v>
      </c>
      <c r="AC162" s="113">
        <v>0</v>
      </c>
      <c r="AD162" s="113">
        <v>0</v>
      </c>
      <c r="AE162" s="113">
        <v>0</v>
      </c>
      <c r="AF162" s="113">
        <v>0</v>
      </c>
      <c r="AG162" s="113">
        <v>0</v>
      </c>
      <c r="AH162" s="113">
        <v>0</v>
      </c>
      <c r="AI162" s="113">
        <v>0</v>
      </c>
      <c r="AJ162" s="113">
        <v>0</v>
      </c>
      <c r="AK162" s="113">
        <v>0</v>
      </c>
      <c r="AL162" s="113">
        <v>0</v>
      </c>
      <c r="AM162" s="113">
        <v>0</v>
      </c>
      <c r="AN162" s="113">
        <v>0</v>
      </c>
      <c r="AO162" s="113">
        <v>0</v>
      </c>
      <c r="AP162" s="113">
        <v>0</v>
      </c>
      <c r="AQ162" s="113">
        <v>0</v>
      </c>
      <c r="AR162" s="113">
        <v>0</v>
      </c>
      <c r="AS162" s="113">
        <v>0</v>
      </c>
      <c r="AT162" s="113">
        <v>0</v>
      </c>
      <c r="AU162" s="113">
        <v>0</v>
      </c>
      <c r="AV162" s="113">
        <v>0</v>
      </c>
      <c r="AW162" s="113">
        <v>0</v>
      </c>
      <c r="AX162" s="113">
        <v>0</v>
      </c>
      <c r="AY162" s="113">
        <v>2035</v>
      </c>
      <c r="AZ162" s="113">
        <v>30</v>
      </c>
      <c r="BA162" s="113">
        <v>0</v>
      </c>
      <c r="BB162" s="113">
        <v>0</v>
      </c>
      <c r="BC162" s="113">
        <v>0</v>
      </c>
      <c r="BD162" s="113">
        <v>0</v>
      </c>
      <c r="BF162" s="113">
        <f t="shared" si="8"/>
        <v>38907</v>
      </c>
      <c r="BG162" s="113">
        <f t="shared" si="9"/>
        <v>579</v>
      </c>
      <c r="BH162" s="113">
        <f t="shared" si="10"/>
        <v>0</v>
      </c>
      <c r="BI162" s="113">
        <f t="shared" si="11"/>
        <v>0</v>
      </c>
    </row>
    <row r="163" spans="1:61">
      <c r="A163" s="102" t="s">
        <v>235</v>
      </c>
      <c r="B163" s="24" t="s">
        <v>576</v>
      </c>
      <c r="C163" s="103" t="s">
        <v>234</v>
      </c>
      <c r="D163" s="113">
        <v>0</v>
      </c>
      <c r="E163" s="113">
        <v>64098</v>
      </c>
      <c r="F163" s="113">
        <v>1170</v>
      </c>
      <c r="G163" s="113">
        <v>0</v>
      </c>
      <c r="H163" s="113">
        <v>0</v>
      </c>
      <c r="I163" s="113">
        <v>0</v>
      </c>
      <c r="J163" s="113">
        <v>0</v>
      </c>
      <c r="K163" s="113"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  <c r="Q163" s="113">
        <v>0</v>
      </c>
      <c r="R163" s="113">
        <v>0</v>
      </c>
      <c r="S163" s="113">
        <v>0</v>
      </c>
      <c r="T163" s="113">
        <v>0</v>
      </c>
      <c r="U163" s="113">
        <v>0</v>
      </c>
      <c r="V163" s="113">
        <v>0</v>
      </c>
      <c r="W163" s="113">
        <v>0</v>
      </c>
      <c r="X163" s="113">
        <v>0</v>
      </c>
      <c r="Y163" s="113">
        <v>0</v>
      </c>
      <c r="Z163" s="113">
        <v>0</v>
      </c>
      <c r="AA163" s="113">
        <v>0</v>
      </c>
      <c r="AB163" s="113">
        <v>0</v>
      </c>
      <c r="AC163" s="113">
        <v>0</v>
      </c>
      <c r="AD163" s="113">
        <v>36739</v>
      </c>
      <c r="AE163" s="113">
        <v>676</v>
      </c>
      <c r="AF163" s="113">
        <v>0</v>
      </c>
      <c r="AG163" s="113">
        <v>0</v>
      </c>
      <c r="AH163" s="113">
        <v>0</v>
      </c>
      <c r="AI163" s="113">
        <v>0</v>
      </c>
      <c r="AJ163" s="113">
        <v>0</v>
      </c>
      <c r="AK163" s="113">
        <v>0</v>
      </c>
      <c r="AL163" s="113">
        <v>0</v>
      </c>
      <c r="AM163" s="113">
        <v>0</v>
      </c>
      <c r="AN163" s="113">
        <v>0</v>
      </c>
      <c r="AO163" s="113">
        <v>0</v>
      </c>
      <c r="AP163" s="113">
        <v>0</v>
      </c>
      <c r="AQ163" s="113">
        <v>0</v>
      </c>
      <c r="AR163" s="113">
        <v>0</v>
      </c>
      <c r="AS163" s="113">
        <v>0</v>
      </c>
      <c r="AT163" s="113">
        <v>0</v>
      </c>
      <c r="AU163" s="113">
        <v>0</v>
      </c>
      <c r="AV163" s="113">
        <v>0</v>
      </c>
      <c r="AW163" s="113">
        <v>0</v>
      </c>
      <c r="AX163" s="113">
        <v>0</v>
      </c>
      <c r="AY163" s="113">
        <v>0</v>
      </c>
      <c r="AZ163" s="113">
        <v>0</v>
      </c>
      <c r="BA163" s="113">
        <v>0</v>
      </c>
      <c r="BB163" s="113">
        <v>0</v>
      </c>
      <c r="BC163" s="113">
        <v>0</v>
      </c>
      <c r="BD163" s="113">
        <v>0</v>
      </c>
      <c r="BF163" s="113">
        <f t="shared" si="8"/>
        <v>100837</v>
      </c>
      <c r="BG163" s="113">
        <f t="shared" si="9"/>
        <v>1846</v>
      </c>
      <c r="BH163" s="113">
        <f t="shared" si="10"/>
        <v>0</v>
      </c>
      <c r="BI163" s="113">
        <f t="shared" si="11"/>
        <v>0</v>
      </c>
    </row>
    <row r="164" spans="1:61">
      <c r="A164" s="102" t="s">
        <v>236</v>
      </c>
      <c r="B164" s="24" t="s">
        <v>577</v>
      </c>
      <c r="C164" s="103" t="s">
        <v>232</v>
      </c>
      <c r="D164" s="113">
        <v>0</v>
      </c>
      <c r="E164" s="113">
        <v>37612</v>
      </c>
      <c r="F164" s="113">
        <v>879</v>
      </c>
      <c r="G164" s="113">
        <v>0</v>
      </c>
      <c r="H164" s="113">
        <v>0</v>
      </c>
      <c r="I164" s="113">
        <v>0</v>
      </c>
      <c r="J164" s="113">
        <v>0</v>
      </c>
      <c r="K164" s="113">
        <v>0</v>
      </c>
      <c r="L164" s="113">
        <v>0</v>
      </c>
      <c r="M164" s="113">
        <v>0</v>
      </c>
      <c r="N164" s="113">
        <v>0</v>
      </c>
      <c r="O164" s="113">
        <v>0</v>
      </c>
      <c r="P164" s="113">
        <v>0</v>
      </c>
      <c r="Q164" s="113">
        <v>0</v>
      </c>
      <c r="R164" s="113">
        <v>0</v>
      </c>
      <c r="S164" s="113">
        <v>0</v>
      </c>
      <c r="T164" s="113">
        <v>0</v>
      </c>
      <c r="U164" s="113">
        <v>0</v>
      </c>
      <c r="V164" s="113">
        <v>0</v>
      </c>
      <c r="W164" s="113">
        <v>0</v>
      </c>
      <c r="X164" s="113">
        <v>0</v>
      </c>
      <c r="Y164" s="113">
        <v>0</v>
      </c>
      <c r="Z164" s="113">
        <v>0</v>
      </c>
      <c r="AA164" s="113">
        <v>0</v>
      </c>
      <c r="AB164" s="113">
        <v>0</v>
      </c>
      <c r="AC164" s="113">
        <v>0</v>
      </c>
      <c r="AD164" s="113">
        <v>60709</v>
      </c>
      <c r="AE164" s="113">
        <v>1401</v>
      </c>
      <c r="AF164" s="113">
        <v>0</v>
      </c>
      <c r="AG164" s="113">
        <v>0</v>
      </c>
      <c r="AH164" s="113">
        <v>0</v>
      </c>
      <c r="AI164" s="113">
        <v>0</v>
      </c>
      <c r="AJ164" s="113">
        <v>0</v>
      </c>
      <c r="AK164" s="113">
        <v>0</v>
      </c>
      <c r="AL164" s="113">
        <v>0</v>
      </c>
      <c r="AM164" s="113">
        <v>0</v>
      </c>
      <c r="AN164" s="113">
        <v>0</v>
      </c>
      <c r="AO164" s="113">
        <v>0</v>
      </c>
      <c r="AP164" s="113">
        <v>0</v>
      </c>
      <c r="AQ164" s="113">
        <v>0</v>
      </c>
      <c r="AR164" s="113">
        <v>0</v>
      </c>
      <c r="AS164" s="113">
        <v>0</v>
      </c>
      <c r="AT164" s="113">
        <v>0</v>
      </c>
      <c r="AU164" s="113">
        <v>0</v>
      </c>
      <c r="AV164" s="113">
        <v>0</v>
      </c>
      <c r="AW164" s="113">
        <v>0</v>
      </c>
      <c r="AX164" s="113">
        <v>0</v>
      </c>
      <c r="AY164" s="113">
        <v>9395</v>
      </c>
      <c r="AZ164" s="113">
        <v>220</v>
      </c>
      <c r="BA164" s="113">
        <v>0</v>
      </c>
      <c r="BB164" s="113">
        <v>0</v>
      </c>
      <c r="BC164" s="113">
        <v>0</v>
      </c>
      <c r="BD164" s="113">
        <v>0</v>
      </c>
      <c r="BF164" s="113">
        <f t="shared" si="8"/>
        <v>98321</v>
      </c>
      <c r="BG164" s="113">
        <f t="shared" si="9"/>
        <v>2280</v>
      </c>
      <c r="BH164" s="113">
        <f t="shared" si="10"/>
        <v>0</v>
      </c>
      <c r="BI164" s="113">
        <f t="shared" si="11"/>
        <v>0</v>
      </c>
    </row>
    <row r="165" spans="1:61">
      <c r="A165" s="102" t="s">
        <v>237</v>
      </c>
      <c r="B165" s="24" t="s">
        <v>578</v>
      </c>
      <c r="C165" s="103" t="s">
        <v>232</v>
      </c>
      <c r="D165" s="113">
        <v>0</v>
      </c>
      <c r="E165" s="113">
        <v>75477</v>
      </c>
      <c r="F165" s="113">
        <v>1069</v>
      </c>
      <c r="G165" s="113">
        <v>0</v>
      </c>
      <c r="H165" s="113">
        <v>0</v>
      </c>
      <c r="I165" s="113">
        <v>0</v>
      </c>
      <c r="J165" s="113">
        <v>0</v>
      </c>
      <c r="K165" s="113">
        <v>13332</v>
      </c>
      <c r="L165" s="113">
        <v>222</v>
      </c>
      <c r="M165" s="113">
        <v>0</v>
      </c>
      <c r="N165" s="113">
        <v>0</v>
      </c>
      <c r="O165" s="113">
        <v>0</v>
      </c>
      <c r="P165" s="113">
        <v>0</v>
      </c>
      <c r="Q165" s="113">
        <v>0</v>
      </c>
      <c r="R165" s="113">
        <v>0</v>
      </c>
      <c r="S165" s="113">
        <v>0</v>
      </c>
      <c r="T165" s="113">
        <v>0</v>
      </c>
      <c r="U165" s="113">
        <v>0</v>
      </c>
      <c r="V165" s="113">
        <v>0</v>
      </c>
      <c r="W165" s="113">
        <v>0</v>
      </c>
      <c r="X165" s="113">
        <v>0</v>
      </c>
      <c r="Y165" s="113">
        <v>0</v>
      </c>
      <c r="Z165" s="113">
        <v>0</v>
      </c>
      <c r="AA165" s="113">
        <v>0</v>
      </c>
      <c r="AB165" s="113">
        <v>0</v>
      </c>
      <c r="AC165" s="113">
        <v>0</v>
      </c>
      <c r="AD165" s="113">
        <v>46989</v>
      </c>
      <c r="AE165" s="113">
        <v>790</v>
      </c>
      <c r="AF165" s="113">
        <v>0</v>
      </c>
      <c r="AG165" s="113">
        <v>0</v>
      </c>
      <c r="AH165" s="113">
        <v>0</v>
      </c>
      <c r="AI165" s="113">
        <v>0</v>
      </c>
      <c r="AJ165" s="113">
        <v>0</v>
      </c>
      <c r="AK165" s="113">
        <v>0</v>
      </c>
      <c r="AL165" s="113">
        <v>0</v>
      </c>
      <c r="AM165" s="113">
        <v>0</v>
      </c>
      <c r="AN165" s="113">
        <v>0</v>
      </c>
      <c r="AO165" s="113">
        <v>0</v>
      </c>
      <c r="AP165" s="113">
        <v>0</v>
      </c>
      <c r="AQ165" s="113">
        <v>0</v>
      </c>
      <c r="AR165" s="113">
        <v>0</v>
      </c>
      <c r="AS165" s="113">
        <v>0</v>
      </c>
      <c r="AT165" s="113">
        <v>0</v>
      </c>
      <c r="AU165" s="113">
        <v>0</v>
      </c>
      <c r="AV165" s="113">
        <v>0</v>
      </c>
      <c r="AW165" s="113">
        <v>0</v>
      </c>
      <c r="AX165" s="113">
        <v>0</v>
      </c>
      <c r="AY165" s="113">
        <v>0</v>
      </c>
      <c r="AZ165" s="113">
        <v>0</v>
      </c>
      <c r="BA165" s="113">
        <v>0</v>
      </c>
      <c r="BB165" s="113">
        <v>0</v>
      </c>
      <c r="BC165" s="113">
        <v>0</v>
      </c>
      <c r="BD165" s="113">
        <v>0</v>
      </c>
      <c r="BF165" s="113">
        <f t="shared" si="8"/>
        <v>135798</v>
      </c>
      <c r="BG165" s="113">
        <f t="shared" si="9"/>
        <v>2081</v>
      </c>
      <c r="BH165" s="113">
        <f t="shared" si="10"/>
        <v>0</v>
      </c>
      <c r="BI165" s="113">
        <f t="shared" si="11"/>
        <v>0</v>
      </c>
    </row>
    <row r="166" spans="1:61">
      <c r="A166" s="102" t="s">
        <v>238</v>
      </c>
      <c r="B166" s="24" t="s">
        <v>579</v>
      </c>
      <c r="C166" s="103" t="s">
        <v>232</v>
      </c>
      <c r="D166" s="113">
        <v>0</v>
      </c>
      <c r="E166" s="113">
        <v>42983</v>
      </c>
      <c r="F166" s="113">
        <v>647</v>
      </c>
      <c r="G166" s="113">
        <v>0</v>
      </c>
      <c r="H166" s="113">
        <v>0</v>
      </c>
      <c r="I166" s="113">
        <v>0</v>
      </c>
      <c r="J166" s="113">
        <v>0</v>
      </c>
      <c r="K166" s="113">
        <v>0</v>
      </c>
      <c r="L166" s="113">
        <v>0</v>
      </c>
      <c r="M166" s="113">
        <v>0</v>
      </c>
      <c r="N166" s="113">
        <v>0</v>
      </c>
      <c r="O166" s="113">
        <v>0</v>
      </c>
      <c r="P166" s="113">
        <v>0</v>
      </c>
      <c r="Q166" s="113">
        <v>0</v>
      </c>
      <c r="R166" s="113">
        <v>0</v>
      </c>
      <c r="S166" s="113">
        <v>0</v>
      </c>
      <c r="T166" s="113">
        <v>0</v>
      </c>
      <c r="U166" s="113">
        <v>0</v>
      </c>
      <c r="V166" s="113">
        <v>0</v>
      </c>
      <c r="W166" s="113">
        <v>0</v>
      </c>
      <c r="X166" s="113">
        <v>0</v>
      </c>
      <c r="Y166" s="113">
        <v>0</v>
      </c>
      <c r="Z166" s="113">
        <v>0</v>
      </c>
      <c r="AA166" s="113">
        <v>0</v>
      </c>
      <c r="AB166" s="113">
        <v>0</v>
      </c>
      <c r="AC166" s="113">
        <v>0</v>
      </c>
      <c r="AD166" s="113">
        <v>31760</v>
      </c>
      <c r="AE166" s="113">
        <v>478</v>
      </c>
      <c r="AF166" s="113">
        <v>0</v>
      </c>
      <c r="AG166" s="113">
        <v>0</v>
      </c>
      <c r="AH166" s="113">
        <v>0</v>
      </c>
      <c r="AI166" s="113">
        <v>0</v>
      </c>
      <c r="AJ166" s="113">
        <v>0</v>
      </c>
      <c r="AK166" s="113">
        <v>0</v>
      </c>
      <c r="AL166" s="113">
        <v>0</v>
      </c>
      <c r="AM166" s="113">
        <v>0</v>
      </c>
      <c r="AN166" s="113">
        <v>0</v>
      </c>
      <c r="AO166" s="113">
        <v>0</v>
      </c>
      <c r="AP166" s="113">
        <v>0</v>
      </c>
      <c r="AQ166" s="113">
        <v>0</v>
      </c>
      <c r="AR166" s="113">
        <v>0</v>
      </c>
      <c r="AS166" s="113">
        <v>0</v>
      </c>
      <c r="AT166" s="113">
        <v>0</v>
      </c>
      <c r="AU166" s="113">
        <v>0</v>
      </c>
      <c r="AV166" s="113">
        <v>0</v>
      </c>
      <c r="AW166" s="113">
        <v>0</v>
      </c>
      <c r="AX166" s="113">
        <v>0</v>
      </c>
      <c r="AY166" s="113">
        <v>0</v>
      </c>
      <c r="AZ166" s="113">
        <v>0</v>
      </c>
      <c r="BA166" s="113">
        <v>0</v>
      </c>
      <c r="BB166" s="113">
        <v>0</v>
      </c>
      <c r="BC166" s="113">
        <v>0</v>
      </c>
      <c r="BD166" s="113">
        <v>0</v>
      </c>
      <c r="BF166" s="113">
        <f t="shared" si="8"/>
        <v>74743</v>
      </c>
      <c r="BG166" s="113">
        <f t="shared" si="9"/>
        <v>1125</v>
      </c>
      <c r="BH166" s="113">
        <f t="shared" si="10"/>
        <v>0</v>
      </c>
      <c r="BI166" s="113">
        <f t="shared" si="11"/>
        <v>0</v>
      </c>
    </row>
    <row r="167" spans="1:61">
      <c r="A167" s="102" t="s">
        <v>239</v>
      </c>
      <c r="B167" s="24" t="s">
        <v>580</v>
      </c>
      <c r="C167" s="103" t="s">
        <v>232</v>
      </c>
      <c r="D167" s="113">
        <v>0</v>
      </c>
      <c r="E167" s="113">
        <v>11007</v>
      </c>
      <c r="F167" s="113">
        <v>304</v>
      </c>
      <c r="G167" s="113">
        <v>0</v>
      </c>
      <c r="H167" s="113">
        <v>0</v>
      </c>
      <c r="I167" s="113">
        <v>0</v>
      </c>
      <c r="J167" s="113">
        <v>0</v>
      </c>
      <c r="K167" s="113">
        <v>5042</v>
      </c>
      <c r="L167" s="113">
        <v>131</v>
      </c>
      <c r="M167" s="113">
        <v>0</v>
      </c>
      <c r="N167" s="113">
        <v>0</v>
      </c>
      <c r="O167" s="113">
        <v>0</v>
      </c>
      <c r="P167" s="113">
        <v>0</v>
      </c>
      <c r="Q167" s="113">
        <v>0</v>
      </c>
      <c r="R167" s="113">
        <v>0</v>
      </c>
      <c r="S167" s="113">
        <v>0</v>
      </c>
      <c r="T167" s="113">
        <v>0</v>
      </c>
      <c r="U167" s="113">
        <v>0</v>
      </c>
      <c r="V167" s="113">
        <v>0</v>
      </c>
      <c r="W167" s="113">
        <v>0</v>
      </c>
      <c r="X167" s="113">
        <v>0</v>
      </c>
      <c r="Y167" s="113">
        <v>0</v>
      </c>
      <c r="Z167" s="113">
        <v>0</v>
      </c>
      <c r="AA167" s="113">
        <v>0</v>
      </c>
      <c r="AB167" s="113">
        <v>0</v>
      </c>
      <c r="AC167" s="113">
        <v>0</v>
      </c>
      <c r="AD167" s="113">
        <v>0</v>
      </c>
      <c r="AE167" s="113">
        <v>0</v>
      </c>
      <c r="AF167" s="113">
        <v>0</v>
      </c>
      <c r="AG167" s="113">
        <v>0</v>
      </c>
      <c r="AH167" s="113">
        <v>0</v>
      </c>
      <c r="AI167" s="113">
        <v>0</v>
      </c>
      <c r="AJ167" s="113">
        <v>0</v>
      </c>
      <c r="AK167" s="113">
        <v>0</v>
      </c>
      <c r="AL167" s="113">
        <v>0</v>
      </c>
      <c r="AM167" s="113">
        <v>0</v>
      </c>
      <c r="AN167" s="113">
        <v>0</v>
      </c>
      <c r="AO167" s="113">
        <v>0</v>
      </c>
      <c r="AP167" s="113">
        <v>0</v>
      </c>
      <c r="AQ167" s="113">
        <v>0</v>
      </c>
      <c r="AR167" s="113">
        <v>0</v>
      </c>
      <c r="AS167" s="113">
        <v>0</v>
      </c>
      <c r="AT167" s="113">
        <v>0</v>
      </c>
      <c r="AU167" s="113">
        <v>0</v>
      </c>
      <c r="AV167" s="113">
        <v>0</v>
      </c>
      <c r="AW167" s="113">
        <v>0</v>
      </c>
      <c r="AX167" s="113">
        <v>0</v>
      </c>
      <c r="AY167" s="113">
        <v>2873</v>
      </c>
      <c r="AZ167" s="113">
        <v>48</v>
      </c>
      <c r="BA167" s="113">
        <v>0</v>
      </c>
      <c r="BB167" s="113">
        <v>0</v>
      </c>
      <c r="BC167" s="113">
        <v>0</v>
      </c>
      <c r="BD167" s="113">
        <v>0</v>
      </c>
      <c r="BF167" s="113">
        <f t="shared" si="8"/>
        <v>16049</v>
      </c>
      <c r="BG167" s="113">
        <f t="shared" si="9"/>
        <v>435</v>
      </c>
      <c r="BH167" s="113">
        <f t="shared" si="10"/>
        <v>0</v>
      </c>
      <c r="BI167" s="113">
        <f t="shared" si="11"/>
        <v>0</v>
      </c>
    </row>
    <row r="168" spans="1:61">
      <c r="A168" s="102" t="s">
        <v>240</v>
      </c>
      <c r="B168" s="24" t="s">
        <v>581</v>
      </c>
      <c r="C168" s="103" t="s">
        <v>232</v>
      </c>
      <c r="D168" s="113">
        <v>0</v>
      </c>
      <c r="E168" s="113">
        <v>24847</v>
      </c>
      <c r="F168" s="113">
        <v>300</v>
      </c>
      <c r="G168" s="113">
        <v>0</v>
      </c>
      <c r="H168" s="113">
        <v>0</v>
      </c>
      <c r="I168" s="113">
        <v>0</v>
      </c>
      <c r="J168" s="113">
        <v>0</v>
      </c>
      <c r="K168" s="113">
        <v>1459</v>
      </c>
      <c r="L168" s="113">
        <v>30</v>
      </c>
      <c r="M168" s="113">
        <v>0</v>
      </c>
      <c r="N168" s="113">
        <v>0</v>
      </c>
      <c r="O168" s="113">
        <v>0</v>
      </c>
      <c r="P168" s="113">
        <v>0</v>
      </c>
      <c r="Q168" s="113">
        <v>0</v>
      </c>
      <c r="R168" s="113">
        <v>0</v>
      </c>
      <c r="S168" s="113">
        <v>0</v>
      </c>
      <c r="T168" s="113">
        <v>0</v>
      </c>
      <c r="U168" s="113">
        <v>0</v>
      </c>
      <c r="V168" s="113">
        <v>0</v>
      </c>
      <c r="W168" s="113">
        <v>0</v>
      </c>
      <c r="X168" s="113">
        <v>0</v>
      </c>
      <c r="Y168" s="113">
        <v>0</v>
      </c>
      <c r="Z168" s="113">
        <v>0</v>
      </c>
      <c r="AA168" s="113">
        <v>0</v>
      </c>
      <c r="AB168" s="113">
        <v>0</v>
      </c>
      <c r="AC168" s="113">
        <v>0</v>
      </c>
      <c r="AD168" s="113">
        <v>22585</v>
      </c>
      <c r="AE168" s="113">
        <v>246</v>
      </c>
      <c r="AF168" s="113">
        <v>0</v>
      </c>
      <c r="AG168" s="113">
        <v>0</v>
      </c>
      <c r="AH168" s="113">
        <v>0</v>
      </c>
      <c r="AI168" s="113">
        <v>0</v>
      </c>
      <c r="AJ168" s="113">
        <v>0</v>
      </c>
      <c r="AK168" s="113">
        <v>0</v>
      </c>
      <c r="AL168" s="113">
        <v>0</v>
      </c>
      <c r="AM168" s="113">
        <v>0</v>
      </c>
      <c r="AN168" s="113">
        <v>0</v>
      </c>
      <c r="AO168" s="113">
        <v>0</v>
      </c>
      <c r="AP168" s="113">
        <v>0</v>
      </c>
      <c r="AQ168" s="113">
        <v>0</v>
      </c>
      <c r="AR168" s="113">
        <v>0</v>
      </c>
      <c r="AS168" s="113">
        <v>0</v>
      </c>
      <c r="AT168" s="113">
        <v>0</v>
      </c>
      <c r="AU168" s="113">
        <v>0</v>
      </c>
      <c r="AV168" s="113">
        <v>0</v>
      </c>
      <c r="AW168" s="113">
        <v>0</v>
      </c>
      <c r="AX168" s="113">
        <v>0</v>
      </c>
      <c r="AY168" s="113">
        <v>1343</v>
      </c>
      <c r="AZ168" s="113">
        <v>13</v>
      </c>
      <c r="BA168" s="113">
        <v>0</v>
      </c>
      <c r="BB168" s="113">
        <v>0</v>
      </c>
      <c r="BC168" s="113">
        <v>0</v>
      </c>
      <c r="BD168" s="113">
        <v>0</v>
      </c>
      <c r="BF168" s="113">
        <f t="shared" si="8"/>
        <v>48891</v>
      </c>
      <c r="BG168" s="113">
        <f t="shared" si="9"/>
        <v>576</v>
      </c>
      <c r="BH168" s="113">
        <f t="shared" si="10"/>
        <v>0</v>
      </c>
      <c r="BI168" s="113">
        <f t="shared" si="11"/>
        <v>0</v>
      </c>
    </row>
    <row r="169" spans="1:61">
      <c r="A169" s="102" t="s">
        <v>241</v>
      </c>
      <c r="B169" s="24" t="s">
        <v>582</v>
      </c>
      <c r="C169" s="103" t="s">
        <v>242</v>
      </c>
      <c r="D169" s="113">
        <v>0</v>
      </c>
      <c r="E169" s="113">
        <v>84769</v>
      </c>
      <c r="F169" s="113">
        <v>1528</v>
      </c>
      <c r="G169" s="113">
        <v>0</v>
      </c>
      <c r="H169" s="113">
        <v>0</v>
      </c>
      <c r="I169" s="113">
        <v>0</v>
      </c>
      <c r="J169" s="113">
        <v>0</v>
      </c>
      <c r="K169" s="113">
        <v>23534</v>
      </c>
      <c r="L169" s="113">
        <v>423</v>
      </c>
      <c r="M169" s="113">
        <v>0</v>
      </c>
      <c r="N169" s="113">
        <v>0</v>
      </c>
      <c r="O169" s="113">
        <v>0</v>
      </c>
      <c r="P169" s="113">
        <v>0</v>
      </c>
      <c r="Q169" s="113">
        <v>0</v>
      </c>
      <c r="R169" s="113">
        <v>0</v>
      </c>
      <c r="S169" s="113">
        <v>0</v>
      </c>
      <c r="T169" s="113">
        <v>0</v>
      </c>
      <c r="U169" s="113">
        <v>0</v>
      </c>
      <c r="V169" s="113">
        <v>0</v>
      </c>
      <c r="W169" s="113">
        <v>0</v>
      </c>
      <c r="X169" s="113">
        <v>0</v>
      </c>
      <c r="Y169" s="113">
        <v>0</v>
      </c>
      <c r="Z169" s="113">
        <v>0</v>
      </c>
      <c r="AA169" s="113">
        <v>0</v>
      </c>
      <c r="AB169" s="113">
        <v>0</v>
      </c>
      <c r="AC169" s="113">
        <v>0</v>
      </c>
      <c r="AD169" s="113">
        <v>0</v>
      </c>
      <c r="AE169" s="113">
        <v>0</v>
      </c>
      <c r="AF169" s="113">
        <v>0</v>
      </c>
      <c r="AG169" s="113">
        <v>0</v>
      </c>
      <c r="AH169" s="113">
        <v>0</v>
      </c>
      <c r="AI169" s="113">
        <v>0</v>
      </c>
      <c r="AJ169" s="113">
        <v>0</v>
      </c>
      <c r="AK169" s="113">
        <v>0</v>
      </c>
      <c r="AL169" s="113">
        <v>0</v>
      </c>
      <c r="AM169" s="113">
        <v>0</v>
      </c>
      <c r="AN169" s="113">
        <v>0</v>
      </c>
      <c r="AO169" s="113">
        <v>0</v>
      </c>
      <c r="AP169" s="113">
        <v>0</v>
      </c>
      <c r="AQ169" s="113">
        <v>0</v>
      </c>
      <c r="AR169" s="113">
        <v>0</v>
      </c>
      <c r="AS169" s="113">
        <v>0</v>
      </c>
      <c r="AT169" s="113">
        <v>0</v>
      </c>
      <c r="AU169" s="113">
        <v>0</v>
      </c>
      <c r="AV169" s="113">
        <v>0</v>
      </c>
      <c r="AW169" s="113">
        <v>0</v>
      </c>
      <c r="AX169" s="113">
        <v>0</v>
      </c>
      <c r="AY169" s="113">
        <v>0</v>
      </c>
      <c r="AZ169" s="113">
        <v>0</v>
      </c>
      <c r="BA169" s="113">
        <v>0</v>
      </c>
      <c r="BB169" s="113">
        <v>0</v>
      </c>
      <c r="BC169" s="113">
        <v>0</v>
      </c>
      <c r="BD169" s="113">
        <v>0</v>
      </c>
      <c r="BF169" s="113">
        <f t="shared" si="8"/>
        <v>108303</v>
      </c>
      <c r="BG169" s="113">
        <f t="shared" si="9"/>
        <v>1951</v>
      </c>
      <c r="BH169" s="113">
        <f t="shared" si="10"/>
        <v>0</v>
      </c>
      <c r="BI169" s="113">
        <f t="shared" si="11"/>
        <v>0</v>
      </c>
    </row>
    <row r="170" spans="1:61">
      <c r="A170" s="102" t="s">
        <v>243</v>
      </c>
      <c r="B170" s="24" t="s">
        <v>583</v>
      </c>
      <c r="C170" s="103" t="s">
        <v>217</v>
      </c>
      <c r="D170" s="113">
        <v>0</v>
      </c>
      <c r="E170" s="113">
        <v>121075</v>
      </c>
      <c r="F170" s="113">
        <v>4453</v>
      </c>
      <c r="G170" s="113">
        <v>0</v>
      </c>
      <c r="H170" s="113">
        <v>0</v>
      </c>
      <c r="I170" s="113">
        <v>0</v>
      </c>
      <c r="J170" s="113">
        <v>0</v>
      </c>
      <c r="K170" s="113">
        <v>44735</v>
      </c>
      <c r="L170" s="113">
        <v>1650</v>
      </c>
      <c r="M170" s="113">
        <v>0</v>
      </c>
      <c r="N170" s="113">
        <v>0</v>
      </c>
      <c r="O170" s="113">
        <v>0</v>
      </c>
      <c r="P170" s="113">
        <v>0</v>
      </c>
      <c r="Q170" s="113">
        <v>0</v>
      </c>
      <c r="R170" s="113">
        <v>0</v>
      </c>
      <c r="S170" s="113">
        <v>0</v>
      </c>
      <c r="T170" s="113">
        <v>0</v>
      </c>
      <c r="U170" s="113">
        <v>0</v>
      </c>
      <c r="V170" s="113">
        <v>0</v>
      </c>
      <c r="W170" s="113">
        <v>0</v>
      </c>
      <c r="X170" s="113">
        <v>0</v>
      </c>
      <c r="Y170" s="113">
        <v>0</v>
      </c>
      <c r="Z170" s="113">
        <v>0</v>
      </c>
      <c r="AA170" s="113">
        <v>0</v>
      </c>
      <c r="AB170" s="113">
        <v>0</v>
      </c>
      <c r="AC170" s="113">
        <v>0</v>
      </c>
      <c r="AD170" s="113">
        <v>42043</v>
      </c>
      <c r="AE170" s="113">
        <v>1554</v>
      </c>
      <c r="AF170" s="113">
        <v>0</v>
      </c>
      <c r="AG170" s="113">
        <v>0</v>
      </c>
      <c r="AH170" s="113">
        <v>0</v>
      </c>
      <c r="AI170" s="113">
        <v>0</v>
      </c>
      <c r="AJ170" s="113">
        <v>0</v>
      </c>
      <c r="AK170" s="113">
        <v>0</v>
      </c>
      <c r="AL170" s="113">
        <v>0</v>
      </c>
      <c r="AM170" s="113">
        <v>0</v>
      </c>
      <c r="AN170" s="113">
        <v>0</v>
      </c>
      <c r="AO170" s="113">
        <v>0</v>
      </c>
      <c r="AP170" s="113">
        <v>0</v>
      </c>
      <c r="AQ170" s="113">
        <v>0</v>
      </c>
      <c r="AR170" s="113">
        <v>0</v>
      </c>
      <c r="AS170" s="113">
        <v>0</v>
      </c>
      <c r="AT170" s="113">
        <v>0</v>
      </c>
      <c r="AU170" s="113">
        <v>0</v>
      </c>
      <c r="AV170" s="113">
        <v>0</v>
      </c>
      <c r="AW170" s="113">
        <v>0</v>
      </c>
      <c r="AX170" s="113">
        <v>0</v>
      </c>
      <c r="AY170" s="113">
        <v>0</v>
      </c>
      <c r="AZ170" s="113">
        <v>0</v>
      </c>
      <c r="BA170" s="113">
        <v>0</v>
      </c>
      <c r="BB170" s="113">
        <v>0</v>
      </c>
      <c r="BC170" s="113">
        <v>0</v>
      </c>
      <c r="BD170" s="113">
        <v>0</v>
      </c>
      <c r="BF170" s="113">
        <f t="shared" si="8"/>
        <v>207853</v>
      </c>
      <c r="BG170" s="113">
        <f t="shared" si="9"/>
        <v>7657</v>
      </c>
      <c r="BH170" s="113">
        <f t="shared" si="10"/>
        <v>0</v>
      </c>
      <c r="BI170" s="113">
        <f t="shared" si="11"/>
        <v>0</v>
      </c>
    </row>
    <row r="171" spans="1:61">
      <c r="A171" s="102" t="s">
        <v>244</v>
      </c>
      <c r="B171" s="24" t="s">
        <v>584</v>
      </c>
      <c r="C171" s="103" t="s">
        <v>245</v>
      </c>
      <c r="D171" s="113">
        <v>0</v>
      </c>
      <c r="E171" s="113">
        <v>25218</v>
      </c>
      <c r="F171" s="113">
        <v>527</v>
      </c>
      <c r="G171" s="113">
        <v>0</v>
      </c>
      <c r="H171" s="113">
        <v>0</v>
      </c>
      <c r="I171" s="113">
        <v>0</v>
      </c>
      <c r="J171" s="113">
        <v>0</v>
      </c>
      <c r="K171" s="113">
        <v>11546</v>
      </c>
      <c r="L171" s="113">
        <v>238</v>
      </c>
      <c r="M171" s="113">
        <v>0</v>
      </c>
      <c r="N171" s="113">
        <v>0</v>
      </c>
      <c r="O171" s="113">
        <v>0</v>
      </c>
      <c r="P171" s="113">
        <v>0</v>
      </c>
      <c r="Q171" s="113">
        <v>0</v>
      </c>
      <c r="R171" s="113">
        <v>0</v>
      </c>
      <c r="S171" s="113">
        <v>0</v>
      </c>
      <c r="T171" s="113">
        <v>0</v>
      </c>
      <c r="U171" s="113">
        <v>0</v>
      </c>
      <c r="V171" s="113">
        <v>0</v>
      </c>
      <c r="W171" s="113">
        <v>0</v>
      </c>
      <c r="X171" s="113">
        <v>0</v>
      </c>
      <c r="Y171" s="113">
        <v>0</v>
      </c>
      <c r="Z171" s="113">
        <v>0</v>
      </c>
      <c r="AA171" s="113">
        <v>0</v>
      </c>
      <c r="AB171" s="113">
        <v>0</v>
      </c>
      <c r="AC171" s="113">
        <v>0</v>
      </c>
      <c r="AD171" s="113">
        <v>22570</v>
      </c>
      <c r="AE171" s="113">
        <v>443</v>
      </c>
      <c r="AF171" s="113">
        <v>0</v>
      </c>
      <c r="AG171" s="113">
        <v>0</v>
      </c>
      <c r="AH171" s="113">
        <v>0</v>
      </c>
      <c r="AI171" s="113">
        <v>0</v>
      </c>
      <c r="AJ171" s="113">
        <v>0</v>
      </c>
      <c r="AK171" s="113">
        <v>0</v>
      </c>
      <c r="AL171" s="113">
        <v>0</v>
      </c>
      <c r="AM171" s="113">
        <v>0</v>
      </c>
      <c r="AN171" s="113">
        <v>0</v>
      </c>
      <c r="AO171" s="113">
        <v>0</v>
      </c>
      <c r="AP171" s="113">
        <v>0</v>
      </c>
      <c r="AQ171" s="113">
        <v>0</v>
      </c>
      <c r="AR171" s="113">
        <v>0</v>
      </c>
      <c r="AS171" s="113">
        <v>0</v>
      </c>
      <c r="AT171" s="113">
        <v>0</v>
      </c>
      <c r="AU171" s="113">
        <v>0</v>
      </c>
      <c r="AV171" s="113">
        <v>0</v>
      </c>
      <c r="AW171" s="113">
        <v>0</v>
      </c>
      <c r="AX171" s="113">
        <v>0</v>
      </c>
      <c r="AY171" s="113">
        <v>10932</v>
      </c>
      <c r="AZ171" s="113">
        <v>222</v>
      </c>
      <c r="BA171" s="113">
        <v>0</v>
      </c>
      <c r="BB171" s="113">
        <v>1452</v>
      </c>
      <c r="BC171" s="113">
        <v>29</v>
      </c>
      <c r="BD171" s="113">
        <v>0</v>
      </c>
      <c r="BF171" s="113">
        <f t="shared" si="8"/>
        <v>59334</v>
      </c>
      <c r="BG171" s="113">
        <f t="shared" si="9"/>
        <v>1208</v>
      </c>
      <c r="BH171" s="113">
        <f t="shared" si="10"/>
        <v>0</v>
      </c>
      <c r="BI171" s="113">
        <f t="shared" si="11"/>
        <v>0</v>
      </c>
    </row>
    <row r="172" spans="1:61">
      <c r="A172" s="102" t="s">
        <v>246</v>
      </c>
      <c r="B172" s="24" t="s">
        <v>585</v>
      </c>
      <c r="C172" s="103" t="s">
        <v>247</v>
      </c>
      <c r="D172" s="113">
        <v>0</v>
      </c>
      <c r="E172" s="113">
        <v>146074</v>
      </c>
      <c r="F172" s="113">
        <v>2110</v>
      </c>
      <c r="G172" s="113">
        <v>0</v>
      </c>
      <c r="H172" s="113">
        <v>0</v>
      </c>
      <c r="I172" s="113">
        <v>0</v>
      </c>
      <c r="J172" s="113">
        <v>0</v>
      </c>
      <c r="K172" s="113">
        <v>692</v>
      </c>
      <c r="L172" s="113">
        <v>13</v>
      </c>
      <c r="M172" s="113">
        <v>0</v>
      </c>
      <c r="N172" s="113">
        <v>0</v>
      </c>
      <c r="O172" s="113">
        <v>0</v>
      </c>
      <c r="P172" s="113">
        <v>0</v>
      </c>
      <c r="Q172" s="113">
        <v>0</v>
      </c>
      <c r="R172" s="113">
        <v>0</v>
      </c>
      <c r="S172" s="113">
        <v>0</v>
      </c>
      <c r="T172" s="113">
        <v>0</v>
      </c>
      <c r="U172" s="113">
        <v>0</v>
      </c>
      <c r="V172" s="113">
        <v>0</v>
      </c>
      <c r="W172" s="113">
        <v>0</v>
      </c>
      <c r="X172" s="113">
        <v>0</v>
      </c>
      <c r="Y172" s="113">
        <v>0</v>
      </c>
      <c r="Z172" s="113">
        <v>0</v>
      </c>
      <c r="AA172" s="113">
        <v>0</v>
      </c>
      <c r="AB172" s="113">
        <v>0</v>
      </c>
      <c r="AC172" s="113">
        <v>0</v>
      </c>
      <c r="AD172" s="113">
        <v>0</v>
      </c>
      <c r="AE172" s="113">
        <v>0</v>
      </c>
      <c r="AF172" s="113">
        <v>0</v>
      </c>
      <c r="AG172" s="113">
        <v>0</v>
      </c>
      <c r="AH172" s="113">
        <v>0</v>
      </c>
      <c r="AI172" s="113">
        <v>0</v>
      </c>
      <c r="AJ172" s="113">
        <v>0</v>
      </c>
      <c r="AK172" s="113">
        <v>0</v>
      </c>
      <c r="AL172" s="113">
        <v>0</v>
      </c>
      <c r="AM172" s="113">
        <v>0</v>
      </c>
      <c r="AN172" s="113">
        <v>0</v>
      </c>
      <c r="AO172" s="113">
        <v>0</v>
      </c>
      <c r="AP172" s="113">
        <v>0</v>
      </c>
      <c r="AQ172" s="113">
        <v>0</v>
      </c>
      <c r="AR172" s="113">
        <v>0</v>
      </c>
      <c r="AS172" s="113">
        <v>0</v>
      </c>
      <c r="AT172" s="113">
        <v>0</v>
      </c>
      <c r="AU172" s="113">
        <v>0</v>
      </c>
      <c r="AV172" s="113">
        <v>0</v>
      </c>
      <c r="AW172" s="113">
        <v>0</v>
      </c>
      <c r="AX172" s="113">
        <v>0</v>
      </c>
      <c r="AY172" s="113">
        <v>0</v>
      </c>
      <c r="AZ172" s="113">
        <v>0</v>
      </c>
      <c r="BA172" s="113">
        <v>0</v>
      </c>
      <c r="BB172" s="113">
        <v>0</v>
      </c>
      <c r="BC172" s="113">
        <v>0</v>
      </c>
      <c r="BD172" s="113">
        <v>0</v>
      </c>
      <c r="BF172" s="113">
        <f t="shared" si="8"/>
        <v>146766</v>
      </c>
      <c r="BG172" s="113">
        <f t="shared" si="9"/>
        <v>2123</v>
      </c>
      <c r="BH172" s="113">
        <f t="shared" si="10"/>
        <v>0</v>
      </c>
      <c r="BI172" s="113">
        <f t="shared" si="11"/>
        <v>0</v>
      </c>
    </row>
    <row r="173" spans="1:61">
      <c r="A173" s="102" t="s">
        <v>248</v>
      </c>
      <c r="B173" s="24" t="s">
        <v>586</v>
      </c>
      <c r="C173" s="103" t="s">
        <v>249</v>
      </c>
      <c r="D173" s="113">
        <v>0</v>
      </c>
      <c r="E173" s="113">
        <v>106083</v>
      </c>
      <c r="F173" s="113">
        <v>2007</v>
      </c>
      <c r="G173" s="113">
        <v>0</v>
      </c>
      <c r="H173" s="113">
        <v>0</v>
      </c>
      <c r="I173" s="113">
        <v>0</v>
      </c>
      <c r="J173" s="113">
        <v>0</v>
      </c>
      <c r="K173" s="113">
        <v>32758</v>
      </c>
      <c r="L173" s="113">
        <v>646</v>
      </c>
      <c r="M173" s="113">
        <v>0</v>
      </c>
      <c r="N173" s="113">
        <v>0</v>
      </c>
      <c r="O173" s="113">
        <v>0</v>
      </c>
      <c r="P173" s="113">
        <v>0</v>
      </c>
      <c r="Q173" s="113">
        <v>0</v>
      </c>
      <c r="R173" s="113">
        <v>0</v>
      </c>
      <c r="S173" s="113">
        <v>0</v>
      </c>
      <c r="T173" s="113">
        <v>0</v>
      </c>
      <c r="U173" s="113">
        <v>0</v>
      </c>
      <c r="V173" s="113">
        <v>0</v>
      </c>
      <c r="W173" s="113">
        <v>0</v>
      </c>
      <c r="X173" s="113">
        <v>0</v>
      </c>
      <c r="Y173" s="113">
        <v>0</v>
      </c>
      <c r="Z173" s="113">
        <v>0</v>
      </c>
      <c r="AA173" s="113">
        <v>0</v>
      </c>
      <c r="AB173" s="113">
        <v>0</v>
      </c>
      <c r="AC173" s="113">
        <v>0</v>
      </c>
      <c r="AD173" s="113">
        <v>62053</v>
      </c>
      <c r="AE173" s="113">
        <v>1155</v>
      </c>
      <c r="AF173" s="113">
        <v>0</v>
      </c>
      <c r="AG173" s="113">
        <v>0</v>
      </c>
      <c r="AH173" s="113">
        <v>0</v>
      </c>
      <c r="AI173" s="113">
        <v>0</v>
      </c>
      <c r="AJ173" s="113">
        <v>0</v>
      </c>
      <c r="AK173" s="113">
        <v>0</v>
      </c>
      <c r="AL173" s="113">
        <v>0</v>
      </c>
      <c r="AM173" s="113">
        <v>0</v>
      </c>
      <c r="AN173" s="113">
        <v>0</v>
      </c>
      <c r="AO173" s="113">
        <v>0</v>
      </c>
      <c r="AP173" s="113">
        <v>0</v>
      </c>
      <c r="AQ173" s="113">
        <v>0</v>
      </c>
      <c r="AR173" s="113">
        <v>0</v>
      </c>
      <c r="AS173" s="113">
        <v>0</v>
      </c>
      <c r="AT173" s="113">
        <v>0</v>
      </c>
      <c r="AU173" s="113">
        <v>0</v>
      </c>
      <c r="AV173" s="113">
        <v>0</v>
      </c>
      <c r="AW173" s="113">
        <v>0</v>
      </c>
      <c r="AX173" s="113">
        <v>0</v>
      </c>
      <c r="AY173" s="113">
        <v>0</v>
      </c>
      <c r="AZ173" s="113">
        <v>0</v>
      </c>
      <c r="BA173" s="113">
        <v>0</v>
      </c>
      <c r="BB173" s="113">
        <v>0</v>
      </c>
      <c r="BC173" s="113">
        <v>0</v>
      </c>
      <c r="BD173" s="113">
        <v>0</v>
      </c>
      <c r="BF173" s="113">
        <f t="shared" si="8"/>
        <v>200894</v>
      </c>
      <c r="BG173" s="113">
        <f t="shared" si="9"/>
        <v>3808</v>
      </c>
      <c r="BH173" s="113">
        <f t="shared" si="10"/>
        <v>0</v>
      </c>
      <c r="BI173" s="113">
        <f t="shared" si="11"/>
        <v>0</v>
      </c>
    </row>
    <row r="174" spans="1:61">
      <c r="A174" s="102" t="s">
        <v>250</v>
      </c>
      <c r="B174" s="24" t="s">
        <v>251</v>
      </c>
      <c r="C174" s="103" t="s">
        <v>251</v>
      </c>
      <c r="D174" s="113">
        <v>0</v>
      </c>
      <c r="E174" s="113">
        <v>62202</v>
      </c>
      <c r="F174" s="113">
        <v>1010</v>
      </c>
      <c r="G174" s="113">
        <v>0</v>
      </c>
      <c r="H174" s="113">
        <v>0</v>
      </c>
      <c r="I174" s="113">
        <v>0</v>
      </c>
      <c r="J174" s="113">
        <v>0</v>
      </c>
      <c r="K174" s="113">
        <v>0</v>
      </c>
      <c r="L174" s="113">
        <v>0</v>
      </c>
      <c r="M174" s="113">
        <v>0</v>
      </c>
      <c r="N174" s="113">
        <v>0</v>
      </c>
      <c r="O174" s="113">
        <v>0</v>
      </c>
      <c r="P174" s="113">
        <v>0</v>
      </c>
      <c r="Q174" s="113">
        <v>0</v>
      </c>
      <c r="R174" s="113">
        <v>0</v>
      </c>
      <c r="S174" s="113">
        <v>0</v>
      </c>
      <c r="T174" s="113">
        <v>0</v>
      </c>
      <c r="U174" s="113">
        <v>0</v>
      </c>
      <c r="V174" s="113">
        <v>0</v>
      </c>
      <c r="W174" s="113">
        <v>0</v>
      </c>
      <c r="X174" s="113">
        <v>0</v>
      </c>
      <c r="Y174" s="113">
        <v>0</v>
      </c>
      <c r="Z174" s="113">
        <v>0</v>
      </c>
      <c r="AA174" s="113">
        <v>0</v>
      </c>
      <c r="AB174" s="113">
        <v>0</v>
      </c>
      <c r="AC174" s="113">
        <v>0</v>
      </c>
      <c r="AD174" s="113">
        <v>0</v>
      </c>
      <c r="AE174" s="113">
        <v>0</v>
      </c>
      <c r="AF174" s="113">
        <v>0</v>
      </c>
      <c r="AG174" s="113">
        <v>0</v>
      </c>
      <c r="AH174" s="113">
        <v>0</v>
      </c>
      <c r="AI174" s="113">
        <v>0</v>
      </c>
      <c r="AJ174" s="113">
        <v>0</v>
      </c>
      <c r="AK174" s="113">
        <v>0</v>
      </c>
      <c r="AL174" s="113">
        <v>0</v>
      </c>
      <c r="AM174" s="113">
        <v>0</v>
      </c>
      <c r="AN174" s="113">
        <v>0</v>
      </c>
      <c r="AO174" s="113">
        <v>0</v>
      </c>
      <c r="AP174" s="113">
        <v>0</v>
      </c>
      <c r="AQ174" s="113">
        <v>0</v>
      </c>
      <c r="AR174" s="113">
        <v>0</v>
      </c>
      <c r="AS174" s="113">
        <v>0</v>
      </c>
      <c r="AT174" s="113">
        <v>0</v>
      </c>
      <c r="AU174" s="113">
        <v>0</v>
      </c>
      <c r="AV174" s="113">
        <v>0</v>
      </c>
      <c r="AW174" s="113">
        <v>0</v>
      </c>
      <c r="AX174" s="113">
        <v>0</v>
      </c>
      <c r="AY174" s="113">
        <v>0</v>
      </c>
      <c r="AZ174" s="113">
        <v>0</v>
      </c>
      <c r="BA174" s="113">
        <v>0</v>
      </c>
      <c r="BB174" s="113">
        <v>0</v>
      </c>
      <c r="BC174" s="113">
        <v>0</v>
      </c>
      <c r="BD174" s="113">
        <v>0</v>
      </c>
      <c r="BF174" s="113">
        <f t="shared" si="8"/>
        <v>62202</v>
      </c>
      <c r="BG174" s="113">
        <f t="shared" si="9"/>
        <v>1010</v>
      </c>
      <c r="BH174" s="113">
        <f t="shared" si="10"/>
        <v>0</v>
      </c>
      <c r="BI174" s="113">
        <f t="shared" si="11"/>
        <v>0</v>
      </c>
    </row>
    <row r="175" spans="1:61">
      <c r="A175" s="102" t="s">
        <v>252</v>
      </c>
      <c r="B175" s="24" t="s">
        <v>587</v>
      </c>
      <c r="C175" s="103" t="s">
        <v>253</v>
      </c>
      <c r="D175" s="113">
        <v>0</v>
      </c>
      <c r="E175" s="113">
        <v>116515</v>
      </c>
      <c r="F175" s="113">
        <v>2640</v>
      </c>
      <c r="G175" s="113">
        <v>0</v>
      </c>
      <c r="H175" s="113">
        <v>0</v>
      </c>
      <c r="I175" s="113">
        <v>0</v>
      </c>
      <c r="J175" s="113">
        <v>0</v>
      </c>
      <c r="K175" s="113">
        <v>5543</v>
      </c>
      <c r="L175" s="113">
        <v>114</v>
      </c>
      <c r="M175" s="113">
        <v>0</v>
      </c>
      <c r="N175" s="113">
        <v>0</v>
      </c>
      <c r="O175" s="113">
        <v>0</v>
      </c>
      <c r="P175" s="113">
        <v>0</v>
      </c>
      <c r="Q175" s="113">
        <v>0</v>
      </c>
      <c r="R175" s="113">
        <v>0</v>
      </c>
      <c r="S175" s="113">
        <v>0</v>
      </c>
      <c r="T175" s="113">
        <v>0</v>
      </c>
      <c r="U175" s="113">
        <v>0</v>
      </c>
      <c r="V175" s="113">
        <v>0</v>
      </c>
      <c r="W175" s="113">
        <v>0</v>
      </c>
      <c r="X175" s="113">
        <v>0</v>
      </c>
      <c r="Y175" s="113">
        <v>0</v>
      </c>
      <c r="Z175" s="113">
        <v>0</v>
      </c>
      <c r="AA175" s="113">
        <v>0</v>
      </c>
      <c r="AB175" s="113">
        <v>0</v>
      </c>
      <c r="AC175" s="113">
        <v>0</v>
      </c>
      <c r="AD175" s="113">
        <v>56908</v>
      </c>
      <c r="AE175" s="113">
        <v>1323</v>
      </c>
      <c r="AF175" s="113">
        <v>0</v>
      </c>
      <c r="AG175" s="113">
        <v>0</v>
      </c>
      <c r="AH175" s="113">
        <v>0</v>
      </c>
      <c r="AI175" s="113">
        <v>0</v>
      </c>
      <c r="AJ175" s="113">
        <v>0</v>
      </c>
      <c r="AK175" s="113">
        <v>0</v>
      </c>
      <c r="AL175" s="113">
        <v>0</v>
      </c>
      <c r="AM175" s="113">
        <v>0</v>
      </c>
      <c r="AN175" s="113">
        <v>0</v>
      </c>
      <c r="AO175" s="113">
        <v>0</v>
      </c>
      <c r="AP175" s="113">
        <v>0</v>
      </c>
      <c r="AQ175" s="113">
        <v>0</v>
      </c>
      <c r="AR175" s="113">
        <v>0</v>
      </c>
      <c r="AS175" s="113">
        <v>0</v>
      </c>
      <c r="AT175" s="113">
        <v>0</v>
      </c>
      <c r="AU175" s="113">
        <v>0</v>
      </c>
      <c r="AV175" s="113">
        <v>0</v>
      </c>
      <c r="AW175" s="113">
        <v>0</v>
      </c>
      <c r="AX175" s="113">
        <v>0</v>
      </c>
      <c r="AY175" s="113">
        <v>0</v>
      </c>
      <c r="AZ175" s="113">
        <v>0</v>
      </c>
      <c r="BA175" s="113">
        <v>0</v>
      </c>
      <c r="BB175" s="113">
        <v>0</v>
      </c>
      <c r="BC175" s="113">
        <v>0</v>
      </c>
      <c r="BD175" s="113">
        <v>0</v>
      </c>
      <c r="BF175" s="113">
        <f t="shared" si="8"/>
        <v>178966</v>
      </c>
      <c r="BG175" s="113">
        <f t="shared" si="9"/>
        <v>4077</v>
      </c>
      <c r="BH175" s="113">
        <f t="shared" si="10"/>
        <v>0</v>
      </c>
      <c r="BI175" s="113">
        <f t="shared" si="11"/>
        <v>0</v>
      </c>
    </row>
    <row r="176" spans="1:61">
      <c r="A176" s="102" t="s">
        <v>254</v>
      </c>
      <c r="B176" s="24" t="s">
        <v>588</v>
      </c>
      <c r="C176" s="103" t="s">
        <v>253</v>
      </c>
      <c r="D176" s="113">
        <v>1727</v>
      </c>
      <c r="E176" s="113">
        <v>261023</v>
      </c>
      <c r="F176" s="113">
        <v>6385</v>
      </c>
      <c r="G176" s="113">
        <v>1498</v>
      </c>
      <c r="H176" s="113">
        <v>0</v>
      </c>
      <c r="I176" s="113">
        <v>0</v>
      </c>
      <c r="J176" s="113">
        <v>0</v>
      </c>
      <c r="K176" s="113">
        <v>63296</v>
      </c>
      <c r="L176" s="113">
        <v>1546</v>
      </c>
      <c r="M176" s="113">
        <v>0</v>
      </c>
      <c r="N176" s="113">
        <v>395</v>
      </c>
      <c r="O176" s="113">
        <v>0</v>
      </c>
      <c r="P176" s="113">
        <v>0</v>
      </c>
      <c r="Q176" s="113">
        <v>0</v>
      </c>
      <c r="R176" s="113">
        <v>0</v>
      </c>
      <c r="S176" s="113">
        <v>0</v>
      </c>
      <c r="T176" s="113">
        <v>0</v>
      </c>
      <c r="U176" s="113">
        <v>0</v>
      </c>
      <c r="V176" s="113">
        <v>0</v>
      </c>
      <c r="W176" s="113">
        <v>0</v>
      </c>
      <c r="X176" s="113">
        <v>0</v>
      </c>
      <c r="Y176" s="113">
        <v>0</v>
      </c>
      <c r="Z176" s="113">
        <v>0</v>
      </c>
      <c r="AA176" s="113">
        <v>0</v>
      </c>
      <c r="AB176" s="113">
        <v>0</v>
      </c>
      <c r="AC176" s="113">
        <v>0</v>
      </c>
      <c r="AD176" s="113">
        <v>224326</v>
      </c>
      <c r="AE176" s="113">
        <v>5484</v>
      </c>
      <c r="AF176" s="113">
        <v>1318</v>
      </c>
      <c r="AG176" s="113">
        <v>0</v>
      </c>
      <c r="AH176" s="113">
        <v>0</v>
      </c>
      <c r="AI176" s="113">
        <v>0</v>
      </c>
      <c r="AJ176" s="113">
        <v>0</v>
      </c>
      <c r="AK176" s="113">
        <v>0</v>
      </c>
      <c r="AL176" s="113">
        <v>0</v>
      </c>
      <c r="AM176" s="113">
        <v>1191</v>
      </c>
      <c r="AN176" s="113">
        <v>29</v>
      </c>
      <c r="AO176" s="113">
        <v>3</v>
      </c>
      <c r="AP176" s="113">
        <v>0</v>
      </c>
      <c r="AQ176" s="113">
        <v>0</v>
      </c>
      <c r="AR176" s="113">
        <v>0</v>
      </c>
      <c r="AS176" s="113">
        <v>0</v>
      </c>
      <c r="AT176" s="113">
        <v>0</v>
      </c>
      <c r="AU176" s="113">
        <v>0</v>
      </c>
      <c r="AV176" s="113">
        <v>0</v>
      </c>
      <c r="AW176" s="113">
        <v>0</v>
      </c>
      <c r="AX176" s="113">
        <v>0</v>
      </c>
      <c r="AY176" s="113">
        <v>0</v>
      </c>
      <c r="AZ176" s="113">
        <v>0</v>
      </c>
      <c r="BA176" s="113">
        <v>0</v>
      </c>
      <c r="BB176" s="113">
        <v>0</v>
      </c>
      <c r="BC176" s="113">
        <v>0</v>
      </c>
      <c r="BD176" s="113">
        <v>0</v>
      </c>
      <c r="BF176" s="113">
        <f t="shared" si="8"/>
        <v>549836</v>
      </c>
      <c r="BG176" s="113">
        <f t="shared" si="9"/>
        <v>13444</v>
      </c>
      <c r="BH176" s="113">
        <f t="shared" si="10"/>
        <v>0</v>
      </c>
      <c r="BI176" s="113">
        <f t="shared" si="11"/>
        <v>4941</v>
      </c>
    </row>
    <row r="177" spans="1:61">
      <c r="A177" s="102" t="s">
        <v>255</v>
      </c>
      <c r="B177" s="24" t="s">
        <v>589</v>
      </c>
      <c r="C177" s="103" t="s">
        <v>256</v>
      </c>
      <c r="D177" s="113">
        <v>0</v>
      </c>
      <c r="E177" s="113">
        <v>38962</v>
      </c>
      <c r="F177" s="113">
        <v>1274</v>
      </c>
      <c r="G177" s="113">
        <v>0</v>
      </c>
      <c r="H177" s="113">
        <v>0</v>
      </c>
      <c r="I177" s="113">
        <v>0</v>
      </c>
      <c r="J177" s="113">
        <v>0</v>
      </c>
      <c r="K177" s="113">
        <v>6606</v>
      </c>
      <c r="L177" s="113">
        <v>216</v>
      </c>
      <c r="M177" s="113">
        <v>0</v>
      </c>
      <c r="N177" s="113">
        <v>0</v>
      </c>
      <c r="O177" s="113">
        <v>0</v>
      </c>
      <c r="P177" s="113">
        <v>0</v>
      </c>
      <c r="Q177" s="113">
        <v>0</v>
      </c>
      <c r="R177" s="113">
        <v>0</v>
      </c>
      <c r="S177" s="113">
        <v>0</v>
      </c>
      <c r="T177" s="113">
        <v>0</v>
      </c>
      <c r="U177" s="113">
        <v>0</v>
      </c>
      <c r="V177" s="113">
        <v>0</v>
      </c>
      <c r="W177" s="113">
        <v>0</v>
      </c>
      <c r="X177" s="113">
        <v>0</v>
      </c>
      <c r="Y177" s="113">
        <v>0</v>
      </c>
      <c r="Z177" s="113">
        <v>0</v>
      </c>
      <c r="AA177" s="113">
        <v>0</v>
      </c>
      <c r="AB177" s="113">
        <v>0</v>
      </c>
      <c r="AC177" s="113">
        <v>0</v>
      </c>
      <c r="AD177" s="113">
        <v>8877</v>
      </c>
      <c r="AE177" s="113">
        <v>290</v>
      </c>
      <c r="AF177" s="113">
        <v>0</v>
      </c>
      <c r="AG177" s="113">
        <v>0</v>
      </c>
      <c r="AH177" s="113">
        <v>0</v>
      </c>
      <c r="AI177" s="113">
        <v>0</v>
      </c>
      <c r="AJ177" s="113">
        <v>0</v>
      </c>
      <c r="AK177" s="113">
        <v>0</v>
      </c>
      <c r="AL177" s="113">
        <v>0</v>
      </c>
      <c r="AM177" s="113">
        <v>0</v>
      </c>
      <c r="AN177" s="113">
        <v>0</v>
      </c>
      <c r="AO177" s="113">
        <v>0</v>
      </c>
      <c r="AP177" s="113">
        <v>0</v>
      </c>
      <c r="AQ177" s="113">
        <v>0</v>
      </c>
      <c r="AR177" s="113">
        <v>0</v>
      </c>
      <c r="AS177" s="113">
        <v>0</v>
      </c>
      <c r="AT177" s="113">
        <v>0</v>
      </c>
      <c r="AU177" s="113">
        <v>0</v>
      </c>
      <c r="AV177" s="113">
        <v>0</v>
      </c>
      <c r="AW177" s="113">
        <v>0</v>
      </c>
      <c r="AX177" s="113">
        <v>0</v>
      </c>
      <c r="AY177" s="113">
        <v>521</v>
      </c>
      <c r="AZ177" s="113">
        <v>19</v>
      </c>
      <c r="BA177" s="113">
        <v>0</v>
      </c>
      <c r="BB177" s="113">
        <v>0</v>
      </c>
      <c r="BC177" s="113">
        <v>0</v>
      </c>
      <c r="BD177" s="113">
        <v>0</v>
      </c>
      <c r="BF177" s="113">
        <f t="shared" si="8"/>
        <v>54445</v>
      </c>
      <c r="BG177" s="113">
        <f t="shared" si="9"/>
        <v>1780</v>
      </c>
      <c r="BH177" s="113">
        <f t="shared" si="10"/>
        <v>0</v>
      </c>
      <c r="BI177" s="113">
        <f t="shared" si="11"/>
        <v>0</v>
      </c>
    </row>
    <row r="178" spans="1:61">
      <c r="A178" s="102" t="s">
        <v>257</v>
      </c>
      <c r="B178" s="24" t="s">
        <v>590</v>
      </c>
      <c r="C178" s="103" t="s">
        <v>16</v>
      </c>
      <c r="D178" s="113">
        <v>0</v>
      </c>
      <c r="E178" s="113">
        <v>39915</v>
      </c>
      <c r="F178" s="113">
        <v>848</v>
      </c>
      <c r="G178" s="113">
        <v>0</v>
      </c>
      <c r="H178" s="113">
        <v>0</v>
      </c>
      <c r="I178" s="113">
        <v>0</v>
      </c>
      <c r="J178" s="113">
        <v>0</v>
      </c>
      <c r="K178" s="113">
        <v>8598</v>
      </c>
      <c r="L178" s="113">
        <v>186</v>
      </c>
      <c r="M178" s="113">
        <v>0</v>
      </c>
      <c r="N178" s="113">
        <v>0</v>
      </c>
      <c r="O178" s="113">
        <v>0</v>
      </c>
      <c r="P178" s="113">
        <v>0</v>
      </c>
      <c r="Q178" s="113">
        <v>0</v>
      </c>
      <c r="R178" s="113">
        <v>0</v>
      </c>
      <c r="S178" s="113">
        <v>0</v>
      </c>
      <c r="T178" s="113">
        <v>0</v>
      </c>
      <c r="U178" s="113">
        <v>0</v>
      </c>
      <c r="V178" s="113">
        <v>0</v>
      </c>
      <c r="W178" s="113">
        <v>0</v>
      </c>
      <c r="X178" s="113">
        <v>0</v>
      </c>
      <c r="Y178" s="113">
        <v>0</v>
      </c>
      <c r="Z178" s="113">
        <v>0</v>
      </c>
      <c r="AA178" s="113">
        <v>0</v>
      </c>
      <c r="AB178" s="113">
        <v>0</v>
      </c>
      <c r="AC178" s="113">
        <v>0</v>
      </c>
      <c r="AD178" s="113">
        <v>29011</v>
      </c>
      <c r="AE178" s="113">
        <v>629</v>
      </c>
      <c r="AF178" s="113">
        <v>0</v>
      </c>
      <c r="AG178" s="113">
        <v>0</v>
      </c>
      <c r="AH178" s="113">
        <v>0</v>
      </c>
      <c r="AI178" s="113">
        <v>0</v>
      </c>
      <c r="AJ178" s="113">
        <v>0</v>
      </c>
      <c r="AK178" s="113">
        <v>0</v>
      </c>
      <c r="AL178" s="113">
        <v>0</v>
      </c>
      <c r="AM178" s="113">
        <v>0</v>
      </c>
      <c r="AN178" s="113">
        <v>0</v>
      </c>
      <c r="AO178" s="113">
        <v>0</v>
      </c>
      <c r="AP178" s="113">
        <v>0</v>
      </c>
      <c r="AQ178" s="113">
        <v>0</v>
      </c>
      <c r="AR178" s="113">
        <v>0</v>
      </c>
      <c r="AS178" s="113">
        <v>0</v>
      </c>
      <c r="AT178" s="113">
        <v>0</v>
      </c>
      <c r="AU178" s="113">
        <v>0</v>
      </c>
      <c r="AV178" s="113">
        <v>0</v>
      </c>
      <c r="AW178" s="113">
        <v>0</v>
      </c>
      <c r="AX178" s="113">
        <v>0</v>
      </c>
      <c r="AY178" s="113">
        <v>6853</v>
      </c>
      <c r="AZ178" s="113">
        <v>148</v>
      </c>
      <c r="BA178" s="113">
        <v>0</v>
      </c>
      <c r="BB178" s="113">
        <v>1075</v>
      </c>
      <c r="BC178" s="113">
        <v>24</v>
      </c>
      <c r="BD178" s="113">
        <v>0</v>
      </c>
      <c r="BF178" s="113">
        <f t="shared" si="8"/>
        <v>77524</v>
      </c>
      <c r="BG178" s="113">
        <f t="shared" si="9"/>
        <v>1663</v>
      </c>
      <c r="BH178" s="113">
        <f t="shared" si="10"/>
        <v>0</v>
      </c>
      <c r="BI178" s="113">
        <f t="shared" si="11"/>
        <v>0</v>
      </c>
    </row>
    <row r="179" spans="1:61">
      <c r="A179" s="102" t="s">
        <v>258</v>
      </c>
      <c r="B179" s="24" t="s">
        <v>591</v>
      </c>
      <c r="C179" s="103" t="s">
        <v>219</v>
      </c>
      <c r="D179" s="113">
        <v>0</v>
      </c>
      <c r="E179" s="113">
        <v>100453</v>
      </c>
      <c r="F179" s="113">
        <v>1453</v>
      </c>
      <c r="G179" s="113">
        <v>0</v>
      </c>
      <c r="H179" s="113">
        <v>0</v>
      </c>
      <c r="I179" s="113">
        <v>0</v>
      </c>
      <c r="J179" s="113">
        <v>0</v>
      </c>
      <c r="K179" s="113">
        <v>12216</v>
      </c>
      <c r="L179" s="113">
        <v>177</v>
      </c>
      <c r="M179" s="113">
        <v>0</v>
      </c>
      <c r="N179" s="113">
        <v>0</v>
      </c>
      <c r="O179" s="113">
        <v>0</v>
      </c>
      <c r="P179" s="113">
        <v>0</v>
      </c>
      <c r="Q179" s="113">
        <v>0</v>
      </c>
      <c r="R179" s="113">
        <v>0</v>
      </c>
      <c r="S179" s="113">
        <v>0</v>
      </c>
      <c r="T179" s="113">
        <v>0</v>
      </c>
      <c r="U179" s="113">
        <v>0</v>
      </c>
      <c r="V179" s="113">
        <v>0</v>
      </c>
      <c r="W179" s="113">
        <v>0</v>
      </c>
      <c r="X179" s="113">
        <v>0</v>
      </c>
      <c r="Y179" s="113">
        <v>0</v>
      </c>
      <c r="Z179" s="113">
        <v>0</v>
      </c>
      <c r="AA179" s="113">
        <v>0</v>
      </c>
      <c r="AB179" s="113">
        <v>0</v>
      </c>
      <c r="AC179" s="113">
        <v>0</v>
      </c>
      <c r="AD179" s="113">
        <v>26370</v>
      </c>
      <c r="AE179" s="113">
        <v>392</v>
      </c>
      <c r="AF179" s="113">
        <v>0</v>
      </c>
      <c r="AG179" s="113">
        <v>0</v>
      </c>
      <c r="AH179" s="113">
        <v>0</v>
      </c>
      <c r="AI179" s="113">
        <v>0</v>
      </c>
      <c r="AJ179" s="113">
        <v>0</v>
      </c>
      <c r="AK179" s="113">
        <v>0</v>
      </c>
      <c r="AL179" s="113">
        <v>0</v>
      </c>
      <c r="AM179" s="113">
        <v>0</v>
      </c>
      <c r="AN179" s="113">
        <v>0</v>
      </c>
      <c r="AO179" s="113">
        <v>0</v>
      </c>
      <c r="AP179" s="113">
        <v>0</v>
      </c>
      <c r="AQ179" s="113">
        <v>0</v>
      </c>
      <c r="AR179" s="113">
        <v>0</v>
      </c>
      <c r="AS179" s="113">
        <v>0</v>
      </c>
      <c r="AT179" s="113">
        <v>0</v>
      </c>
      <c r="AU179" s="113">
        <v>0</v>
      </c>
      <c r="AV179" s="113">
        <v>0</v>
      </c>
      <c r="AW179" s="113">
        <v>0</v>
      </c>
      <c r="AX179" s="113">
        <v>0</v>
      </c>
      <c r="AY179" s="113">
        <v>0</v>
      </c>
      <c r="AZ179" s="113">
        <v>0</v>
      </c>
      <c r="BA179" s="113">
        <v>0</v>
      </c>
      <c r="BB179" s="113">
        <v>0</v>
      </c>
      <c r="BC179" s="113">
        <v>0</v>
      </c>
      <c r="BD179" s="113">
        <v>0</v>
      </c>
      <c r="BF179" s="113">
        <f t="shared" si="8"/>
        <v>139039</v>
      </c>
      <c r="BG179" s="113">
        <f t="shared" si="9"/>
        <v>2022</v>
      </c>
      <c r="BH179" s="113">
        <f t="shared" si="10"/>
        <v>0</v>
      </c>
      <c r="BI179" s="113">
        <f t="shared" si="11"/>
        <v>0</v>
      </c>
    </row>
    <row r="180" spans="1:61">
      <c r="A180" s="102" t="s">
        <v>259</v>
      </c>
      <c r="B180" s="24" t="s">
        <v>592</v>
      </c>
      <c r="C180" s="103" t="s">
        <v>256</v>
      </c>
      <c r="D180" s="113">
        <v>0</v>
      </c>
      <c r="E180" s="113">
        <v>340514</v>
      </c>
      <c r="F180" s="113">
        <v>5159</v>
      </c>
      <c r="G180" s="113">
        <v>0</v>
      </c>
      <c r="H180" s="113">
        <v>0</v>
      </c>
      <c r="I180" s="113">
        <v>0</v>
      </c>
      <c r="J180" s="113">
        <v>0</v>
      </c>
      <c r="K180" s="113">
        <v>87000</v>
      </c>
      <c r="L180" s="113">
        <v>1318</v>
      </c>
      <c r="M180" s="113">
        <v>0</v>
      </c>
      <c r="N180" s="113">
        <v>0</v>
      </c>
      <c r="O180" s="113">
        <v>0</v>
      </c>
      <c r="P180" s="113">
        <v>0</v>
      </c>
      <c r="Q180" s="113">
        <v>0</v>
      </c>
      <c r="R180" s="113">
        <v>0</v>
      </c>
      <c r="S180" s="113">
        <v>0</v>
      </c>
      <c r="T180" s="113">
        <v>0</v>
      </c>
      <c r="U180" s="113">
        <v>0</v>
      </c>
      <c r="V180" s="113">
        <v>0</v>
      </c>
      <c r="W180" s="113">
        <v>0</v>
      </c>
      <c r="X180" s="113">
        <v>0</v>
      </c>
      <c r="Y180" s="113">
        <v>0</v>
      </c>
      <c r="Z180" s="113">
        <v>0</v>
      </c>
      <c r="AA180" s="113">
        <v>0</v>
      </c>
      <c r="AB180" s="113">
        <v>0</v>
      </c>
      <c r="AC180" s="113">
        <v>0</v>
      </c>
      <c r="AD180" s="113">
        <v>211579</v>
      </c>
      <c r="AE180" s="113">
        <v>3206</v>
      </c>
      <c r="AF180" s="113">
        <v>0</v>
      </c>
      <c r="AG180" s="113">
        <v>0</v>
      </c>
      <c r="AH180" s="113">
        <v>0</v>
      </c>
      <c r="AI180" s="113">
        <v>0</v>
      </c>
      <c r="AJ180" s="113">
        <v>0</v>
      </c>
      <c r="AK180" s="113">
        <v>0</v>
      </c>
      <c r="AL180" s="113">
        <v>0</v>
      </c>
      <c r="AM180" s="113">
        <v>0</v>
      </c>
      <c r="AN180" s="113">
        <v>0</v>
      </c>
      <c r="AO180" s="113">
        <v>0</v>
      </c>
      <c r="AP180" s="113">
        <v>0</v>
      </c>
      <c r="AQ180" s="113">
        <v>0</v>
      </c>
      <c r="AR180" s="113">
        <v>0</v>
      </c>
      <c r="AS180" s="113">
        <v>0</v>
      </c>
      <c r="AT180" s="113">
        <v>0</v>
      </c>
      <c r="AU180" s="113">
        <v>0</v>
      </c>
      <c r="AV180" s="113">
        <v>0</v>
      </c>
      <c r="AW180" s="113">
        <v>0</v>
      </c>
      <c r="AX180" s="113">
        <v>0</v>
      </c>
      <c r="AY180" s="113">
        <v>124221</v>
      </c>
      <c r="AZ180" s="113">
        <v>1883</v>
      </c>
      <c r="BA180" s="113">
        <v>0</v>
      </c>
      <c r="BB180" s="113">
        <v>26676</v>
      </c>
      <c r="BC180" s="113">
        <v>404</v>
      </c>
      <c r="BD180" s="113">
        <v>0</v>
      </c>
      <c r="BF180" s="113">
        <f t="shared" si="8"/>
        <v>639093</v>
      </c>
      <c r="BG180" s="113">
        <f t="shared" si="9"/>
        <v>9683</v>
      </c>
      <c r="BH180" s="113">
        <f t="shared" si="10"/>
        <v>0</v>
      </c>
      <c r="BI180" s="113">
        <f t="shared" si="11"/>
        <v>0</v>
      </c>
    </row>
    <row r="181" spans="1:61">
      <c r="A181" s="102" t="s">
        <v>260</v>
      </c>
      <c r="B181" s="24" t="s">
        <v>593</v>
      </c>
      <c r="C181" s="103" t="s">
        <v>261</v>
      </c>
      <c r="D181" s="113">
        <v>0</v>
      </c>
      <c r="E181" s="113">
        <v>30671</v>
      </c>
      <c r="F181" s="113">
        <v>954</v>
      </c>
      <c r="G181" s="113">
        <v>0</v>
      </c>
      <c r="H181" s="113">
        <v>0</v>
      </c>
      <c r="I181" s="113">
        <v>0</v>
      </c>
      <c r="J181" s="113">
        <v>0</v>
      </c>
      <c r="K181" s="113">
        <v>12682</v>
      </c>
      <c r="L181" s="113">
        <v>391</v>
      </c>
      <c r="M181" s="113">
        <v>0</v>
      </c>
      <c r="N181" s="113">
        <v>0</v>
      </c>
      <c r="O181" s="113">
        <v>0</v>
      </c>
      <c r="P181" s="113">
        <v>0</v>
      </c>
      <c r="Q181" s="113">
        <v>0</v>
      </c>
      <c r="R181" s="113">
        <v>0</v>
      </c>
      <c r="S181" s="113">
        <v>0</v>
      </c>
      <c r="T181" s="113">
        <v>0</v>
      </c>
      <c r="U181" s="113">
        <v>0</v>
      </c>
      <c r="V181" s="113">
        <v>0</v>
      </c>
      <c r="W181" s="113">
        <v>0</v>
      </c>
      <c r="X181" s="113">
        <v>0</v>
      </c>
      <c r="Y181" s="113">
        <v>0</v>
      </c>
      <c r="Z181" s="113">
        <v>0</v>
      </c>
      <c r="AA181" s="113">
        <v>0</v>
      </c>
      <c r="AB181" s="113">
        <v>0</v>
      </c>
      <c r="AC181" s="113">
        <v>0</v>
      </c>
      <c r="AD181" s="113">
        <v>17757</v>
      </c>
      <c r="AE181" s="113">
        <v>537</v>
      </c>
      <c r="AF181" s="113">
        <v>0</v>
      </c>
      <c r="AG181" s="113">
        <v>0</v>
      </c>
      <c r="AH181" s="113">
        <v>0</v>
      </c>
      <c r="AI181" s="113">
        <v>0</v>
      </c>
      <c r="AJ181" s="113">
        <v>0</v>
      </c>
      <c r="AK181" s="113">
        <v>0</v>
      </c>
      <c r="AL181" s="113">
        <v>0</v>
      </c>
      <c r="AM181" s="113">
        <v>0</v>
      </c>
      <c r="AN181" s="113">
        <v>0</v>
      </c>
      <c r="AO181" s="113">
        <v>0</v>
      </c>
      <c r="AP181" s="113">
        <v>0</v>
      </c>
      <c r="AQ181" s="113">
        <v>0</v>
      </c>
      <c r="AR181" s="113">
        <v>0</v>
      </c>
      <c r="AS181" s="113">
        <v>0</v>
      </c>
      <c r="AT181" s="113">
        <v>0</v>
      </c>
      <c r="AU181" s="113">
        <v>0</v>
      </c>
      <c r="AV181" s="113">
        <v>0</v>
      </c>
      <c r="AW181" s="113">
        <v>0</v>
      </c>
      <c r="AX181" s="113">
        <v>0</v>
      </c>
      <c r="AY181" s="113">
        <v>8733</v>
      </c>
      <c r="AZ181" s="113">
        <v>318</v>
      </c>
      <c r="BA181" s="113">
        <v>0</v>
      </c>
      <c r="BB181" s="113">
        <v>839</v>
      </c>
      <c r="BC181" s="113">
        <v>26</v>
      </c>
      <c r="BD181" s="113">
        <v>0</v>
      </c>
      <c r="BF181" s="113">
        <f t="shared" si="8"/>
        <v>61110</v>
      </c>
      <c r="BG181" s="113">
        <f t="shared" si="9"/>
        <v>1882</v>
      </c>
      <c r="BH181" s="113">
        <f t="shared" si="10"/>
        <v>0</v>
      </c>
      <c r="BI181" s="113">
        <f t="shared" si="11"/>
        <v>0</v>
      </c>
    </row>
    <row r="182" spans="1:61">
      <c r="A182" s="102" t="s">
        <v>262</v>
      </c>
      <c r="B182" s="24" t="s">
        <v>594</v>
      </c>
      <c r="C182" s="103" t="s">
        <v>42</v>
      </c>
      <c r="D182" s="113">
        <v>0</v>
      </c>
      <c r="E182" s="113">
        <v>201628</v>
      </c>
      <c r="F182" s="113">
        <v>3536</v>
      </c>
      <c r="G182" s="113">
        <v>0</v>
      </c>
      <c r="H182" s="113">
        <v>0</v>
      </c>
      <c r="I182" s="113">
        <v>0</v>
      </c>
      <c r="J182" s="113">
        <v>0</v>
      </c>
      <c r="K182" s="113">
        <v>57519</v>
      </c>
      <c r="L182" s="113">
        <v>997</v>
      </c>
      <c r="M182" s="113">
        <v>4732</v>
      </c>
      <c r="N182" s="113">
        <v>0</v>
      </c>
      <c r="O182" s="113">
        <v>0</v>
      </c>
      <c r="P182" s="113">
        <v>0</v>
      </c>
      <c r="Q182" s="113">
        <v>0</v>
      </c>
      <c r="R182" s="113">
        <v>0</v>
      </c>
      <c r="S182" s="113">
        <v>0</v>
      </c>
      <c r="T182" s="113">
        <v>0</v>
      </c>
      <c r="U182" s="113">
        <v>0</v>
      </c>
      <c r="V182" s="113">
        <v>0</v>
      </c>
      <c r="W182" s="113">
        <v>0</v>
      </c>
      <c r="X182" s="113">
        <v>0</v>
      </c>
      <c r="Y182" s="113">
        <v>0</v>
      </c>
      <c r="Z182" s="113">
        <v>0</v>
      </c>
      <c r="AA182" s="113">
        <v>0</v>
      </c>
      <c r="AB182" s="113">
        <v>0</v>
      </c>
      <c r="AC182" s="113">
        <v>0</v>
      </c>
      <c r="AD182" s="113">
        <v>155413</v>
      </c>
      <c r="AE182" s="113">
        <v>1877</v>
      </c>
      <c r="AF182" s="113">
        <v>368</v>
      </c>
      <c r="AG182" s="113">
        <v>0</v>
      </c>
      <c r="AH182" s="113">
        <v>0</v>
      </c>
      <c r="AI182" s="113">
        <v>0</v>
      </c>
      <c r="AJ182" s="113">
        <v>0</v>
      </c>
      <c r="AK182" s="113">
        <v>0</v>
      </c>
      <c r="AL182" s="113">
        <v>0</v>
      </c>
      <c r="AM182" s="113">
        <v>0</v>
      </c>
      <c r="AN182" s="113">
        <v>0</v>
      </c>
      <c r="AO182" s="113">
        <v>0</v>
      </c>
      <c r="AP182" s="113">
        <v>0</v>
      </c>
      <c r="AQ182" s="113">
        <v>0</v>
      </c>
      <c r="AR182" s="113">
        <v>0</v>
      </c>
      <c r="AS182" s="113">
        <v>0</v>
      </c>
      <c r="AT182" s="113">
        <v>0</v>
      </c>
      <c r="AU182" s="113">
        <v>0</v>
      </c>
      <c r="AV182" s="113">
        <v>0</v>
      </c>
      <c r="AW182" s="113">
        <v>0</v>
      </c>
      <c r="AX182" s="113">
        <v>0</v>
      </c>
      <c r="AY182" s="113">
        <v>0</v>
      </c>
      <c r="AZ182" s="113">
        <v>0</v>
      </c>
      <c r="BA182" s="113">
        <v>0</v>
      </c>
      <c r="BB182" s="113">
        <v>0</v>
      </c>
      <c r="BC182" s="113">
        <v>0</v>
      </c>
      <c r="BD182" s="113">
        <v>0</v>
      </c>
      <c r="BF182" s="113">
        <f t="shared" si="8"/>
        <v>414560</v>
      </c>
      <c r="BG182" s="113">
        <f t="shared" si="9"/>
        <v>6410</v>
      </c>
      <c r="BH182" s="113">
        <f t="shared" si="10"/>
        <v>4732</v>
      </c>
      <c r="BI182" s="113">
        <f t="shared" si="11"/>
        <v>368</v>
      </c>
    </row>
    <row r="183" spans="1:61">
      <c r="A183" s="102" t="s">
        <v>263</v>
      </c>
      <c r="B183" s="24" t="s">
        <v>595</v>
      </c>
      <c r="C183" s="103" t="s">
        <v>264</v>
      </c>
      <c r="D183" s="113">
        <v>318</v>
      </c>
      <c r="E183" s="113">
        <v>80176</v>
      </c>
      <c r="F183" s="113">
        <v>1676</v>
      </c>
      <c r="G183" s="113">
        <v>0</v>
      </c>
      <c r="H183" s="113">
        <v>0</v>
      </c>
      <c r="I183" s="113">
        <v>0</v>
      </c>
      <c r="J183" s="113">
        <v>0</v>
      </c>
      <c r="K183" s="113">
        <v>1124</v>
      </c>
      <c r="L183" s="113">
        <v>24</v>
      </c>
      <c r="M183" s="113">
        <v>0</v>
      </c>
      <c r="N183" s="113">
        <v>0</v>
      </c>
      <c r="O183" s="113">
        <v>0</v>
      </c>
      <c r="P183" s="113">
        <v>0</v>
      </c>
      <c r="Q183" s="113">
        <v>0</v>
      </c>
      <c r="R183" s="113">
        <v>0</v>
      </c>
      <c r="S183" s="113">
        <v>0</v>
      </c>
      <c r="T183" s="113">
        <v>0</v>
      </c>
      <c r="U183" s="113">
        <v>0</v>
      </c>
      <c r="V183" s="113">
        <v>0</v>
      </c>
      <c r="W183" s="113">
        <v>0</v>
      </c>
      <c r="X183" s="113">
        <v>0</v>
      </c>
      <c r="Y183" s="113">
        <v>0</v>
      </c>
      <c r="Z183" s="113">
        <v>0</v>
      </c>
      <c r="AA183" s="113">
        <v>0</v>
      </c>
      <c r="AB183" s="113">
        <v>0</v>
      </c>
      <c r="AC183" s="113">
        <v>0</v>
      </c>
      <c r="AD183" s="113">
        <v>0</v>
      </c>
      <c r="AE183" s="113">
        <v>0</v>
      </c>
      <c r="AF183" s="113">
        <v>0</v>
      </c>
      <c r="AG183" s="113">
        <v>0</v>
      </c>
      <c r="AH183" s="113">
        <v>0</v>
      </c>
      <c r="AI183" s="113">
        <v>0</v>
      </c>
      <c r="AJ183" s="113">
        <v>0</v>
      </c>
      <c r="AK183" s="113">
        <v>0</v>
      </c>
      <c r="AL183" s="113">
        <v>0</v>
      </c>
      <c r="AM183" s="113">
        <v>0</v>
      </c>
      <c r="AN183" s="113">
        <v>0</v>
      </c>
      <c r="AO183" s="113">
        <v>0</v>
      </c>
      <c r="AP183" s="113">
        <v>0</v>
      </c>
      <c r="AQ183" s="113">
        <v>0</v>
      </c>
      <c r="AR183" s="113">
        <v>0</v>
      </c>
      <c r="AS183" s="113">
        <v>0</v>
      </c>
      <c r="AT183" s="113">
        <v>0</v>
      </c>
      <c r="AU183" s="113">
        <v>0</v>
      </c>
      <c r="AV183" s="113">
        <v>0</v>
      </c>
      <c r="AW183" s="113">
        <v>0</v>
      </c>
      <c r="AX183" s="113">
        <v>0</v>
      </c>
      <c r="AY183" s="113">
        <v>10287</v>
      </c>
      <c r="AZ183" s="113">
        <v>216</v>
      </c>
      <c r="BA183" s="113">
        <v>0</v>
      </c>
      <c r="BB183" s="113">
        <v>0</v>
      </c>
      <c r="BC183" s="113">
        <v>0</v>
      </c>
      <c r="BD183" s="113">
        <v>0</v>
      </c>
      <c r="BF183" s="113">
        <f t="shared" si="8"/>
        <v>81300</v>
      </c>
      <c r="BG183" s="113">
        <f t="shared" si="9"/>
        <v>1700</v>
      </c>
      <c r="BH183" s="113">
        <f t="shared" si="10"/>
        <v>0</v>
      </c>
      <c r="BI183" s="113">
        <f t="shared" si="11"/>
        <v>318</v>
      </c>
    </row>
    <row r="184" spans="1:61">
      <c r="A184" s="102" t="s">
        <v>265</v>
      </c>
      <c r="B184" s="24" t="s">
        <v>596</v>
      </c>
      <c r="C184" s="103" t="s">
        <v>266</v>
      </c>
      <c r="D184" s="113">
        <v>0</v>
      </c>
      <c r="E184" s="113">
        <v>112320</v>
      </c>
      <c r="F184" s="113">
        <v>1491</v>
      </c>
      <c r="G184" s="113">
        <v>0</v>
      </c>
      <c r="H184" s="113">
        <v>0</v>
      </c>
      <c r="I184" s="113">
        <v>0</v>
      </c>
      <c r="J184" s="113">
        <v>0</v>
      </c>
      <c r="K184" s="113">
        <v>0</v>
      </c>
      <c r="L184" s="113">
        <v>0</v>
      </c>
      <c r="M184" s="113">
        <v>0</v>
      </c>
      <c r="N184" s="113">
        <v>0</v>
      </c>
      <c r="O184" s="113">
        <v>0</v>
      </c>
      <c r="P184" s="113">
        <v>0</v>
      </c>
      <c r="Q184" s="113">
        <v>0</v>
      </c>
      <c r="R184" s="113">
        <v>0</v>
      </c>
      <c r="S184" s="113">
        <v>0</v>
      </c>
      <c r="T184" s="113">
        <v>0</v>
      </c>
      <c r="U184" s="113">
        <v>0</v>
      </c>
      <c r="V184" s="113">
        <v>0</v>
      </c>
      <c r="W184" s="113">
        <v>0</v>
      </c>
      <c r="X184" s="113">
        <v>0</v>
      </c>
      <c r="Y184" s="113">
        <v>0</v>
      </c>
      <c r="Z184" s="113">
        <v>0</v>
      </c>
      <c r="AA184" s="113">
        <v>0</v>
      </c>
      <c r="AB184" s="113">
        <v>0</v>
      </c>
      <c r="AC184" s="113">
        <v>0</v>
      </c>
      <c r="AD184" s="113">
        <v>0</v>
      </c>
      <c r="AE184" s="113">
        <v>0</v>
      </c>
      <c r="AF184" s="113">
        <v>0</v>
      </c>
      <c r="AG184" s="113">
        <v>0</v>
      </c>
      <c r="AH184" s="113">
        <v>0</v>
      </c>
      <c r="AI184" s="113">
        <v>0</v>
      </c>
      <c r="AJ184" s="113">
        <v>0</v>
      </c>
      <c r="AK184" s="113">
        <v>0</v>
      </c>
      <c r="AL184" s="113">
        <v>0</v>
      </c>
      <c r="AM184" s="113">
        <v>0</v>
      </c>
      <c r="AN184" s="113">
        <v>0</v>
      </c>
      <c r="AO184" s="113">
        <v>0</v>
      </c>
      <c r="AP184" s="113">
        <v>0</v>
      </c>
      <c r="AQ184" s="113">
        <v>0</v>
      </c>
      <c r="AR184" s="113">
        <v>0</v>
      </c>
      <c r="AS184" s="113">
        <v>0</v>
      </c>
      <c r="AT184" s="113">
        <v>0</v>
      </c>
      <c r="AU184" s="113">
        <v>0</v>
      </c>
      <c r="AV184" s="113">
        <v>0</v>
      </c>
      <c r="AW184" s="113">
        <v>0</v>
      </c>
      <c r="AX184" s="113">
        <v>0</v>
      </c>
      <c r="AY184" s="113">
        <v>0</v>
      </c>
      <c r="AZ184" s="113">
        <v>0</v>
      </c>
      <c r="BA184" s="113">
        <v>0</v>
      </c>
      <c r="BB184" s="113">
        <v>0</v>
      </c>
      <c r="BC184" s="113">
        <v>0</v>
      </c>
      <c r="BD184" s="113">
        <v>0</v>
      </c>
      <c r="BF184" s="113">
        <f t="shared" si="8"/>
        <v>112320</v>
      </c>
      <c r="BG184" s="113">
        <f t="shared" si="9"/>
        <v>1491</v>
      </c>
      <c r="BH184" s="113">
        <f t="shared" si="10"/>
        <v>0</v>
      </c>
      <c r="BI184" s="113">
        <f t="shared" si="11"/>
        <v>0</v>
      </c>
    </row>
    <row r="185" spans="1:61">
      <c r="A185" s="102" t="s">
        <v>267</v>
      </c>
      <c r="B185" s="24" t="s">
        <v>597</v>
      </c>
      <c r="C185" s="103" t="s">
        <v>268</v>
      </c>
      <c r="D185" s="113">
        <v>0</v>
      </c>
      <c r="E185" s="113">
        <v>86280</v>
      </c>
      <c r="F185" s="113">
        <v>11596</v>
      </c>
      <c r="G185" s="113">
        <v>0</v>
      </c>
      <c r="H185" s="113">
        <v>0</v>
      </c>
      <c r="I185" s="113">
        <v>0</v>
      </c>
      <c r="J185" s="113">
        <v>0</v>
      </c>
      <c r="K185" s="113">
        <v>9735</v>
      </c>
      <c r="L185" s="113">
        <v>0</v>
      </c>
      <c r="M185" s="113">
        <v>670</v>
      </c>
      <c r="N185" s="113">
        <v>0</v>
      </c>
      <c r="O185" s="113">
        <v>0</v>
      </c>
      <c r="P185" s="113">
        <v>0</v>
      </c>
      <c r="Q185" s="113">
        <v>0</v>
      </c>
      <c r="R185" s="113">
        <v>0</v>
      </c>
      <c r="S185" s="113">
        <v>0</v>
      </c>
      <c r="T185" s="113">
        <v>0</v>
      </c>
      <c r="U185" s="113">
        <v>0</v>
      </c>
      <c r="V185" s="113">
        <v>0</v>
      </c>
      <c r="W185" s="113">
        <v>0</v>
      </c>
      <c r="X185" s="113">
        <v>0</v>
      </c>
      <c r="Y185" s="113">
        <v>0</v>
      </c>
      <c r="Z185" s="113">
        <v>0</v>
      </c>
      <c r="AA185" s="113">
        <v>0</v>
      </c>
      <c r="AB185" s="113">
        <v>0</v>
      </c>
      <c r="AC185" s="113">
        <v>0</v>
      </c>
      <c r="AD185" s="113">
        <v>37269</v>
      </c>
      <c r="AE185" s="113">
        <v>2833</v>
      </c>
      <c r="AF185" s="113">
        <v>0</v>
      </c>
      <c r="AG185" s="113">
        <v>0</v>
      </c>
      <c r="AH185" s="113">
        <v>0</v>
      </c>
      <c r="AI185" s="113">
        <v>0</v>
      </c>
      <c r="AJ185" s="113">
        <v>0</v>
      </c>
      <c r="AK185" s="113">
        <v>0</v>
      </c>
      <c r="AL185" s="113">
        <v>0</v>
      </c>
      <c r="AM185" s="113">
        <v>0</v>
      </c>
      <c r="AN185" s="113">
        <v>0</v>
      </c>
      <c r="AO185" s="113">
        <v>0</v>
      </c>
      <c r="AP185" s="113">
        <v>0</v>
      </c>
      <c r="AQ185" s="113">
        <v>0</v>
      </c>
      <c r="AR185" s="113">
        <v>0</v>
      </c>
      <c r="AS185" s="113">
        <v>0</v>
      </c>
      <c r="AT185" s="113">
        <v>0</v>
      </c>
      <c r="AU185" s="113">
        <v>0</v>
      </c>
      <c r="AV185" s="113">
        <v>0</v>
      </c>
      <c r="AW185" s="113">
        <v>0</v>
      </c>
      <c r="AX185" s="113">
        <v>0</v>
      </c>
      <c r="AY185" s="113">
        <v>0</v>
      </c>
      <c r="AZ185" s="113">
        <v>0</v>
      </c>
      <c r="BA185" s="113">
        <v>0</v>
      </c>
      <c r="BB185" s="113">
        <v>0</v>
      </c>
      <c r="BC185" s="113">
        <v>0</v>
      </c>
      <c r="BD185" s="113">
        <v>0</v>
      </c>
      <c r="BF185" s="113">
        <f t="shared" si="8"/>
        <v>133284</v>
      </c>
      <c r="BG185" s="113">
        <f t="shared" si="9"/>
        <v>14429</v>
      </c>
      <c r="BH185" s="113">
        <f t="shared" si="10"/>
        <v>670</v>
      </c>
      <c r="BI185" s="113">
        <f t="shared" si="11"/>
        <v>0</v>
      </c>
    </row>
    <row r="186" spans="1:61">
      <c r="A186" s="102" t="s">
        <v>269</v>
      </c>
      <c r="B186" s="24" t="s">
        <v>598</v>
      </c>
      <c r="C186" s="103" t="s">
        <v>270</v>
      </c>
      <c r="D186" s="113">
        <v>0</v>
      </c>
      <c r="E186" s="113">
        <v>143333</v>
      </c>
      <c r="F186" s="113">
        <v>1978</v>
      </c>
      <c r="G186" s="113">
        <v>0</v>
      </c>
      <c r="H186" s="113">
        <v>0</v>
      </c>
      <c r="I186" s="113">
        <v>0</v>
      </c>
      <c r="J186" s="113">
        <v>0</v>
      </c>
      <c r="K186" s="113">
        <v>0</v>
      </c>
      <c r="L186" s="113">
        <v>0</v>
      </c>
      <c r="M186" s="113">
        <v>0</v>
      </c>
      <c r="N186" s="113">
        <v>0</v>
      </c>
      <c r="O186" s="113">
        <v>0</v>
      </c>
      <c r="P186" s="113">
        <v>0</v>
      </c>
      <c r="Q186" s="113">
        <v>0</v>
      </c>
      <c r="R186" s="113">
        <v>0</v>
      </c>
      <c r="S186" s="113">
        <v>0</v>
      </c>
      <c r="T186" s="113">
        <v>0</v>
      </c>
      <c r="U186" s="113">
        <v>0</v>
      </c>
      <c r="V186" s="113">
        <v>0</v>
      </c>
      <c r="W186" s="113">
        <v>0</v>
      </c>
      <c r="X186" s="113">
        <v>0</v>
      </c>
      <c r="Y186" s="113">
        <v>0</v>
      </c>
      <c r="Z186" s="113">
        <v>0</v>
      </c>
      <c r="AA186" s="113">
        <v>0</v>
      </c>
      <c r="AB186" s="113">
        <v>0</v>
      </c>
      <c r="AC186" s="113">
        <v>0</v>
      </c>
      <c r="AD186" s="113">
        <v>50687</v>
      </c>
      <c r="AE186" s="113">
        <v>702</v>
      </c>
      <c r="AF186" s="113">
        <v>0</v>
      </c>
      <c r="AG186" s="113">
        <v>0</v>
      </c>
      <c r="AH186" s="113">
        <v>0</v>
      </c>
      <c r="AI186" s="113">
        <v>0</v>
      </c>
      <c r="AJ186" s="113">
        <v>0</v>
      </c>
      <c r="AK186" s="113">
        <v>0</v>
      </c>
      <c r="AL186" s="113">
        <v>0</v>
      </c>
      <c r="AM186" s="113">
        <v>0</v>
      </c>
      <c r="AN186" s="113">
        <v>0</v>
      </c>
      <c r="AO186" s="113">
        <v>0</v>
      </c>
      <c r="AP186" s="113">
        <v>0</v>
      </c>
      <c r="AQ186" s="113">
        <v>0</v>
      </c>
      <c r="AR186" s="113">
        <v>0</v>
      </c>
      <c r="AS186" s="113">
        <v>0</v>
      </c>
      <c r="AT186" s="113">
        <v>0</v>
      </c>
      <c r="AU186" s="113">
        <v>0</v>
      </c>
      <c r="AV186" s="113">
        <v>0</v>
      </c>
      <c r="AW186" s="113">
        <v>0</v>
      </c>
      <c r="AX186" s="113">
        <v>0</v>
      </c>
      <c r="AY186" s="113">
        <v>0</v>
      </c>
      <c r="AZ186" s="113">
        <v>0</v>
      </c>
      <c r="BA186" s="113">
        <v>0</v>
      </c>
      <c r="BB186" s="113">
        <v>0</v>
      </c>
      <c r="BC186" s="113">
        <v>0</v>
      </c>
      <c r="BD186" s="113">
        <v>0</v>
      </c>
      <c r="BF186" s="113">
        <f t="shared" si="8"/>
        <v>194020</v>
      </c>
      <c r="BG186" s="113">
        <f t="shared" si="9"/>
        <v>2680</v>
      </c>
      <c r="BH186" s="113">
        <f t="shared" si="10"/>
        <v>0</v>
      </c>
      <c r="BI186" s="113">
        <f t="shared" si="11"/>
        <v>0</v>
      </c>
    </row>
    <row r="187" spans="1:61">
      <c r="A187" s="102" t="s">
        <v>271</v>
      </c>
      <c r="B187" s="24" t="s">
        <v>599</v>
      </c>
      <c r="C187" s="103" t="s">
        <v>247</v>
      </c>
      <c r="D187" s="113">
        <v>0</v>
      </c>
      <c r="E187" s="113">
        <v>58007</v>
      </c>
      <c r="F187" s="113">
        <v>823</v>
      </c>
      <c r="G187" s="113">
        <v>0</v>
      </c>
      <c r="H187" s="113">
        <v>0</v>
      </c>
      <c r="I187" s="113">
        <v>0</v>
      </c>
      <c r="J187" s="113">
        <v>0</v>
      </c>
      <c r="K187" s="113">
        <v>0</v>
      </c>
      <c r="L187" s="113">
        <v>0</v>
      </c>
      <c r="M187" s="113">
        <v>0</v>
      </c>
      <c r="N187" s="113">
        <v>0</v>
      </c>
      <c r="O187" s="113">
        <v>0</v>
      </c>
      <c r="P187" s="113">
        <v>0</v>
      </c>
      <c r="Q187" s="113">
        <v>0</v>
      </c>
      <c r="R187" s="113">
        <v>0</v>
      </c>
      <c r="S187" s="113">
        <v>0</v>
      </c>
      <c r="T187" s="113">
        <v>0</v>
      </c>
      <c r="U187" s="113">
        <v>0</v>
      </c>
      <c r="V187" s="113">
        <v>0</v>
      </c>
      <c r="W187" s="113">
        <v>0</v>
      </c>
      <c r="X187" s="113">
        <v>0</v>
      </c>
      <c r="Y187" s="113">
        <v>0</v>
      </c>
      <c r="Z187" s="113">
        <v>0</v>
      </c>
      <c r="AA187" s="113">
        <v>0</v>
      </c>
      <c r="AB187" s="113">
        <v>0</v>
      </c>
      <c r="AC187" s="113">
        <v>0</v>
      </c>
      <c r="AD187" s="113">
        <v>27071</v>
      </c>
      <c r="AE187" s="113">
        <v>384</v>
      </c>
      <c r="AF187" s="113">
        <v>0</v>
      </c>
      <c r="AG187" s="113">
        <v>0</v>
      </c>
      <c r="AH187" s="113">
        <v>0</v>
      </c>
      <c r="AI187" s="113">
        <v>0</v>
      </c>
      <c r="AJ187" s="113">
        <v>0</v>
      </c>
      <c r="AK187" s="113">
        <v>0</v>
      </c>
      <c r="AL187" s="113">
        <v>0</v>
      </c>
      <c r="AM187" s="113">
        <v>0</v>
      </c>
      <c r="AN187" s="113">
        <v>0</v>
      </c>
      <c r="AO187" s="113">
        <v>0</v>
      </c>
      <c r="AP187" s="113">
        <v>0</v>
      </c>
      <c r="AQ187" s="113">
        <v>0</v>
      </c>
      <c r="AR187" s="113">
        <v>0</v>
      </c>
      <c r="AS187" s="113">
        <v>0</v>
      </c>
      <c r="AT187" s="113">
        <v>0</v>
      </c>
      <c r="AU187" s="113">
        <v>0</v>
      </c>
      <c r="AV187" s="113">
        <v>0</v>
      </c>
      <c r="AW187" s="113">
        <v>0</v>
      </c>
      <c r="AX187" s="113">
        <v>0</v>
      </c>
      <c r="AY187" s="113">
        <v>0</v>
      </c>
      <c r="AZ187" s="113">
        <v>0</v>
      </c>
      <c r="BA187" s="113">
        <v>0</v>
      </c>
      <c r="BB187" s="113">
        <v>0</v>
      </c>
      <c r="BC187" s="113">
        <v>0</v>
      </c>
      <c r="BD187" s="113">
        <v>0</v>
      </c>
      <c r="BF187" s="113">
        <f t="shared" si="8"/>
        <v>85078</v>
      </c>
      <c r="BG187" s="113">
        <f t="shared" si="9"/>
        <v>1207</v>
      </c>
      <c r="BH187" s="113">
        <f t="shared" si="10"/>
        <v>0</v>
      </c>
      <c r="BI187" s="113">
        <f t="shared" si="11"/>
        <v>0</v>
      </c>
    </row>
    <row r="188" spans="1:61">
      <c r="A188" s="102" t="s">
        <v>272</v>
      </c>
      <c r="B188" s="24" t="s">
        <v>600</v>
      </c>
      <c r="C188" s="103" t="s">
        <v>273</v>
      </c>
      <c r="D188" s="113">
        <v>0</v>
      </c>
      <c r="E188" s="113">
        <v>16516</v>
      </c>
      <c r="F188" s="113">
        <v>0</v>
      </c>
      <c r="G188" s="113">
        <v>0</v>
      </c>
      <c r="H188" s="113">
        <v>0</v>
      </c>
      <c r="I188" s="113">
        <v>0</v>
      </c>
      <c r="J188" s="113">
        <v>0</v>
      </c>
      <c r="K188" s="113">
        <v>5354</v>
      </c>
      <c r="L188" s="113">
        <v>0</v>
      </c>
      <c r="M188" s="113">
        <v>0</v>
      </c>
      <c r="N188" s="113">
        <v>0</v>
      </c>
      <c r="O188" s="113">
        <v>0</v>
      </c>
      <c r="P188" s="113">
        <v>0</v>
      </c>
      <c r="Q188" s="113">
        <v>0</v>
      </c>
      <c r="R188" s="113">
        <v>0</v>
      </c>
      <c r="S188" s="113">
        <v>0</v>
      </c>
      <c r="T188" s="113">
        <v>0</v>
      </c>
      <c r="U188" s="113">
        <v>0</v>
      </c>
      <c r="V188" s="113">
        <v>0</v>
      </c>
      <c r="W188" s="113">
        <v>0</v>
      </c>
      <c r="X188" s="113">
        <v>0</v>
      </c>
      <c r="Y188" s="113">
        <v>0</v>
      </c>
      <c r="Z188" s="113">
        <v>0</v>
      </c>
      <c r="AA188" s="113">
        <v>0</v>
      </c>
      <c r="AB188" s="113">
        <v>0</v>
      </c>
      <c r="AC188" s="113">
        <v>0</v>
      </c>
      <c r="AD188" s="113">
        <v>17648</v>
      </c>
      <c r="AE188" s="113">
        <v>0</v>
      </c>
      <c r="AF188" s="113">
        <v>0</v>
      </c>
      <c r="AG188" s="113">
        <v>0</v>
      </c>
      <c r="AH188" s="113">
        <v>0</v>
      </c>
      <c r="AI188" s="113">
        <v>0</v>
      </c>
      <c r="AJ188" s="113">
        <v>0</v>
      </c>
      <c r="AK188" s="113">
        <v>0</v>
      </c>
      <c r="AL188" s="113">
        <v>0</v>
      </c>
      <c r="AM188" s="113">
        <v>0</v>
      </c>
      <c r="AN188" s="113">
        <v>0</v>
      </c>
      <c r="AO188" s="113">
        <v>0</v>
      </c>
      <c r="AP188" s="113">
        <v>0</v>
      </c>
      <c r="AQ188" s="113">
        <v>0</v>
      </c>
      <c r="AR188" s="113">
        <v>0</v>
      </c>
      <c r="AS188" s="113">
        <v>0</v>
      </c>
      <c r="AT188" s="113">
        <v>0</v>
      </c>
      <c r="AU188" s="113">
        <v>0</v>
      </c>
      <c r="AV188" s="113">
        <v>0</v>
      </c>
      <c r="AW188" s="113">
        <v>0</v>
      </c>
      <c r="AX188" s="113">
        <v>0</v>
      </c>
      <c r="AY188" s="113">
        <v>6838</v>
      </c>
      <c r="AZ188" s="113">
        <v>0</v>
      </c>
      <c r="BA188" s="113">
        <v>0</v>
      </c>
      <c r="BB188" s="113">
        <v>0</v>
      </c>
      <c r="BC188" s="113">
        <v>0</v>
      </c>
      <c r="BD188" s="113">
        <v>0</v>
      </c>
      <c r="BF188" s="113">
        <f t="shared" si="8"/>
        <v>39518</v>
      </c>
      <c r="BG188" s="113">
        <f t="shared" si="9"/>
        <v>0</v>
      </c>
      <c r="BH188" s="113">
        <f t="shared" si="10"/>
        <v>0</v>
      </c>
      <c r="BI188" s="113">
        <f t="shared" si="11"/>
        <v>0</v>
      </c>
    </row>
    <row r="189" spans="1:61">
      <c r="A189" s="102" t="s">
        <v>274</v>
      </c>
      <c r="B189" s="24" t="s">
        <v>275</v>
      </c>
      <c r="C189" s="103" t="s">
        <v>275</v>
      </c>
      <c r="D189" s="113">
        <v>0</v>
      </c>
      <c r="E189" s="113">
        <v>151734</v>
      </c>
      <c r="F189" s="113">
        <v>1771</v>
      </c>
      <c r="G189" s="113">
        <v>0</v>
      </c>
      <c r="H189" s="113">
        <v>0</v>
      </c>
      <c r="I189" s="113">
        <v>0</v>
      </c>
      <c r="J189" s="113">
        <v>0</v>
      </c>
      <c r="K189" s="113">
        <v>32044</v>
      </c>
      <c r="L189" s="113">
        <v>375</v>
      </c>
      <c r="M189" s="113">
        <v>0</v>
      </c>
      <c r="N189" s="113">
        <v>0</v>
      </c>
      <c r="O189" s="113">
        <v>0</v>
      </c>
      <c r="P189" s="113">
        <v>0</v>
      </c>
      <c r="Q189" s="113">
        <v>0</v>
      </c>
      <c r="R189" s="113">
        <v>0</v>
      </c>
      <c r="S189" s="113">
        <v>0</v>
      </c>
      <c r="T189" s="113">
        <v>0</v>
      </c>
      <c r="U189" s="113">
        <v>0</v>
      </c>
      <c r="V189" s="113">
        <v>0</v>
      </c>
      <c r="W189" s="113">
        <v>0</v>
      </c>
      <c r="X189" s="113">
        <v>0</v>
      </c>
      <c r="Y189" s="113">
        <v>0</v>
      </c>
      <c r="Z189" s="113">
        <v>0</v>
      </c>
      <c r="AA189" s="113">
        <v>0</v>
      </c>
      <c r="AB189" s="113">
        <v>0</v>
      </c>
      <c r="AC189" s="113">
        <v>0</v>
      </c>
      <c r="AD189" s="113">
        <v>75352</v>
      </c>
      <c r="AE189" s="113">
        <v>876</v>
      </c>
      <c r="AF189" s="113">
        <v>0</v>
      </c>
      <c r="AG189" s="113">
        <v>0</v>
      </c>
      <c r="AH189" s="113">
        <v>0</v>
      </c>
      <c r="AI189" s="113">
        <v>0</v>
      </c>
      <c r="AJ189" s="113">
        <v>0</v>
      </c>
      <c r="AK189" s="113">
        <v>0</v>
      </c>
      <c r="AL189" s="113">
        <v>0</v>
      </c>
      <c r="AM189" s="113">
        <v>0</v>
      </c>
      <c r="AN189" s="113">
        <v>0</v>
      </c>
      <c r="AO189" s="113">
        <v>0</v>
      </c>
      <c r="AP189" s="113">
        <v>0</v>
      </c>
      <c r="AQ189" s="113">
        <v>0</v>
      </c>
      <c r="AR189" s="113">
        <v>0</v>
      </c>
      <c r="AS189" s="113">
        <v>0</v>
      </c>
      <c r="AT189" s="113">
        <v>0</v>
      </c>
      <c r="AU189" s="113">
        <v>0</v>
      </c>
      <c r="AV189" s="113">
        <v>0</v>
      </c>
      <c r="AW189" s="113">
        <v>0</v>
      </c>
      <c r="AX189" s="113">
        <v>0</v>
      </c>
      <c r="AY189" s="113">
        <v>0</v>
      </c>
      <c r="AZ189" s="113">
        <v>0</v>
      </c>
      <c r="BA189" s="113">
        <v>0</v>
      </c>
      <c r="BB189" s="113">
        <v>0</v>
      </c>
      <c r="BC189" s="113">
        <v>0</v>
      </c>
      <c r="BD189" s="113">
        <v>0</v>
      </c>
      <c r="BF189" s="113">
        <f t="shared" si="8"/>
        <v>259130</v>
      </c>
      <c r="BG189" s="113">
        <f t="shared" si="9"/>
        <v>3022</v>
      </c>
      <c r="BH189" s="113">
        <f t="shared" si="10"/>
        <v>0</v>
      </c>
      <c r="BI189" s="113">
        <f t="shared" si="11"/>
        <v>0</v>
      </c>
    </row>
    <row r="190" spans="1:61">
      <c r="A190" s="102" t="s">
        <v>276</v>
      </c>
      <c r="B190" s="24" t="s">
        <v>601</v>
      </c>
      <c r="C190" s="103" t="s">
        <v>268</v>
      </c>
      <c r="D190" s="113">
        <v>7195</v>
      </c>
      <c r="E190" s="113">
        <v>703887</v>
      </c>
      <c r="F190" s="113">
        <v>7846</v>
      </c>
      <c r="G190" s="113">
        <v>29517</v>
      </c>
      <c r="H190" s="113">
        <v>19666</v>
      </c>
      <c r="I190" s="113">
        <v>220</v>
      </c>
      <c r="J190" s="113">
        <v>799</v>
      </c>
      <c r="K190" s="113">
        <v>190191</v>
      </c>
      <c r="L190" s="113">
        <v>2138</v>
      </c>
      <c r="M190" s="113">
        <v>0</v>
      </c>
      <c r="N190" s="113">
        <v>20020</v>
      </c>
      <c r="O190" s="113">
        <v>0</v>
      </c>
      <c r="P190" s="113">
        <v>0</v>
      </c>
      <c r="Q190" s="113">
        <v>0</v>
      </c>
      <c r="R190" s="113">
        <v>0</v>
      </c>
      <c r="S190" s="113">
        <v>0</v>
      </c>
      <c r="T190" s="113">
        <v>0</v>
      </c>
      <c r="U190" s="113">
        <v>0</v>
      </c>
      <c r="V190" s="113">
        <v>0</v>
      </c>
      <c r="W190" s="113">
        <v>0</v>
      </c>
      <c r="X190" s="113">
        <v>0</v>
      </c>
      <c r="Y190" s="113">
        <v>0</v>
      </c>
      <c r="Z190" s="113">
        <v>0</v>
      </c>
      <c r="AA190" s="113">
        <v>0</v>
      </c>
      <c r="AB190" s="113">
        <v>0</v>
      </c>
      <c r="AC190" s="113">
        <v>0</v>
      </c>
      <c r="AD190" s="113">
        <v>208294</v>
      </c>
      <c r="AE190" s="113">
        <v>2317</v>
      </c>
      <c r="AF190" s="113">
        <v>8439</v>
      </c>
      <c r="AG190" s="113">
        <v>0</v>
      </c>
      <c r="AH190" s="113">
        <v>0</v>
      </c>
      <c r="AI190" s="113">
        <v>0</v>
      </c>
      <c r="AJ190" s="113">
        <v>0</v>
      </c>
      <c r="AK190" s="113">
        <v>0</v>
      </c>
      <c r="AL190" s="113">
        <v>0</v>
      </c>
      <c r="AM190" s="113">
        <v>3882</v>
      </c>
      <c r="AN190" s="113">
        <v>44</v>
      </c>
      <c r="AO190" s="113">
        <v>147</v>
      </c>
      <c r="AP190" s="113">
        <v>0</v>
      </c>
      <c r="AQ190" s="113">
        <v>0</v>
      </c>
      <c r="AR190" s="113">
        <v>0</v>
      </c>
      <c r="AS190" s="113">
        <v>0</v>
      </c>
      <c r="AT190" s="113">
        <v>0</v>
      </c>
      <c r="AU190" s="113">
        <v>0</v>
      </c>
      <c r="AV190" s="113">
        <v>0</v>
      </c>
      <c r="AW190" s="113">
        <v>0</v>
      </c>
      <c r="AX190" s="113">
        <v>0</v>
      </c>
      <c r="AY190" s="113">
        <v>0</v>
      </c>
      <c r="AZ190" s="113">
        <v>0</v>
      </c>
      <c r="BA190" s="113">
        <v>0</v>
      </c>
      <c r="BB190" s="113">
        <v>0</v>
      </c>
      <c r="BC190" s="113">
        <v>0</v>
      </c>
      <c r="BD190" s="113">
        <v>0</v>
      </c>
      <c r="BF190" s="113">
        <f t="shared" si="8"/>
        <v>1125920</v>
      </c>
      <c r="BG190" s="113">
        <f t="shared" si="9"/>
        <v>12565</v>
      </c>
      <c r="BH190" s="113">
        <f t="shared" si="10"/>
        <v>0</v>
      </c>
      <c r="BI190" s="113">
        <f t="shared" si="11"/>
        <v>66117</v>
      </c>
    </row>
    <row r="191" spans="1:61">
      <c r="A191" s="102" t="s">
        <v>277</v>
      </c>
      <c r="B191" s="24" t="s">
        <v>469</v>
      </c>
      <c r="C191" s="103" t="s">
        <v>268</v>
      </c>
      <c r="D191" s="113">
        <v>0</v>
      </c>
      <c r="E191" s="113">
        <v>49468</v>
      </c>
      <c r="F191" s="113">
        <v>1134</v>
      </c>
      <c r="G191" s="113">
        <v>0</v>
      </c>
      <c r="H191" s="113">
        <v>0</v>
      </c>
      <c r="I191" s="113">
        <v>0</v>
      </c>
      <c r="J191" s="113">
        <v>0</v>
      </c>
      <c r="K191" s="113">
        <v>0</v>
      </c>
      <c r="L191" s="113">
        <v>0</v>
      </c>
      <c r="M191" s="113">
        <v>0</v>
      </c>
      <c r="N191" s="113">
        <v>0</v>
      </c>
      <c r="O191" s="113">
        <v>0</v>
      </c>
      <c r="P191" s="113">
        <v>0</v>
      </c>
      <c r="Q191" s="113">
        <v>0</v>
      </c>
      <c r="R191" s="113">
        <v>0</v>
      </c>
      <c r="S191" s="113">
        <v>0</v>
      </c>
      <c r="T191" s="113">
        <v>0</v>
      </c>
      <c r="U191" s="113">
        <v>0</v>
      </c>
      <c r="V191" s="113">
        <v>0</v>
      </c>
      <c r="W191" s="113">
        <v>0</v>
      </c>
      <c r="X191" s="113">
        <v>0</v>
      </c>
      <c r="Y191" s="113">
        <v>0</v>
      </c>
      <c r="Z191" s="113">
        <v>0</v>
      </c>
      <c r="AA191" s="113">
        <v>0</v>
      </c>
      <c r="AB191" s="113">
        <v>0</v>
      </c>
      <c r="AC191" s="113">
        <v>0</v>
      </c>
      <c r="AD191" s="113">
        <v>18869</v>
      </c>
      <c r="AE191" s="113">
        <v>438</v>
      </c>
      <c r="AF191" s="113">
        <v>0</v>
      </c>
      <c r="AG191" s="113">
        <v>0</v>
      </c>
      <c r="AH191" s="113">
        <v>0</v>
      </c>
      <c r="AI191" s="113">
        <v>0</v>
      </c>
      <c r="AJ191" s="113">
        <v>0</v>
      </c>
      <c r="AK191" s="113">
        <v>0</v>
      </c>
      <c r="AL191" s="113">
        <v>0</v>
      </c>
      <c r="AM191" s="113">
        <v>0</v>
      </c>
      <c r="AN191" s="113">
        <v>0</v>
      </c>
      <c r="AO191" s="113">
        <v>0</v>
      </c>
      <c r="AP191" s="113">
        <v>0</v>
      </c>
      <c r="AQ191" s="113">
        <v>0</v>
      </c>
      <c r="AR191" s="113">
        <v>0</v>
      </c>
      <c r="AS191" s="113">
        <v>0</v>
      </c>
      <c r="AT191" s="113">
        <v>0</v>
      </c>
      <c r="AU191" s="113">
        <v>0</v>
      </c>
      <c r="AV191" s="113">
        <v>0</v>
      </c>
      <c r="AW191" s="113">
        <v>0</v>
      </c>
      <c r="AX191" s="113">
        <v>0</v>
      </c>
      <c r="AY191" s="113">
        <v>0</v>
      </c>
      <c r="AZ191" s="113">
        <v>0</v>
      </c>
      <c r="BA191" s="113">
        <v>0</v>
      </c>
      <c r="BB191" s="113">
        <v>0</v>
      </c>
      <c r="BC191" s="113">
        <v>0</v>
      </c>
      <c r="BD191" s="113">
        <v>0</v>
      </c>
      <c r="BF191" s="113">
        <f t="shared" si="8"/>
        <v>68337</v>
      </c>
      <c r="BG191" s="113">
        <f t="shared" si="9"/>
        <v>1572</v>
      </c>
      <c r="BH191" s="113">
        <f t="shared" si="10"/>
        <v>0</v>
      </c>
      <c r="BI191" s="113">
        <f t="shared" si="11"/>
        <v>0</v>
      </c>
    </row>
    <row r="192" spans="1:61">
      <c r="A192" s="102" t="s">
        <v>278</v>
      </c>
      <c r="B192" s="24" t="s">
        <v>602</v>
      </c>
      <c r="C192" s="103" t="s">
        <v>42</v>
      </c>
      <c r="D192" s="113">
        <v>22290</v>
      </c>
      <c r="E192" s="113">
        <v>518833</v>
      </c>
      <c r="F192" s="113">
        <v>3542</v>
      </c>
      <c r="G192" s="113">
        <v>17198</v>
      </c>
      <c r="H192" s="113">
        <v>0</v>
      </c>
      <c r="I192" s="113">
        <v>0</v>
      </c>
      <c r="J192" s="113">
        <v>0</v>
      </c>
      <c r="K192" s="113">
        <v>234077</v>
      </c>
      <c r="L192" s="113">
        <v>1602</v>
      </c>
      <c r="M192" s="113">
        <v>49</v>
      </c>
      <c r="N192" s="113">
        <v>7803</v>
      </c>
      <c r="O192" s="113">
        <v>0</v>
      </c>
      <c r="P192" s="113">
        <v>0</v>
      </c>
      <c r="Q192" s="113">
        <v>0</v>
      </c>
      <c r="R192" s="113">
        <v>0</v>
      </c>
      <c r="S192" s="113">
        <v>0</v>
      </c>
      <c r="T192" s="113">
        <v>0</v>
      </c>
      <c r="U192" s="113">
        <v>0</v>
      </c>
      <c r="V192" s="113">
        <v>0</v>
      </c>
      <c r="W192" s="113">
        <v>0</v>
      </c>
      <c r="X192" s="113">
        <v>0</v>
      </c>
      <c r="Y192" s="113">
        <v>0</v>
      </c>
      <c r="Z192" s="113">
        <v>0</v>
      </c>
      <c r="AA192" s="113">
        <v>0</v>
      </c>
      <c r="AB192" s="113">
        <v>0</v>
      </c>
      <c r="AC192" s="113">
        <v>0</v>
      </c>
      <c r="AD192" s="113">
        <v>548861</v>
      </c>
      <c r="AE192" s="113">
        <v>3773</v>
      </c>
      <c r="AF192" s="113">
        <v>20045</v>
      </c>
      <c r="AG192" s="113">
        <v>0</v>
      </c>
      <c r="AH192" s="113">
        <v>0</v>
      </c>
      <c r="AI192" s="113">
        <v>0</v>
      </c>
      <c r="AJ192" s="113">
        <v>0</v>
      </c>
      <c r="AK192" s="113">
        <v>0</v>
      </c>
      <c r="AL192" s="113">
        <v>0</v>
      </c>
      <c r="AM192" s="113">
        <v>0</v>
      </c>
      <c r="AN192" s="113">
        <v>0</v>
      </c>
      <c r="AO192" s="113">
        <v>0</v>
      </c>
      <c r="AP192" s="113">
        <v>0</v>
      </c>
      <c r="AQ192" s="113">
        <v>0</v>
      </c>
      <c r="AR192" s="113">
        <v>0</v>
      </c>
      <c r="AS192" s="113">
        <v>0</v>
      </c>
      <c r="AT192" s="113">
        <v>0</v>
      </c>
      <c r="AU192" s="113">
        <v>0</v>
      </c>
      <c r="AV192" s="113">
        <v>0</v>
      </c>
      <c r="AW192" s="113">
        <v>0</v>
      </c>
      <c r="AX192" s="113">
        <v>0</v>
      </c>
      <c r="AY192" s="113">
        <v>0</v>
      </c>
      <c r="AZ192" s="113">
        <v>0</v>
      </c>
      <c r="BA192" s="113">
        <v>0</v>
      </c>
      <c r="BB192" s="113">
        <v>0</v>
      </c>
      <c r="BC192" s="113">
        <v>0</v>
      </c>
      <c r="BD192" s="113">
        <v>0</v>
      </c>
      <c r="BF192" s="113">
        <f t="shared" si="8"/>
        <v>1301771</v>
      </c>
      <c r="BG192" s="113">
        <f t="shared" si="9"/>
        <v>8917</v>
      </c>
      <c r="BH192" s="113">
        <f t="shared" si="10"/>
        <v>49</v>
      </c>
      <c r="BI192" s="113">
        <f t="shared" si="11"/>
        <v>67336</v>
      </c>
    </row>
    <row r="193" spans="1:61">
      <c r="A193" s="102" t="s">
        <v>279</v>
      </c>
      <c r="B193" s="24" t="s">
        <v>603</v>
      </c>
      <c r="C193" s="103" t="s">
        <v>280</v>
      </c>
      <c r="D193" s="113">
        <v>0</v>
      </c>
      <c r="E193" s="113">
        <v>29743</v>
      </c>
      <c r="F193" s="113">
        <v>537</v>
      </c>
      <c r="G193" s="113">
        <v>0</v>
      </c>
      <c r="H193" s="113">
        <v>0</v>
      </c>
      <c r="I193" s="113">
        <v>0</v>
      </c>
      <c r="J193" s="113">
        <v>0</v>
      </c>
      <c r="K193" s="113">
        <v>3031</v>
      </c>
      <c r="L193" s="113">
        <v>65</v>
      </c>
      <c r="M193" s="113">
        <v>0</v>
      </c>
      <c r="N193" s="113">
        <v>0</v>
      </c>
      <c r="O193" s="113">
        <v>0</v>
      </c>
      <c r="P193" s="113">
        <v>0</v>
      </c>
      <c r="Q193" s="113">
        <v>0</v>
      </c>
      <c r="R193" s="113">
        <v>0</v>
      </c>
      <c r="S193" s="113">
        <v>0</v>
      </c>
      <c r="T193" s="113">
        <v>0</v>
      </c>
      <c r="U193" s="113">
        <v>0</v>
      </c>
      <c r="V193" s="113">
        <v>0</v>
      </c>
      <c r="W193" s="113">
        <v>0</v>
      </c>
      <c r="X193" s="113">
        <v>0</v>
      </c>
      <c r="Y193" s="113">
        <v>0</v>
      </c>
      <c r="Z193" s="113">
        <v>0</v>
      </c>
      <c r="AA193" s="113">
        <v>0</v>
      </c>
      <c r="AB193" s="113">
        <v>0</v>
      </c>
      <c r="AC193" s="113">
        <v>0</v>
      </c>
      <c r="AD193" s="113">
        <v>0</v>
      </c>
      <c r="AE193" s="113">
        <v>0</v>
      </c>
      <c r="AF193" s="113">
        <v>0</v>
      </c>
      <c r="AG193" s="113">
        <v>0</v>
      </c>
      <c r="AH193" s="113">
        <v>0</v>
      </c>
      <c r="AI193" s="113">
        <v>0</v>
      </c>
      <c r="AJ193" s="113">
        <v>0</v>
      </c>
      <c r="AK193" s="113">
        <v>0</v>
      </c>
      <c r="AL193" s="113">
        <v>0</v>
      </c>
      <c r="AM193" s="113">
        <v>0</v>
      </c>
      <c r="AN193" s="113">
        <v>0</v>
      </c>
      <c r="AO193" s="113">
        <v>0</v>
      </c>
      <c r="AP193" s="113">
        <v>0</v>
      </c>
      <c r="AQ193" s="113">
        <v>0</v>
      </c>
      <c r="AR193" s="113">
        <v>0</v>
      </c>
      <c r="AS193" s="113">
        <v>0</v>
      </c>
      <c r="AT193" s="113">
        <v>0</v>
      </c>
      <c r="AU193" s="113">
        <v>0</v>
      </c>
      <c r="AV193" s="113">
        <v>0</v>
      </c>
      <c r="AW193" s="113">
        <v>0</v>
      </c>
      <c r="AX193" s="113">
        <v>0</v>
      </c>
      <c r="AY193" s="113">
        <v>0</v>
      </c>
      <c r="AZ193" s="113">
        <v>0</v>
      </c>
      <c r="BA193" s="113">
        <v>0</v>
      </c>
      <c r="BB193" s="113">
        <v>0</v>
      </c>
      <c r="BC193" s="113">
        <v>0</v>
      </c>
      <c r="BD193" s="113">
        <v>0</v>
      </c>
      <c r="BF193" s="113">
        <f t="shared" si="8"/>
        <v>32774</v>
      </c>
      <c r="BG193" s="113">
        <f t="shared" si="9"/>
        <v>602</v>
      </c>
      <c r="BH193" s="113">
        <f t="shared" si="10"/>
        <v>0</v>
      </c>
      <c r="BI193" s="113">
        <f t="shared" si="11"/>
        <v>0</v>
      </c>
    </row>
    <row r="194" spans="1:61">
      <c r="A194" s="102" t="s">
        <v>281</v>
      </c>
      <c r="B194" s="24" t="s">
        <v>604</v>
      </c>
      <c r="C194" s="103" t="s">
        <v>282</v>
      </c>
      <c r="D194" s="113">
        <v>0</v>
      </c>
      <c r="E194" s="113">
        <v>28539</v>
      </c>
      <c r="F194" s="113">
        <v>503</v>
      </c>
      <c r="G194" s="113">
        <v>0</v>
      </c>
      <c r="H194" s="113">
        <v>0</v>
      </c>
      <c r="I194" s="113">
        <v>0</v>
      </c>
      <c r="J194" s="113">
        <v>0</v>
      </c>
      <c r="K194" s="113">
        <v>0</v>
      </c>
      <c r="L194" s="113">
        <v>0</v>
      </c>
      <c r="M194" s="113">
        <v>0</v>
      </c>
      <c r="N194" s="113">
        <v>0</v>
      </c>
      <c r="O194" s="113">
        <v>0</v>
      </c>
      <c r="P194" s="113">
        <v>0</v>
      </c>
      <c r="Q194" s="113">
        <v>0</v>
      </c>
      <c r="R194" s="113">
        <v>0</v>
      </c>
      <c r="S194" s="113">
        <v>0</v>
      </c>
      <c r="T194" s="113">
        <v>0</v>
      </c>
      <c r="U194" s="113">
        <v>0</v>
      </c>
      <c r="V194" s="113">
        <v>0</v>
      </c>
      <c r="W194" s="113">
        <v>0</v>
      </c>
      <c r="X194" s="113">
        <v>0</v>
      </c>
      <c r="Y194" s="113">
        <v>0</v>
      </c>
      <c r="Z194" s="113">
        <v>0</v>
      </c>
      <c r="AA194" s="113">
        <v>0</v>
      </c>
      <c r="AB194" s="113">
        <v>0</v>
      </c>
      <c r="AC194" s="113">
        <v>0</v>
      </c>
      <c r="AD194" s="113">
        <v>0</v>
      </c>
      <c r="AE194" s="113">
        <v>0</v>
      </c>
      <c r="AF194" s="113">
        <v>0</v>
      </c>
      <c r="AG194" s="113">
        <v>0</v>
      </c>
      <c r="AH194" s="113">
        <v>0</v>
      </c>
      <c r="AI194" s="113">
        <v>0</v>
      </c>
      <c r="AJ194" s="113">
        <v>0</v>
      </c>
      <c r="AK194" s="113">
        <v>0</v>
      </c>
      <c r="AL194" s="113">
        <v>0</v>
      </c>
      <c r="AM194" s="113">
        <v>0</v>
      </c>
      <c r="AN194" s="113">
        <v>0</v>
      </c>
      <c r="AO194" s="113">
        <v>0</v>
      </c>
      <c r="AP194" s="113">
        <v>0</v>
      </c>
      <c r="AQ194" s="113">
        <v>0</v>
      </c>
      <c r="AR194" s="113">
        <v>0</v>
      </c>
      <c r="AS194" s="113">
        <v>0</v>
      </c>
      <c r="AT194" s="113">
        <v>0</v>
      </c>
      <c r="AU194" s="113">
        <v>0</v>
      </c>
      <c r="AV194" s="113">
        <v>0</v>
      </c>
      <c r="AW194" s="113">
        <v>0</v>
      </c>
      <c r="AX194" s="113">
        <v>0</v>
      </c>
      <c r="AY194" s="113">
        <v>0</v>
      </c>
      <c r="AZ194" s="113">
        <v>0</v>
      </c>
      <c r="BA194" s="113">
        <v>0</v>
      </c>
      <c r="BB194" s="113">
        <v>0</v>
      </c>
      <c r="BC194" s="113">
        <v>0</v>
      </c>
      <c r="BD194" s="113">
        <v>0</v>
      </c>
      <c r="BF194" s="113">
        <f t="shared" si="8"/>
        <v>28539</v>
      </c>
      <c r="BG194" s="113">
        <f t="shared" si="9"/>
        <v>503</v>
      </c>
      <c r="BH194" s="113">
        <f t="shared" si="10"/>
        <v>0</v>
      </c>
      <c r="BI194" s="113">
        <f t="shared" si="11"/>
        <v>0</v>
      </c>
    </row>
    <row r="195" spans="1:61">
      <c r="A195" s="102" t="s">
        <v>283</v>
      </c>
      <c r="B195" s="24" t="s">
        <v>284</v>
      </c>
      <c r="C195" s="103" t="s">
        <v>284</v>
      </c>
      <c r="D195" s="113">
        <v>0</v>
      </c>
      <c r="E195" s="113">
        <v>51905</v>
      </c>
      <c r="F195" s="113">
        <v>975</v>
      </c>
      <c r="G195" s="113">
        <v>0</v>
      </c>
      <c r="H195" s="113">
        <v>0</v>
      </c>
      <c r="I195" s="113">
        <v>0</v>
      </c>
      <c r="J195" s="113">
        <v>0</v>
      </c>
      <c r="K195" s="113">
        <v>17344</v>
      </c>
      <c r="L195" s="113">
        <v>327</v>
      </c>
      <c r="M195" s="113">
        <v>109</v>
      </c>
      <c r="N195" s="113">
        <v>0</v>
      </c>
      <c r="O195" s="113">
        <v>0</v>
      </c>
      <c r="P195" s="113">
        <v>0</v>
      </c>
      <c r="Q195" s="113">
        <v>0</v>
      </c>
      <c r="R195" s="113">
        <v>0</v>
      </c>
      <c r="S195" s="113">
        <v>0</v>
      </c>
      <c r="T195" s="113">
        <v>0</v>
      </c>
      <c r="U195" s="113">
        <v>0</v>
      </c>
      <c r="V195" s="113">
        <v>0</v>
      </c>
      <c r="W195" s="113">
        <v>0</v>
      </c>
      <c r="X195" s="113">
        <v>0</v>
      </c>
      <c r="Y195" s="113">
        <v>0</v>
      </c>
      <c r="Z195" s="113">
        <v>0</v>
      </c>
      <c r="AA195" s="113">
        <v>0</v>
      </c>
      <c r="AB195" s="113">
        <v>0</v>
      </c>
      <c r="AC195" s="113">
        <v>0</v>
      </c>
      <c r="AD195" s="113">
        <v>0</v>
      </c>
      <c r="AE195" s="113">
        <v>0</v>
      </c>
      <c r="AF195" s="113">
        <v>0</v>
      </c>
      <c r="AG195" s="113">
        <v>0</v>
      </c>
      <c r="AH195" s="113">
        <v>0</v>
      </c>
      <c r="AI195" s="113">
        <v>0</v>
      </c>
      <c r="AJ195" s="113">
        <v>0</v>
      </c>
      <c r="AK195" s="113">
        <v>0</v>
      </c>
      <c r="AL195" s="113">
        <v>0</v>
      </c>
      <c r="AM195" s="113">
        <v>0</v>
      </c>
      <c r="AN195" s="113">
        <v>0</v>
      </c>
      <c r="AO195" s="113">
        <v>0</v>
      </c>
      <c r="AP195" s="113">
        <v>0</v>
      </c>
      <c r="AQ195" s="113">
        <v>0</v>
      </c>
      <c r="AR195" s="113">
        <v>0</v>
      </c>
      <c r="AS195" s="113">
        <v>0</v>
      </c>
      <c r="AT195" s="113">
        <v>0</v>
      </c>
      <c r="AU195" s="113">
        <v>0</v>
      </c>
      <c r="AV195" s="113">
        <v>0</v>
      </c>
      <c r="AW195" s="113">
        <v>0</v>
      </c>
      <c r="AX195" s="113">
        <v>0</v>
      </c>
      <c r="AY195" s="113">
        <v>11052</v>
      </c>
      <c r="AZ195" s="113">
        <v>206</v>
      </c>
      <c r="BA195" s="113">
        <v>0</v>
      </c>
      <c r="BB195" s="113">
        <v>1163</v>
      </c>
      <c r="BC195" s="113">
        <v>22</v>
      </c>
      <c r="BD195" s="113">
        <v>0</v>
      </c>
      <c r="BF195" s="113">
        <f t="shared" si="8"/>
        <v>69249</v>
      </c>
      <c r="BG195" s="113">
        <f t="shared" si="9"/>
        <v>1302</v>
      </c>
      <c r="BH195" s="113">
        <f t="shared" si="10"/>
        <v>109</v>
      </c>
      <c r="BI195" s="113">
        <f t="shared" si="11"/>
        <v>0</v>
      </c>
    </row>
    <row r="196" spans="1:61">
      <c r="A196" s="102" t="s">
        <v>285</v>
      </c>
      <c r="B196" s="24" t="s">
        <v>605</v>
      </c>
      <c r="C196" s="103" t="s">
        <v>280</v>
      </c>
      <c r="D196" s="113">
        <v>0</v>
      </c>
      <c r="E196" s="113">
        <v>105370</v>
      </c>
      <c r="F196" s="113">
        <v>1936</v>
      </c>
      <c r="G196" s="113">
        <v>0</v>
      </c>
      <c r="H196" s="113">
        <v>0</v>
      </c>
      <c r="I196" s="113">
        <v>0</v>
      </c>
      <c r="J196" s="113">
        <v>0</v>
      </c>
      <c r="K196" s="113">
        <v>17328</v>
      </c>
      <c r="L196" s="113">
        <v>319</v>
      </c>
      <c r="M196" s="113">
        <v>0</v>
      </c>
      <c r="N196" s="113">
        <v>0</v>
      </c>
      <c r="O196" s="113">
        <v>0</v>
      </c>
      <c r="P196" s="113">
        <v>0</v>
      </c>
      <c r="Q196" s="113">
        <v>0</v>
      </c>
      <c r="R196" s="113">
        <v>0</v>
      </c>
      <c r="S196" s="113">
        <v>0</v>
      </c>
      <c r="T196" s="113">
        <v>0</v>
      </c>
      <c r="U196" s="113">
        <v>0</v>
      </c>
      <c r="V196" s="113">
        <v>0</v>
      </c>
      <c r="W196" s="113">
        <v>0</v>
      </c>
      <c r="X196" s="113">
        <v>0</v>
      </c>
      <c r="Y196" s="113">
        <v>0</v>
      </c>
      <c r="Z196" s="113">
        <v>0</v>
      </c>
      <c r="AA196" s="113">
        <v>0</v>
      </c>
      <c r="AB196" s="113">
        <v>0</v>
      </c>
      <c r="AC196" s="113">
        <v>0</v>
      </c>
      <c r="AD196" s="113">
        <v>76269</v>
      </c>
      <c r="AE196" s="113">
        <v>1401</v>
      </c>
      <c r="AF196" s="113">
        <v>0</v>
      </c>
      <c r="AG196" s="113">
        <v>0</v>
      </c>
      <c r="AH196" s="113">
        <v>0</v>
      </c>
      <c r="AI196" s="113">
        <v>0</v>
      </c>
      <c r="AJ196" s="113">
        <v>0</v>
      </c>
      <c r="AK196" s="113">
        <v>0</v>
      </c>
      <c r="AL196" s="113">
        <v>0</v>
      </c>
      <c r="AM196" s="113">
        <v>0</v>
      </c>
      <c r="AN196" s="113">
        <v>0</v>
      </c>
      <c r="AO196" s="113">
        <v>0</v>
      </c>
      <c r="AP196" s="113">
        <v>0</v>
      </c>
      <c r="AQ196" s="113">
        <v>0</v>
      </c>
      <c r="AR196" s="113">
        <v>0</v>
      </c>
      <c r="AS196" s="113">
        <v>0</v>
      </c>
      <c r="AT196" s="113">
        <v>0</v>
      </c>
      <c r="AU196" s="113">
        <v>0</v>
      </c>
      <c r="AV196" s="113">
        <v>0</v>
      </c>
      <c r="AW196" s="113">
        <v>0</v>
      </c>
      <c r="AX196" s="113">
        <v>0</v>
      </c>
      <c r="AY196" s="113">
        <v>13380</v>
      </c>
      <c r="AZ196" s="113">
        <v>252</v>
      </c>
      <c r="BA196" s="113">
        <v>0</v>
      </c>
      <c r="BB196" s="113">
        <v>0</v>
      </c>
      <c r="BC196" s="113">
        <v>0</v>
      </c>
      <c r="BD196" s="113">
        <v>0</v>
      </c>
      <c r="BF196" s="113">
        <f t="shared" si="8"/>
        <v>198967</v>
      </c>
      <c r="BG196" s="113">
        <f t="shared" si="9"/>
        <v>3656</v>
      </c>
      <c r="BH196" s="113">
        <f t="shared" si="10"/>
        <v>0</v>
      </c>
      <c r="BI196" s="113">
        <f t="shared" si="11"/>
        <v>0</v>
      </c>
    </row>
    <row r="197" spans="1:61">
      <c r="A197" s="102" t="s">
        <v>286</v>
      </c>
      <c r="B197" s="24" t="s">
        <v>408</v>
      </c>
      <c r="C197" s="103" t="s">
        <v>280</v>
      </c>
      <c r="D197" s="113">
        <v>0</v>
      </c>
      <c r="E197" s="113">
        <v>6670</v>
      </c>
      <c r="F197" s="113">
        <v>90</v>
      </c>
      <c r="G197" s="113">
        <v>0</v>
      </c>
      <c r="H197" s="113">
        <v>0</v>
      </c>
      <c r="I197" s="113">
        <v>0</v>
      </c>
      <c r="J197" s="113">
        <v>0</v>
      </c>
      <c r="K197" s="113">
        <v>3527</v>
      </c>
      <c r="L197" s="113">
        <v>47</v>
      </c>
      <c r="M197" s="113">
        <v>0</v>
      </c>
      <c r="N197" s="113">
        <v>0</v>
      </c>
      <c r="O197" s="113">
        <v>0</v>
      </c>
      <c r="P197" s="113">
        <v>0</v>
      </c>
      <c r="Q197" s="113">
        <v>0</v>
      </c>
      <c r="R197" s="113">
        <v>0</v>
      </c>
      <c r="S197" s="113">
        <v>0</v>
      </c>
      <c r="T197" s="113">
        <v>0</v>
      </c>
      <c r="U197" s="113">
        <v>0</v>
      </c>
      <c r="V197" s="113">
        <v>0</v>
      </c>
      <c r="W197" s="113">
        <v>0</v>
      </c>
      <c r="X197" s="113">
        <v>0</v>
      </c>
      <c r="Y197" s="113">
        <v>0</v>
      </c>
      <c r="Z197" s="113">
        <v>0</v>
      </c>
      <c r="AA197" s="113">
        <v>0</v>
      </c>
      <c r="AB197" s="113">
        <v>0</v>
      </c>
      <c r="AC197" s="113">
        <v>0</v>
      </c>
      <c r="AD197" s="113">
        <v>0</v>
      </c>
      <c r="AE197" s="113">
        <v>0</v>
      </c>
      <c r="AF197" s="113">
        <v>0</v>
      </c>
      <c r="AG197" s="113">
        <v>0</v>
      </c>
      <c r="AH197" s="113">
        <v>0</v>
      </c>
      <c r="AI197" s="113">
        <v>0</v>
      </c>
      <c r="AJ197" s="113">
        <v>0</v>
      </c>
      <c r="AK197" s="113">
        <v>0</v>
      </c>
      <c r="AL197" s="113">
        <v>0</v>
      </c>
      <c r="AM197" s="113">
        <v>0</v>
      </c>
      <c r="AN197" s="113">
        <v>0</v>
      </c>
      <c r="AO197" s="113">
        <v>0</v>
      </c>
      <c r="AP197" s="113">
        <v>0</v>
      </c>
      <c r="AQ197" s="113">
        <v>0</v>
      </c>
      <c r="AR197" s="113">
        <v>0</v>
      </c>
      <c r="AS197" s="113">
        <v>0</v>
      </c>
      <c r="AT197" s="113">
        <v>0</v>
      </c>
      <c r="AU197" s="113">
        <v>0</v>
      </c>
      <c r="AV197" s="113">
        <v>0</v>
      </c>
      <c r="AW197" s="113">
        <v>0</v>
      </c>
      <c r="AX197" s="113">
        <v>0</v>
      </c>
      <c r="AY197" s="113">
        <v>0</v>
      </c>
      <c r="AZ197" s="113">
        <v>0</v>
      </c>
      <c r="BA197" s="113">
        <v>0</v>
      </c>
      <c r="BB197" s="113">
        <v>0</v>
      </c>
      <c r="BC197" s="113">
        <v>0</v>
      </c>
      <c r="BD197" s="113">
        <v>0</v>
      </c>
      <c r="BF197" s="113">
        <f t="shared" si="8"/>
        <v>10197</v>
      </c>
      <c r="BG197" s="113">
        <f t="shared" si="9"/>
        <v>137</v>
      </c>
      <c r="BH197" s="113">
        <f t="shared" si="10"/>
        <v>0</v>
      </c>
      <c r="BI197" s="113">
        <f t="shared" si="11"/>
        <v>0</v>
      </c>
    </row>
    <row r="198" spans="1:61">
      <c r="A198" s="102" t="s">
        <v>287</v>
      </c>
      <c r="B198" s="24" t="s">
        <v>288</v>
      </c>
      <c r="C198" s="103" t="s">
        <v>288</v>
      </c>
      <c r="D198" s="113">
        <v>0</v>
      </c>
      <c r="E198" s="113">
        <v>26974</v>
      </c>
      <c r="F198" s="113">
        <v>343</v>
      </c>
      <c r="G198" s="113">
        <v>0</v>
      </c>
      <c r="H198" s="113">
        <v>0</v>
      </c>
      <c r="I198" s="113">
        <v>0</v>
      </c>
      <c r="J198" s="113">
        <v>0</v>
      </c>
      <c r="K198" s="113">
        <v>9495</v>
      </c>
      <c r="L198" s="113">
        <v>124</v>
      </c>
      <c r="M198" s="113">
        <v>0</v>
      </c>
      <c r="N198" s="113">
        <v>0</v>
      </c>
      <c r="O198" s="113">
        <v>0</v>
      </c>
      <c r="P198" s="113">
        <v>0</v>
      </c>
      <c r="Q198" s="113">
        <v>0</v>
      </c>
      <c r="R198" s="113">
        <v>0</v>
      </c>
      <c r="S198" s="113">
        <v>0</v>
      </c>
      <c r="T198" s="113">
        <v>0</v>
      </c>
      <c r="U198" s="113">
        <v>0</v>
      </c>
      <c r="V198" s="113">
        <v>0</v>
      </c>
      <c r="W198" s="113">
        <v>0</v>
      </c>
      <c r="X198" s="113">
        <v>0</v>
      </c>
      <c r="Y198" s="113">
        <v>0</v>
      </c>
      <c r="Z198" s="113">
        <v>0</v>
      </c>
      <c r="AA198" s="113">
        <v>0</v>
      </c>
      <c r="AB198" s="113">
        <v>0</v>
      </c>
      <c r="AC198" s="113">
        <v>0</v>
      </c>
      <c r="AD198" s="113">
        <v>18351</v>
      </c>
      <c r="AE198" s="113">
        <v>238</v>
      </c>
      <c r="AF198" s="113">
        <v>0</v>
      </c>
      <c r="AG198" s="113">
        <v>0</v>
      </c>
      <c r="AH198" s="113">
        <v>0</v>
      </c>
      <c r="AI198" s="113">
        <v>0</v>
      </c>
      <c r="AJ198" s="113">
        <v>0</v>
      </c>
      <c r="AK198" s="113">
        <v>0</v>
      </c>
      <c r="AL198" s="113">
        <v>0</v>
      </c>
      <c r="AM198" s="113">
        <v>0</v>
      </c>
      <c r="AN198" s="113">
        <v>0</v>
      </c>
      <c r="AO198" s="113">
        <v>0</v>
      </c>
      <c r="AP198" s="113">
        <v>0</v>
      </c>
      <c r="AQ198" s="113">
        <v>0</v>
      </c>
      <c r="AR198" s="113">
        <v>0</v>
      </c>
      <c r="AS198" s="113">
        <v>0</v>
      </c>
      <c r="AT198" s="113">
        <v>0</v>
      </c>
      <c r="AU198" s="113">
        <v>0</v>
      </c>
      <c r="AV198" s="113">
        <v>0</v>
      </c>
      <c r="AW198" s="113">
        <v>0</v>
      </c>
      <c r="AX198" s="113">
        <v>0</v>
      </c>
      <c r="AY198" s="113">
        <v>0</v>
      </c>
      <c r="AZ198" s="113">
        <v>0</v>
      </c>
      <c r="BA198" s="113">
        <v>0</v>
      </c>
      <c r="BB198" s="113">
        <v>0</v>
      </c>
      <c r="BC198" s="113">
        <v>0</v>
      </c>
      <c r="BD198" s="113">
        <v>0</v>
      </c>
      <c r="BF198" s="113">
        <f t="shared" si="8"/>
        <v>54820</v>
      </c>
      <c r="BG198" s="113">
        <f t="shared" si="9"/>
        <v>705</v>
      </c>
      <c r="BH198" s="113">
        <f t="shared" si="10"/>
        <v>0</v>
      </c>
      <c r="BI198" s="113">
        <f t="shared" si="11"/>
        <v>0</v>
      </c>
    </row>
    <row r="199" spans="1:61">
      <c r="A199" s="102" t="s">
        <v>289</v>
      </c>
      <c r="B199" s="24" t="s">
        <v>606</v>
      </c>
      <c r="C199" s="103" t="s">
        <v>290</v>
      </c>
      <c r="D199" s="113">
        <v>0</v>
      </c>
      <c r="E199" s="113">
        <v>25146</v>
      </c>
      <c r="F199" s="113">
        <v>267</v>
      </c>
      <c r="G199" s="113">
        <v>0</v>
      </c>
      <c r="H199" s="113">
        <v>0</v>
      </c>
      <c r="I199" s="113">
        <v>0</v>
      </c>
      <c r="J199" s="113">
        <v>0</v>
      </c>
      <c r="K199" s="113">
        <v>5874</v>
      </c>
      <c r="L199" s="113">
        <v>229</v>
      </c>
      <c r="M199" s="113">
        <v>0</v>
      </c>
      <c r="N199" s="113">
        <v>0</v>
      </c>
      <c r="O199" s="113">
        <v>0</v>
      </c>
      <c r="P199" s="113">
        <v>0</v>
      </c>
      <c r="Q199" s="113">
        <v>0</v>
      </c>
      <c r="R199" s="113">
        <v>0</v>
      </c>
      <c r="S199" s="113">
        <v>0</v>
      </c>
      <c r="T199" s="113">
        <v>0</v>
      </c>
      <c r="U199" s="113">
        <v>0</v>
      </c>
      <c r="V199" s="113">
        <v>0</v>
      </c>
      <c r="W199" s="113">
        <v>0</v>
      </c>
      <c r="X199" s="113">
        <v>0</v>
      </c>
      <c r="Y199" s="113">
        <v>0</v>
      </c>
      <c r="Z199" s="113">
        <v>0</v>
      </c>
      <c r="AA199" s="113">
        <v>0</v>
      </c>
      <c r="AB199" s="113">
        <v>0</v>
      </c>
      <c r="AC199" s="113">
        <v>0</v>
      </c>
      <c r="AD199" s="113">
        <v>21103</v>
      </c>
      <c r="AE199" s="113">
        <v>513</v>
      </c>
      <c r="AF199" s="113">
        <v>0</v>
      </c>
      <c r="AG199" s="113">
        <v>0</v>
      </c>
      <c r="AH199" s="113">
        <v>0</v>
      </c>
      <c r="AI199" s="113">
        <v>0</v>
      </c>
      <c r="AJ199" s="113">
        <v>0</v>
      </c>
      <c r="AK199" s="113">
        <v>0</v>
      </c>
      <c r="AL199" s="113">
        <v>0</v>
      </c>
      <c r="AM199" s="113">
        <v>0</v>
      </c>
      <c r="AN199" s="113">
        <v>0</v>
      </c>
      <c r="AO199" s="113">
        <v>0</v>
      </c>
      <c r="AP199" s="113">
        <v>0</v>
      </c>
      <c r="AQ199" s="113">
        <v>0</v>
      </c>
      <c r="AR199" s="113">
        <v>0</v>
      </c>
      <c r="AS199" s="113">
        <v>0</v>
      </c>
      <c r="AT199" s="113">
        <v>0</v>
      </c>
      <c r="AU199" s="113">
        <v>0</v>
      </c>
      <c r="AV199" s="113">
        <v>0</v>
      </c>
      <c r="AW199" s="113">
        <v>0</v>
      </c>
      <c r="AX199" s="113">
        <v>0</v>
      </c>
      <c r="AY199" s="113">
        <v>2550</v>
      </c>
      <c r="AZ199" s="113">
        <v>120</v>
      </c>
      <c r="BA199" s="113">
        <v>0</v>
      </c>
      <c r="BB199" s="113">
        <v>0</v>
      </c>
      <c r="BC199" s="113">
        <v>0</v>
      </c>
      <c r="BD199" s="113">
        <v>0</v>
      </c>
      <c r="BF199" s="113">
        <f t="shared" ref="BF199:BF262" si="12">E199+H199+K199+O199+R199+U199+X199+AA199+AD199+AG199+AJ199+AM199</f>
        <v>52123</v>
      </c>
      <c r="BG199" s="113">
        <f t="shared" ref="BG199:BG262" si="13">F199+I199+L199+P199+S199+V199+Y199+AB199+AE199+AH199+AK199+AN199</f>
        <v>1009</v>
      </c>
      <c r="BH199" s="113">
        <f t="shared" ref="BH199:BH262" si="14">M199</f>
        <v>0</v>
      </c>
      <c r="BI199" s="113">
        <f t="shared" ref="BI199:BI262" si="15">D199+G199+J199+N199+Q199+T199+W199+Z199+AC199+AF199+AI199+AL199+AO199</f>
        <v>0</v>
      </c>
    </row>
    <row r="200" spans="1:61">
      <c r="A200" s="102" t="s">
        <v>291</v>
      </c>
      <c r="B200" s="24" t="s">
        <v>607</v>
      </c>
      <c r="C200" s="103" t="s">
        <v>42</v>
      </c>
      <c r="D200" s="113">
        <v>0</v>
      </c>
      <c r="E200" s="113">
        <v>162884</v>
      </c>
      <c r="F200" s="113">
        <v>3282</v>
      </c>
      <c r="G200" s="113">
        <v>0</v>
      </c>
      <c r="H200" s="113">
        <v>0</v>
      </c>
      <c r="I200" s="113">
        <v>0</v>
      </c>
      <c r="J200" s="113">
        <v>0</v>
      </c>
      <c r="K200" s="113">
        <v>32466</v>
      </c>
      <c r="L200" s="113">
        <v>650</v>
      </c>
      <c r="M200" s="113">
        <v>0</v>
      </c>
      <c r="N200" s="113">
        <v>0</v>
      </c>
      <c r="O200" s="113">
        <v>0</v>
      </c>
      <c r="P200" s="113">
        <v>0</v>
      </c>
      <c r="Q200" s="113">
        <v>0</v>
      </c>
      <c r="R200" s="113">
        <v>0</v>
      </c>
      <c r="S200" s="113">
        <v>0</v>
      </c>
      <c r="T200" s="113">
        <v>0</v>
      </c>
      <c r="U200" s="113">
        <v>0</v>
      </c>
      <c r="V200" s="113">
        <v>0</v>
      </c>
      <c r="W200" s="113">
        <v>0</v>
      </c>
      <c r="X200" s="113">
        <v>0</v>
      </c>
      <c r="Y200" s="113">
        <v>0</v>
      </c>
      <c r="Z200" s="113">
        <v>0</v>
      </c>
      <c r="AA200" s="113">
        <v>0</v>
      </c>
      <c r="AB200" s="113">
        <v>0</v>
      </c>
      <c r="AC200" s="113">
        <v>0</v>
      </c>
      <c r="AD200" s="113">
        <v>170962</v>
      </c>
      <c r="AE200" s="113">
        <v>3446</v>
      </c>
      <c r="AF200" s="113">
        <v>0</v>
      </c>
      <c r="AG200" s="113">
        <v>0</v>
      </c>
      <c r="AH200" s="113">
        <v>0</v>
      </c>
      <c r="AI200" s="113">
        <v>0</v>
      </c>
      <c r="AJ200" s="113">
        <v>0</v>
      </c>
      <c r="AK200" s="113">
        <v>0</v>
      </c>
      <c r="AL200" s="113">
        <v>0</v>
      </c>
      <c r="AM200" s="113">
        <v>0</v>
      </c>
      <c r="AN200" s="113">
        <v>0</v>
      </c>
      <c r="AO200" s="113">
        <v>0</v>
      </c>
      <c r="AP200" s="113">
        <v>0</v>
      </c>
      <c r="AQ200" s="113">
        <v>0</v>
      </c>
      <c r="AR200" s="113">
        <v>0</v>
      </c>
      <c r="AS200" s="113">
        <v>0</v>
      </c>
      <c r="AT200" s="113">
        <v>0</v>
      </c>
      <c r="AU200" s="113">
        <v>0</v>
      </c>
      <c r="AV200" s="113">
        <v>0</v>
      </c>
      <c r="AW200" s="113">
        <v>0</v>
      </c>
      <c r="AX200" s="113">
        <v>0</v>
      </c>
      <c r="AY200" s="113">
        <v>28893</v>
      </c>
      <c r="AZ200" s="113">
        <v>579</v>
      </c>
      <c r="BA200" s="113">
        <v>0</v>
      </c>
      <c r="BB200" s="113">
        <v>5593</v>
      </c>
      <c r="BC200" s="113">
        <v>116</v>
      </c>
      <c r="BD200" s="113">
        <v>0</v>
      </c>
      <c r="BF200" s="113">
        <f t="shared" si="12"/>
        <v>366312</v>
      </c>
      <c r="BG200" s="113">
        <f t="shared" si="13"/>
        <v>7378</v>
      </c>
      <c r="BH200" s="113">
        <f t="shared" si="14"/>
        <v>0</v>
      </c>
      <c r="BI200" s="113">
        <f t="shared" si="15"/>
        <v>0</v>
      </c>
    </row>
    <row r="201" spans="1:61">
      <c r="A201" s="102" t="s">
        <v>292</v>
      </c>
      <c r="B201" s="24" t="s">
        <v>608</v>
      </c>
      <c r="C201" s="103" t="s">
        <v>293</v>
      </c>
      <c r="D201" s="113">
        <v>0</v>
      </c>
      <c r="E201" s="113">
        <v>42258</v>
      </c>
      <c r="F201" s="113">
        <v>759</v>
      </c>
      <c r="G201" s="113">
        <v>0</v>
      </c>
      <c r="H201" s="113">
        <v>0</v>
      </c>
      <c r="I201" s="113">
        <v>0</v>
      </c>
      <c r="J201" s="113">
        <v>0</v>
      </c>
      <c r="K201" s="113">
        <v>7957</v>
      </c>
      <c r="L201" s="113">
        <v>142</v>
      </c>
      <c r="M201" s="113">
        <v>0</v>
      </c>
      <c r="N201" s="113">
        <v>0</v>
      </c>
      <c r="O201" s="113">
        <v>0</v>
      </c>
      <c r="P201" s="113">
        <v>0</v>
      </c>
      <c r="Q201" s="113">
        <v>0</v>
      </c>
      <c r="R201" s="113">
        <v>0</v>
      </c>
      <c r="S201" s="113">
        <v>0</v>
      </c>
      <c r="T201" s="113">
        <v>0</v>
      </c>
      <c r="U201" s="113">
        <v>0</v>
      </c>
      <c r="V201" s="113">
        <v>0</v>
      </c>
      <c r="W201" s="113">
        <v>0</v>
      </c>
      <c r="X201" s="113">
        <v>0</v>
      </c>
      <c r="Y201" s="113">
        <v>0</v>
      </c>
      <c r="Z201" s="113">
        <v>0</v>
      </c>
      <c r="AA201" s="113">
        <v>0</v>
      </c>
      <c r="AB201" s="113">
        <v>0</v>
      </c>
      <c r="AC201" s="113">
        <v>0</v>
      </c>
      <c r="AD201" s="113">
        <v>0</v>
      </c>
      <c r="AE201" s="113">
        <v>0</v>
      </c>
      <c r="AF201" s="113">
        <v>0</v>
      </c>
      <c r="AG201" s="113">
        <v>0</v>
      </c>
      <c r="AH201" s="113">
        <v>0</v>
      </c>
      <c r="AI201" s="113">
        <v>0</v>
      </c>
      <c r="AJ201" s="113">
        <v>0</v>
      </c>
      <c r="AK201" s="113">
        <v>0</v>
      </c>
      <c r="AL201" s="113">
        <v>0</v>
      </c>
      <c r="AM201" s="113">
        <v>0</v>
      </c>
      <c r="AN201" s="113">
        <v>0</v>
      </c>
      <c r="AO201" s="113">
        <v>0</v>
      </c>
      <c r="AP201" s="113">
        <v>0</v>
      </c>
      <c r="AQ201" s="113">
        <v>0</v>
      </c>
      <c r="AR201" s="113">
        <v>0</v>
      </c>
      <c r="AS201" s="113">
        <v>0</v>
      </c>
      <c r="AT201" s="113">
        <v>0</v>
      </c>
      <c r="AU201" s="113">
        <v>0</v>
      </c>
      <c r="AV201" s="113">
        <v>0</v>
      </c>
      <c r="AW201" s="113">
        <v>0</v>
      </c>
      <c r="AX201" s="113">
        <v>0</v>
      </c>
      <c r="AY201" s="113">
        <v>0</v>
      </c>
      <c r="AZ201" s="113">
        <v>0</v>
      </c>
      <c r="BA201" s="113">
        <v>0</v>
      </c>
      <c r="BB201" s="113">
        <v>0</v>
      </c>
      <c r="BC201" s="113">
        <v>0</v>
      </c>
      <c r="BD201" s="113">
        <v>0</v>
      </c>
      <c r="BF201" s="113">
        <f t="shared" si="12"/>
        <v>50215</v>
      </c>
      <c r="BG201" s="113">
        <f t="shared" si="13"/>
        <v>901</v>
      </c>
      <c r="BH201" s="113">
        <f t="shared" si="14"/>
        <v>0</v>
      </c>
      <c r="BI201" s="113">
        <f t="shared" si="15"/>
        <v>0</v>
      </c>
    </row>
    <row r="202" spans="1:61">
      <c r="A202" s="102" t="s">
        <v>294</v>
      </c>
      <c r="B202" s="24" t="s">
        <v>609</v>
      </c>
      <c r="C202" s="103" t="s">
        <v>42</v>
      </c>
      <c r="D202" s="113">
        <v>0</v>
      </c>
      <c r="E202" s="113">
        <v>69158</v>
      </c>
      <c r="F202" s="113">
        <v>1137</v>
      </c>
      <c r="G202" s="113">
        <v>0</v>
      </c>
      <c r="H202" s="113">
        <v>0</v>
      </c>
      <c r="I202" s="113">
        <v>0</v>
      </c>
      <c r="J202" s="113">
        <v>0</v>
      </c>
      <c r="K202" s="113">
        <v>7150</v>
      </c>
      <c r="L202" s="113">
        <v>118</v>
      </c>
      <c r="M202" s="113">
        <v>0</v>
      </c>
      <c r="N202" s="113">
        <v>0</v>
      </c>
      <c r="O202" s="113">
        <v>0</v>
      </c>
      <c r="P202" s="113">
        <v>0</v>
      </c>
      <c r="Q202" s="113">
        <v>0</v>
      </c>
      <c r="R202" s="113">
        <v>0</v>
      </c>
      <c r="S202" s="113">
        <v>0</v>
      </c>
      <c r="T202" s="113">
        <v>0</v>
      </c>
      <c r="U202" s="113">
        <v>0</v>
      </c>
      <c r="V202" s="113">
        <v>0</v>
      </c>
      <c r="W202" s="113">
        <v>0</v>
      </c>
      <c r="X202" s="113">
        <v>0</v>
      </c>
      <c r="Y202" s="113">
        <v>0</v>
      </c>
      <c r="Z202" s="113">
        <v>0</v>
      </c>
      <c r="AA202" s="113">
        <v>0</v>
      </c>
      <c r="AB202" s="113">
        <v>0</v>
      </c>
      <c r="AC202" s="113">
        <v>0</v>
      </c>
      <c r="AD202" s="113">
        <v>44838</v>
      </c>
      <c r="AE202" s="113">
        <v>736</v>
      </c>
      <c r="AF202" s="113">
        <v>0</v>
      </c>
      <c r="AG202" s="113">
        <v>0</v>
      </c>
      <c r="AH202" s="113">
        <v>0</v>
      </c>
      <c r="AI202" s="113">
        <v>0</v>
      </c>
      <c r="AJ202" s="113">
        <v>0</v>
      </c>
      <c r="AK202" s="113">
        <v>0</v>
      </c>
      <c r="AL202" s="113">
        <v>0</v>
      </c>
      <c r="AM202" s="113">
        <v>0</v>
      </c>
      <c r="AN202" s="113">
        <v>0</v>
      </c>
      <c r="AO202" s="113">
        <v>0</v>
      </c>
      <c r="AP202" s="113">
        <v>0</v>
      </c>
      <c r="AQ202" s="113">
        <v>0</v>
      </c>
      <c r="AR202" s="113">
        <v>0</v>
      </c>
      <c r="AS202" s="113">
        <v>0</v>
      </c>
      <c r="AT202" s="113">
        <v>0</v>
      </c>
      <c r="AU202" s="113">
        <v>0</v>
      </c>
      <c r="AV202" s="113">
        <v>0</v>
      </c>
      <c r="AW202" s="113">
        <v>0</v>
      </c>
      <c r="AX202" s="113">
        <v>0</v>
      </c>
      <c r="AY202" s="113">
        <v>3575</v>
      </c>
      <c r="AZ202" s="113">
        <v>59</v>
      </c>
      <c r="BA202" s="113">
        <v>0</v>
      </c>
      <c r="BB202" s="113">
        <v>0</v>
      </c>
      <c r="BC202" s="113">
        <v>0</v>
      </c>
      <c r="BD202" s="113">
        <v>0</v>
      </c>
      <c r="BF202" s="113">
        <f t="shared" si="12"/>
        <v>121146</v>
      </c>
      <c r="BG202" s="113">
        <f t="shared" si="13"/>
        <v>1991</v>
      </c>
      <c r="BH202" s="113">
        <f t="shared" si="14"/>
        <v>0</v>
      </c>
      <c r="BI202" s="113">
        <f t="shared" si="15"/>
        <v>0</v>
      </c>
    </row>
    <row r="203" spans="1:61">
      <c r="A203" s="102" t="s">
        <v>295</v>
      </c>
      <c r="B203" s="24" t="s">
        <v>610</v>
      </c>
      <c r="C203" s="103" t="s">
        <v>296</v>
      </c>
      <c r="D203" s="113">
        <v>0</v>
      </c>
      <c r="E203" s="113">
        <v>27340</v>
      </c>
      <c r="F203" s="113">
        <v>312</v>
      </c>
      <c r="G203" s="113">
        <v>0</v>
      </c>
      <c r="H203" s="113">
        <v>0</v>
      </c>
      <c r="I203" s="113">
        <v>0</v>
      </c>
      <c r="J203" s="113">
        <v>0</v>
      </c>
      <c r="K203" s="113">
        <v>7044</v>
      </c>
      <c r="L203" s="113">
        <v>81</v>
      </c>
      <c r="M203" s="113">
        <v>0</v>
      </c>
      <c r="N203" s="113">
        <v>0</v>
      </c>
      <c r="O203" s="113">
        <v>0</v>
      </c>
      <c r="P203" s="113">
        <v>0</v>
      </c>
      <c r="Q203" s="113">
        <v>0</v>
      </c>
      <c r="R203" s="113">
        <v>0</v>
      </c>
      <c r="S203" s="113">
        <v>0</v>
      </c>
      <c r="T203" s="113">
        <v>0</v>
      </c>
      <c r="U203" s="113">
        <v>0</v>
      </c>
      <c r="V203" s="113">
        <v>0</v>
      </c>
      <c r="W203" s="113">
        <v>0</v>
      </c>
      <c r="X203" s="113">
        <v>0</v>
      </c>
      <c r="Y203" s="113">
        <v>0</v>
      </c>
      <c r="Z203" s="113">
        <v>0</v>
      </c>
      <c r="AA203" s="113">
        <v>0</v>
      </c>
      <c r="AB203" s="113">
        <v>0</v>
      </c>
      <c r="AC203" s="113">
        <v>0</v>
      </c>
      <c r="AD203" s="113">
        <v>6675</v>
      </c>
      <c r="AE203" s="113">
        <v>77</v>
      </c>
      <c r="AF203" s="113">
        <v>0</v>
      </c>
      <c r="AG203" s="113">
        <v>0</v>
      </c>
      <c r="AH203" s="113">
        <v>0</v>
      </c>
      <c r="AI203" s="113">
        <v>0</v>
      </c>
      <c r="AJ203" s="113">
        <v>0</v>
      </c>
      <c r="AK203" s="113">
        <v>0</v>
      </c>
      <c r="AL203" s="113">
        <v>0</v>
      </c>
      <c r="AM203" s="113">
        <v>0</v>
      </c>
      <c r="AN203" s="113">
        <v>0</v>
      </c>
      <c r="AO203" s="113">
        <v>0</v>
      </c>
      <c r="AP203" s="113">
        <v>0</v>
      </c>
      <c r="AQ203" s="113">
        <v>0</v>
      </c>
      <c r="AR203" s="113">
        <v>0</v>
      </c>
      <c r="AS203" s="113">
        <v>0</v>
      </c>
      <c r="AT203" s="113">
        <v>0</v>
      </c>
      <c r="AU203" s="113">
        <v>0</v>
      </c>
      <c r="AV203" s="113">
        <v>0</v>
      </c>
      <c r="AW203" s="113">
        <v>0</v>
      </c>
      <c r="AX203" s="113">
        <v>0</v>
      </c>
      <c r="AY203" s="113">
        <v>0</v>
      </c>
      <c r="AZ203" s="113">
        <v>0</v>
      </c>
      <c r="BA203" s="113">
        <v>0</v>
      </c>
      <c r="BB203" s="113">
        <v>0</v>
      </c>
      <c r="BC203" s="113">
        <v>0</v>
      </c>
      <c r="BD203" s="113">
        <v>0</v>
      </c>
      <c r="BF203" s="113">
        <f t="shared" si="12"/>
        <v>41059</v>
      </c>
      <c r="BG203" s="113">
        <f t="shared" si="13"/>
        <v>470</v>
      </c>
      <c r="BH203" s="113">
        <f t="shared" si="14"/>
        <v>0</v>
      </c>
      <c r="BI203" s="113">
        <f t="shared" si="15"/>
        <v>0</v>
      </c>
    </row>
    <row r="204" spans="1:61">
      <c r="A204" s="102" t="s">
        <v>297</v>
      </c>
      <c r="B204" s="24" t="s">
        <v>611</v>
      </c>
      <c r="C204" s="103" t="s">
        <v>296</v>
      </c>
      <c r="D204" s="113">
        <v>0</v>
      </c>
      <c r="E204" s="113">
        <v>32965</v>
      </c>
      <c r="F204" s="113">
        <v>555</v>
      </c>
      <c r="G204" s="113">
        <v>0</v>
      </c>
      <c r="H204" s="113">
        <v>0</v>
      </c>
      <c r="I204" s="113">
        <v>0</v>
      </c>
      <c r="J204" s="113">
        <v>0</v>
      </c>
      <c r="K204" s="113">
        <v>0</v>
      </c>
      <c r="L204" s="113">
        <v>0</v>
      </c>
      <c r="M204" s="113">
        <v>0</v>
      </c>
      <c r="N204" s="113">
        <v>0</v>
      </c>
      <c r="O204" s="113">
        <v>0</v>
      </c>
      <c r="P204" s="113">
        <v>0</v>
      </c>
      <c r="Q204" s="113">
        <v>0</v>
      </c>
      <c r="R204" s="113">
        <v>0</v>
      </c>
      <c r="S204" s="113">
        <v>0</v>
      </c>
      <c r="T204" s="113">
        <v>0</v>
      </c>
      <c r="U204" s="113">
        <v>0</v>
      </c>
      <c r="V204" s="113">
        <v>0</v>
      </c>
      <c r="W204" s="113">
        <v>0</v>
      </c>
      <c r="X204" s="113">
        <v>0</v>
      </c>
      <c r="Y204" s="113">
        <v>0</v>
      </c>
      <c r="Z204" s="113">
        <v>0</v>
      </c>
      <c r="AA204" s="113">
        <v>0</v>
      </c>
      <c r="AB204" s="113">
        <v>0</v>
      </c>
      <c r="AC204" s="113">
        <v>0</v>
      </c>
      <c r="AD204" s="113">
        <v>30762</v>
      </c>
      <c r="AE204" s="113">
        <v>510</v>
      </c>
      <c r="AF204" s="113">
        <v>0</v>
      </c>
      <c r="AG204" s="113">
        <v>0</v>
      </c>
      <c r="AH204" s="113">
        <v>0</v>
      </c>
      <c r="AI204" s="113">
        <v>0</v>
      </c>
      <c r="AJ204" s="113">
        <v>0</v>
      </c>
      <c r="AK204" s="113">
        <v>0</v>
      </c>
      <c r="AL204" s="113">
        <v>0</v>
      </c>
      <c r="AM204" s="113">
        <v>0</v>
      </c>
      <c r="AN204" s="113">
        <v>0</v>
      </c>
      <c r="AO204" s="113">
        <v>0</v>
      </c>
      <c r="AP204" s="113">
        <v>0</v>
      </c>
      <c r="AQ204" s="113">
        <v>0</v>
      </c>
      <c r="AR204" s="113">
        <v>0</v>
      </c>
      <c r="AS204" s="113">
        <v>0</v>
      </c>
      <c r="AT204" s="113">
        <v>0</v>
      </c>
      <c r="AU204" s="113">
        <v>0</v>
      </c>
      <c r="AV204" s="113">
        <v>0</v>
      </c>
      <c r="AW204" s="113">
        <v>0</v>
      </c>
      <c r="AX204" s="113">
        <v>0</v>
      </c>
      <c r="AY204" s="113">
        <v>4187</v>
      </c>
      <c r="AZ204" s="113">
        <v>70</v>
      </c>
      <c r="BA204" s="113">
        <v>0</v>
      </c>
      <c r="BB204" s="113">
        <v>0</v>
      </c>
      <c r="BC204" s="113">
        <v>0</v>
      </c>
      <c r="BD204" s="113">
        <v>0</v>
      </c>
      <c r="BF204" s="113">
        <f t="shared" si="12"/>
        <v>63727</v>
      </c>
      <c r="BG204" s="113">
        <f t="shared" si="13"/>
        <v>1065</v>
      </c>
      <c r="BH204" s="113">
        <f t="shared" si="14"/>
        <v>0</v>
      </c>
      <c r="BI204" s="113">
        <f t="shared" si="15"/>
        <v>0</v>
      </c>
    </row>
    <row r="205" spans="1:61">
      <c r="A205" s="102" t="s">
        <v>298</v>
      </c>
      <c r="B205" s="24" t="s">
        <v>612</v>
      </c>
      <c r="C205" s="103" t="s">
        <v>299</v>
      </c>
      <c r="D205" s="113">
        <v>0</v>
      </c>
      <c r="E205" s="113">
        <v>16004</v>
      </c>
      <c r="F205" s="113">
        <v>253</v>
      </c>
      <c r="G205" s="113">
        <v>0</v>
      </c>
      <c r="H205" s="113">
        <v>0</v>
      </c>
      <c r="I205" s="113">
        <v>0</v>
      </c>
      <c r="J205" s="113">
        <v>0</v>
      </c>
      <c r="K205" s="113">
        <v>4641</v>
      </c>
      <c r="L205" s="113">
        <v>65</v>
      </c>
      <c r="M205" s="113">
        <v>0</v>
      </c>
      <c r="N205" s="113">
        <v>0</v>
      </c>
      <c r="O205" s="113">
        <v>0</v>
      </c>
      <c r="P205" s="113">
        <v>0</v>
      </c>
      <c r="Q205" s="113">
        <v>0</v>
      </c>
      <c r="R205" s="113">
        <v>0</v>
      </c>
      <c r="S205" s="113">
        <v>0</v>
      </c>
      <c r="T205" s="113">
        <v>0</v>
      </c>
      <c r="U205" s="113">
        <v>0</v>
      </c>
      <c r="V205" s="113">
        <v>0</v>
      </c>
      <c r="W205" s="113">
        <v>0</v>
      </c>
      <c r="X205" s="113">
        <v>0</v>
      </c>
      <c r="Y205" s="113">
        <v>0</v>
      </c>
      <c r="Z205" s="113">
        <v>0</v>
      </c>
      <c r="AA205" s="113">
        <v>0</v>
      </c>
      <c r="AB205" s="113">
        <v>0</v>
      </c>
      <c r="AC205" s="113">
        <v>0</v>
      </c>
      <c r="AD205" s="113">
        <v>0</v>
      </c>
      <c r="AE205" s="113">
        <v>0</v>
      </c>
      <c r="AF205" s="113">
        <v>0</v>
      </c>
      <c r="AG205" s="113">
        <v>0</v>
      </c>
      <c r="AH205" s="113">
        <v>0</v>
      </c>
      <c r="AI205" s="113">
        <v>0</v>
      </c>
      <c r="AJ205" s="113">
        <v>0</v>
      </c>
      <c r="AK205" s="113">
        <v>0</v>
      </c>
      <c r="AL205" s="113">
        <v>0</v>
      </c>
      <c r="AM205" s="113">
        <v>0</v>
      </c>
      <c r="AN205" s="113">
        <v>0</v>
      </c>
      <c r="AO205" s="113">
        <v>0</v>
      </c>
      <c r="AP205" s="113">
        <v>0</v>
      </c>
      <c r="AQ205" s="113">
        <v>0</v>
      </c>
      <c r="AR205" s="113">
        <v>0</v>
      </c>
      <c r="AS205" s="113">
        <v>0</v>
      </c>
      <c r="AT205" s="113">
        <v>0</v>
      </c>
      <c r="AU205" s="113">
        <v>0</v>
      </c>
      <c r="AV205" s="113">
        <v>0</v>
      </c>
      <c r="AW205" s="113">
        <v>0</v>
      </c>
      <c r="AX205" s="113">
        <v>0</v>
      </c>
      <c r="AY205" s="113">
        <v>0</v>
      </c>
      <c r="AZ205" s="113">
        <v>0</v>
      </c>
      <c r="BA205" s="113">
        <v>0</v>
      </c>
      <c r="BB205" s="113">
        <v>0</v>
      </c>
      <c r="BC205" s="113">
        <v>0</v>
      </c>
      <c r="BD205" s="113">
        <v>0</v>
      </c>
      <c r="BF205" s="113">
        <f t="shared" si="12"/>
        <v>20645</v>
      </c>
      <c r="BG205" s="113">
        <f t="shared" si="13"/>
        <v>318</v>
      </c>
      <c r="BH205" s="113">
        <f t="shared" si="14"/>
        <v>0</v>
      </c>
      <c r="BI205" s="113">
        <f t="shared" si="15"/>
        <v>0</v>
      </c>
    </row>
    <row r="206" spans="1:61">
      <c r="A206" s="102" t="s">
        <v>300</v>
      </c>
      <c r="B206" s="24" t="s">
        <v>613</v>
      </c>
      <c r="C206" s="103" t="s">
        <v>301</v>
      </c>
      <c r="D206" s="113">
        <v>0</v>
      </c>
      <c r="E206" s="113">
        <v>126879</v>
      </c>
      <c r="F206" s="113">
        <v>2717</v>
      </c>
      <c r="G206" s="113">
        <v>0</v>
      </c>
      <c r="H206" s="113">
        <v>0</v>
      </c>
      <c r="I206" s="113">
        <v>0</v>
      </c>
      <c r="J206" s="113">
        <v>0</v>
      </c>
      <c r="K206" s="113">
        <v>28130</v>
      </c>
      <c r="L206" s="113">
        <v>601</v>
      </c>
      <c r="M206" s="113">
        <v>4064</v>
      </c>
      <c r="N206" s="113">
        <v>0</v>
      </c>
      <c r="O206" s="113">
        <v>0</v>
      </c>
      <c r="P206" s="113">
        <v>0</v>
      </c>
      <c r="Q206" s="113">
        <v>0</v>
      </c>
      <c r="R206" s="113">
        <v>0</v>
      </c>
      <c r="S206" s="113">
        <v>0</v>
      </c>
      <c r="T206" s="113">
        <v>0</v>
      </c>
      <c r="U206" s="113">
        <v>0</v>
      </c>
      <c r="V206" s="113">
        <v>0</v>
      </c>
      <c r="W206" s="113">
        <v>0</v>
      </c>
      <c r="X206" s="113">
        <v>0</v>
      </c>
      <c r="Y206" s="113">
        <v>0</v>
      </c>
      <c r="Z206" s="113">
        <v>0</v>
      </c>
      <c r="AA206" s="113">
        <v>0</v>
      </c>
      <c r="AB206" s="113">
        <v>0</v>
      </c>
      <c r="AC206" s="113">
        <v>0</v>
      </c>
      <c r="AD206" s="113">
        <v>93545</v>
      </c>
      <c r="AE206" s="113">
        <v>1987</v>
      </c>
      <c r="AF206" s="113">
        <v>0</v>
      </c>
      <c r="AG206" s="113">
        <v>0</v>
      </c>
      <c r="AH206" s="113">
        <v>0</v>
      </c>
      <c r="AI206" s="113">
        <v>0</v>
      </c>
      <c r="AJ206" s="113">
        <v>0</v>
      </c>
      <c r="AK206" s="113">
        <v>0</v>
      </c>
      <c r="AL206" s="113">
        <v>0</v>
      </c>
      <c r="AM206" s="113">
        <v>0</v>
      </c>
      <c r="AN206" s="113">
        <v>0</v>
      </c>
      <c r="AO206" s="113">
        <v>0</v>
      </c>
      <c r="AP206" s="113">
        <v>0</v>
      </c>
      <c r="AQ206" s="113">
        <v>0</v>
      </c>
      <c r="AR206" s="113">
        <v>0</v>
      </c>
      <c r="AS206" s="113">
        <v>0</v>
      </c>
      <c r="AT206" s="113">
        <v>0</v>
      </c>
      <c r="AU206" s="113">
        <v>0</v>
      </c>
      <c r="AV206" s="113">
        <v>0</v>
      </c>
      <c r="AW206" s="113">
        <v>0</v>
      </c>
      <c r="AX206" s="113">
        <v>0</v>
      </c>
      <c r="AY206" s="113">
        <v>0</v>
      </c>
      <c r="AZ206" s="113">
        <v>0</v>
      </c>
      <c r="BA206" s="113">
        <v>0</v>
      </c>
      <c r="BB206" s="113">
        <v>0</v>
      </c>
      <c r="BC206" s="113">
        <v>0</v>
      </c>
      <c r="BD206" s="113">
        <v>0</v>
      </c>
      <c r="BF206" s="113">
        <f t="shared" si="12"/>
        <v>248554</v>
      </c>
      <c r="BG206" s="113">
        <f t="shared" si="13"/>
        <v>5305</v>
      </c>
      <c r="BH206" s="113">
        <f t="shared" si="14"/>
        <v>4064</v>
      </c>
      <c r="BI206" s="113">
        <f t="shared" si="15"/>
        <v>0</v>
      </c>
    </row>
    <row r="207" spans="1:61">
      <c r="A207" s="102" t="s">
        <v>302</v>
      </c>
      <c r="B207" s="24" t="s">
        <v>144</v>
      </c>
      <c r="C207" s="103" t="s">
        <v>264</v>
      </c>
      <c r="D207" s="113">
        <v>0</v>
      </c>
      <c r="E207" s="113">
        <v>23219</v>
      </c>
      <c r="F207" s="113">
        <v>400</v>
      </c>
      <c r="G207" s="113">
        <v>0</v>
      </c>
      <c r="H207" s="113">
        <v>0</v>
      </c>
      <c r="I207" s="113">
        <v>0</v>
      </c>
      <c r="J207" s="113">
        <v>0</v>
      </c>
      <c r="K207" s="113">
        <v>3709</v>
      </c>
      <c r="L207" s="113">
        <v>75</v>
      </c>
      <c r="M207" s="113">
        <v>0</v>
      </c>
      <c r="N207" s="113">
        <v>0</v>
      </c>
      <c r="O207" s="113">
        <v>0</v>
      </c>
      <c r="P207" s="113">
        <v>0</v>
      </c>
      <c r="Q207" s="113">
        <v>0</v>
      </c>
      <c r="R207" s="113">
        <v>0</v>
      </c>
      <c r="S207" s="113">
        <v>0</v>
      </c>
      <c r="T207" s="113">
        <v>0</v>
      </c>
      <c r="U207" s="113">
        <v>0</v>
      </c>
      <c r="V207" s="113">
        <v>0</v>
      </c>
      <c r="W207" s="113">
        <v>0</v>
      </c>
      <c r="X207" s="113">
        <v>0</v>
      </c>
      <c r="Y207" s="113">
        <v>0</v>
      </c>
      <c r="Z207" s="113">
        <v>0</v>
      </c>
      <c r="AA207" s="113">
        <v>0</v>
      </c>
      <c r="AB207" s="113">
        <v>0</v>
      </c>
      <c r="AC207" s="113">
        <v>0</v>
      </c>
      <c r="AD207" s="113">
        <v>6306</v>
      </c>
      <c r="AE207" s="113">
        <v>128</v>
      </c>
      <c r="AF207" s="113">
        <v>0</v>
      </c>
      <c r="AG207" s="113">
        <v>0</v>
      </c>
      <c r="AH207" s="113">
        <v>0</v>
      </c>
      <c r="AI207" s="113">
        <v>0</v>
      </c>
      <c r="AJ207" s="113">
        <v>0</v>
      </c>
      <c r="AK207" s="113">
        <v>0</v>
      </c>
      <c r="AL207" s="113">
        <v>0</v>
      </c>
      <c r="AM207" s="113">
        <v>0</v>
      </c>
      <c r="AN207" s="113">
        <v>0</v>
      </c>
      <c r="AO207" s="113">
        <v>0</v>
      </c>
      <c r="AP207" s="113">
        <v>0</v>
      </c>
      <c r="AQ207" s="113">
        <v>0</v>
      </c>
      <c r="AR207" s="113">
        <v>0</v>
      </c>
      <c r="AS207" s="113">
        <v>0</v>
      </c>
      <c r="AT207" s="113">
        <v>0</v>
      </c>
      <c r="AU207" s="113">
        <v>0</v>
      </c>
      <c r="AV207" s="113">
        <v>0</v>
      </c>
      <c r="AW207" s="113">
        <v>0</v>
      </c>
      <c r="AX207" s="113">
        <v>0</v>
      </c>
      <c r="AY207" s="113">
        <v>0</v>
      </c>
      <c r="AZ207" s="113">
        <v>0</v>
      </c>
      <c r="BA207" s="113">
        <v>0</v>
      </c>
      <c r="BB207" s="113">
        <v>0</v>
      </c>
      <c r="BC207" s="113">
        <v>0</v>
      </c>
      <c r="BD207" s="113">
        <v>0</v>
      </c>
      <c r="BF207" s="113">
        <f t="shared" si="12"/>
        <v>33234</v>
      </c>
      <c r="BG207" s="113">
        <f t="shared" si="13"/>
        <v>603</v>
      </c>
      <c r="BH207" s="113">
        <f t="shared" si="14"/>
        <v>0</v>
      </c>
      <c r="BI207" s="113">
        <f t="shared" si="15"/>
        <v>0</v>
      </c>
    </row>
    <row r="208" spans="1:61">
      <c r="A208" s="102" t="s">
        <v>303</v>
      </c>
      <c r="B208" s="24" t="s">
        <v>614</v>
      </c>
      <c r="C208" s="103" t="s">
        <v>42</v>
      </c>
      <c r="D208" s="113">
        <v>0</v>
      </c>
      <c r="E208" s="113">
        <v>216322</v>
      </c>
      <c r="F208" s="113">
        <v>3756</v>
      </c>
      <c r="G208" s="113">
        <v>0</v>
      </c>
      <c r="H208" s="113">
        <v>0</v>
      </c>
      <c r="I208" s="113">
        <v>0</v>
      </c>
      <c r="J208" s="113">
        <v>0</v>
      </c>
      <c r="K208" s="113">
        <v>79188</v>
      </c>
      <c r="L208" s="113">
        <v>1376</v>
      </c>
      <c r="M208" s="113">
        <v>0</v>
      </c>
      <c r="N208" s="113">
        <v>0</v>
      </c>
      <c r="O208" s="113">
        <v>0</v>
      </c>
      <c r="P208" s="113">
        <v>0</v>
      </c>
      <c r="Q208" s="113">
        <v>0</v>
      </c>
      <c r="R208" s="113">
        <v>0</v>
      </c>
      <c r="S208" s="113">
        <v>0</v>
      </c>
      <c r="T208" s="113">
        <v>0</v>
      </c>
      <c r="U208" s="113">
        <v>0</v>
      </c>
      <c r="V208" s="113">
        <v>0</v>
      </c>
      <c r="W208" s="113">
        <v>0</v>
      </c>
      <c r="X208" s="113">
        <v>0</v>
      </c>
      <c r="Y208" s="113">
        <v>0</v>
      </c>
      <c r="Z208" s="113">
        <v>0</v>
      </c>
      <c r="AA208" s="113">
        <v>0</v>
      </c>
      <c r="AB208" s="113">
        <v>0</v>
      </c>
      <c r="AC208" s="113">
        <v>0</v>
      </c>
      <c r="AD208" s="113">
        <v>112245</v>
      </c>
      <c r="AE208" s="113">
        <v>1942</v>
      </c>
      <c r="AF208" s="113">
        <v>0</v>
      </c>
      <c r="AG208" s="113">
        <v>0</v>
      </c>
      <c r="AH208" s="113">
        <v>0</v>
      </c>
      <c r="AI208" s="113">
        <v>0</v>
      </c>
      <c r="AJ208" s="113">
        <v>0</v>
      </c>
      <c r="AK208" s="113">
        <v>0</v>
      </c>
      <c r="AL208" s="113">
        <v>0</v>
      </c>
      <c r="AM208" s="113">
        <v>0</v>
      </c>
      <c r="AN208" s="113">
        <v>0</v>
      </c>
      <c r="AO208" s="113">
        <v>0</v>
      </c>
      <c r="AP208" s="113">
        <v>0</v>
      </c>
      <c r="AQ208" s="113">
        <v>0</v>
      </c>
      <c r="AR208" s="113">
        <v>0</v>
      </c>
      <c r="AS208" s="113">
        <v>0</v>
      </c>
      <c r="AT208" s="113">
        <v>0</v>
      </c>
      <c r="AU208" s="113">
        <v>0</v>
      </c>
      <c r="AV208" s="113">
        <v>0</v>
      </c>
      <c r="AW208" s="113">
        <v>0</v>
      </c>
      <c r="AX208" s="113">
        <v>0</v>
      </c>
      <c r="AY208" s="113">
        <v>0</v>
      </c>
      <c r="AZ208" s="113">
        <v>0</v>
      </c>
      <c r="BA208" s="113">
        <v>0</v>
      </c>
      <c r="BB208" s="113">
        <v>0</v>
      </c>
      <c r="BC208" s="113">
        <v>0</v>
      </c>
      <c r="BD208" s="113">
        <v>0</v>
      </c>
      <c r="BF208" s="113">
        <f t="shared" si="12"/>
        <v>407755</v>
      </c>
      <c r="BG208" s="113">
        <f t="shared" si="13"/>
        <v>7074</v>
      </c>
      <c r="BH208" s="113">
        <f t="shared" si="14"/>
        <v>0</v>
      </c>
      <c r="BI208" s="113">
        <f t="shared" si="15"/>
        <v>0</v>
      </c>
    </row>
    <row r="209" spans="1:61">
      <c r="A209" s="102" t="s">
        <v>304</v>
      </c>
      <c r="B209" s="24" t="s">
        <v>615</v>
      </c>
      <c r="C209" s="103" t="s">
        <v>293</v>
      </c>
      <c r="D209" s="113">
        <v>0</v>
      </c>
      <c r="E209" s="113">
        <v>38534</v>
      </c>
      <c r="F209" s="113">
        <v>624</v>
      </c>
      <c r="G209" s="113">
        <v>0</v>
      </c>
      <c r="H209" s="113">
        <v>0</v>
      </c>
      <c r="I209" s="113">
        <v>0</v>
      </c>
      <c r="J209" s="113">
        <v>0</v>
      </c>
      <c r="K209" s="113">
        <v>0</v>
      </c>
      <c r="L209" s="113">
        <v>0</v>
      </c>
      <c r="M209" s="113">
        <v>0</v>
      </c>
      <c r="N209" s="113">
        <v>0</v>
      </c>
      <c r="O209" s="113">
        <v>0</v>
      </c>
      <c r="P209" s="113">
        <v>0</v>
      </c>
      <c r="Q209" s="113">
        <v>0</v>
      </c>
      <c r="R209" s="113">
        <v>0</v>
      </c>
      <c r="S209" s="113">
        <v>0</v>
      </c>
      <c r="T209" s="113">
        <v>0</v>
      </c>
      <c r="U209" s="113">
        <v>0</v>
      </c>
      <c r="V209" s="113">
        <v>0</v>
      </c>
      <c r="W209" s="113">
        <v>0</v>
      </c>
      <c r="X209" s="113">
        <v>0</v>
      </c>
      <c r="Y209" s="113">
        <v>0</v>
      </c>
      <c r="Z209" s="113">
        <v>0</v>
      </c>
      <c r="AA209" s="113">
        <v>0</v>
      </c>
      <c r="AB209" s="113">
        <v>0</v>
      </c>
      <c r="AC209" s="113">
        <v>0</v>
      </c>
      <c r="AD209" s="113">
        <v>0</v>
      </c>
      <c r="AE209" s="113">
        <v>0</v>
      </c>
      <c r="AF209" s="113">
        <v>0</v>
      </c>
      <c r="AG209" s="113">
        <v>0</v>
      </c>
      <c r="AH209" s="113">
        <v>0</v>
      </c>
      <c r="AI209" s="113">
        <v>0</v>
      </c>
      <c r="AJ209" s="113">
        <v>0</v>
      </c>
      <c r="AK209" s="113">
        <v>0</v>
      </c>
      <c r="AL209" s="113">
        <v>0</v>
      </c>
      <c r="AM209" s="113">
        <v>0</v>
      </c>
      <c r="AN209" s="113">
        <v>0</v>
      </c>
      <c r="AO209" s="113">
        <v>0</v>
      </c>
      <c r="AP209" s="113">
        <v>0</v>
      </c>
      <c r="AQ209" s="113">
        <v>0</v>
      </c>
      <c r="AR209" s="113">
        <v>0</v>
      </c>
      <c r="AS209" s="113">
        <v>0</v>
      </c>
      <c r="AT209" s="113">
        <v>0</v>
      </c>
      <c r="AU209" s="113">
        <v>0</v>
      </c>
      <c r="AV209" s="113">
        <v>0</v>
      </c>
      <c r="AW209" s="113">
        <v>0</v>
      </c>
      <c r="AX209" s="113">
        <v>0</v>
      </c>
      <c r="AY209" s="113">
        <v>0</v>
      </c>
      <c r="AZ209" s="113">
        <v>0</v>
      </c>
      <c r="BA209" s="113">
        <v>0</v>
      </c>
      <c r="BB209" s="113">
        <v>0</v>
      </c>
      <c r="BC209" s="113">
        <v>0</v>
      </c>
      <c r="BD209" s="113">
        <v>0</v>
      </c>
      <c r="BF209" s="113">
        <f t="shared" si="12"/>
        <v>38534</v>
      </c>
      <c r="BG209" s="113">
        <f t="shared" si="13"/>
        <v>624</v>
      </c>
      <c r="BH209" s="113">
        <f t="shared" si="14"/>
        <v>0</v>
      </c>
      <c r="BI209" s="113">
        <f t="shared" si="15"/>
        <v>0</v>
      </c>
    </row>
    <row r="210" spans="1:61">
      <c r="A210" s="102" t="s">
        <v>305</v>
      </c>
      <c r="B210" s="24" t="s">
        <v>616</v>
      </c>
      <c r="C210" s="103" t="s">
        <v>306</v>
      </c>
      <c r="D210" s="113">
        <v>0</v>
      </c>
      <c r="E210" s="113">
        <v>91102</v>
      </c>
      <c r="F210" s="113">
        <v>1286</v>
      </c>
      <c r="G210" s="113">
        <v>0</v>
      </c>
      <c r="H210" s="113">
        <v>0</v>
      </c>
      <c r="I210" s="113">
        <v>0</v>
      </c>
      <c r="J210" s="113">
        <v>0</v>
      </c>
      <c r="K210" s="113">
        <v>4517</v>
      </c>
      <c r="L210" s="113">
        <v>70</v>
      </c>
      <c r="M210" s="113">
        <v>0</v>
      </c>
      <c r="N210" s="113">
        <v>0</v>
      </c>
      <c r="O210" s="113">
        <v>0</v>
      </c>
      <c r="P210" s="113">
        <v>0</v>
      </c>
      <c r="Q210" s="113">
        <v>0</v>
      </c>
      <c r="R210" s="113">
        <v>0</v>
      </c>
      <c r="S210" s="113">
        <v>0</v>
      </c>
      <c r="T210" s="113">
        <v>0</v>
      </c>
      <c r="U210" s="113">
        <v>0</v>
      </c>
      <c r="V210" s="113">
        <v>0</v>
      </c>
      <c r="W210" s="113">
        <v>0</v>
      </c>
      <c r="X210" s="113">
        <v>0</v>
      </c>
      <c r="Y210" s="113">
        <v>0</v>
      </c>
      <c r="Z210" s="113">
        <v>0</v>
      </c>
      <c r="AA210" s="113">
        <v>0</v>
      </c>
      <c r="AB210" s="113">
        <v>0</v>
      </c>
      <c r="AC210" s="113">
        <v>0</v>
      </c>
      <c r="AD210" s="113">
        <v>7671</v>
      </c>
      <c r="AE210" s="113">
        <v>108</v>
      </c>
      <c r="AF210" s="113">
        <v>0</v>
      </c>
      <c r="AG210" s="113">
        <v>0</v>
      </c>
      <c r="AH210" s="113">
        <v>0</v>
      </c>
      <c r="AI210" s="113">
        <v>0</v>
      </c>
      <c r="AJ210" s="113">
        <v>0</v>
      </c>
      <c r="AK210" s="113">
        <v>0</v>
      </c>
      <c r="AL210" s="113">
        <v>0</v>
      </c>
      <c r="AM210" s="113">
        <v>0</v>
      </c>
      <c r="AN210" s="113">
        <v>0</v>
      </c>
      <c r="AO210" s="113">
        <v>0</v>
      </c>
      <c r="AP210" s="113">
        <v>0</v>
      </c>
      <c r="AQ210" s="113">
        <v>0</v>
      </c>
      <c r="AR210" s="113">
        <v>0</v>
      </c>
      <c r="AS210" s="113">
        <v>0</v>
      </c>
      <c r="AT210" s="113">
        <v>0</v>
      </c>
      <c r="AU210" s="113">
        <v>0</v>
      </c>
      <c r="AV210" s="113">
        <v>0</v>
      </c>
      <c r="AW210" s="113">
        <v>0</v>
      </c>
      <c r="AX210" s="113">
        <v>0</v>
      </c>
      <c r="AY210" s="113">
        <v>0</v>
      </c>
      <c r="AZ210" s="113">
        <v>0</v>
      </c>
      <c r="BA210" s="113">
        <v>0</v>
      </c>
      <c r="BB210" s="113">
        <v>0</v>
      </c>
      <c r="BC210" s="113">
        <v>0</v>
      </c>
      <c r="BD210" s="113">
        <v>0</v>
      </c>
      <c r="BF210" s="113">
        <f t="shared" si="12"/>
        <v>103290</v>
      </c>
      <c r="BG210" s="113">
        <f t="shared" si="13"/>
        <v>1464</v>
      </c>
      <c r="BH210" s="113">
        <f t="shared" si="14"/>
        <v>0</v>
      </c>
      <c r="BI210" s="113">
        <f t="shared" si="15"/>
        <v>0</v>
      </c>
    </row>
    <row r="211" spans="1:61">
      <c r="A211" s="102" t="s">
        <v>307</v>
      </c>
      <c r="B211" s="24" t="s">
        <v>617</v>
      </c>
      <c r="C211" s="103" t="s">
        <v>264</v>
      </c>
      <c r="D211" s="113">
        <v>0</v>
      </c>
      <c r="E211" s="113">
        <v>81461</v>
      </c>
      <c r="F211" s="113">
        <v>1166</v>
      </c>
      <c r="G211" s="113">
        <v>0</v>
      </c>
      <c r="H211" s="113">
        <v>0</v>
      </c>
      <c r="I211" s="113">
        <v>0</v>
      </c>
      <c r="J211" s="113">
        <v>0</v>
      </c>
      <c r="K211" s="113">
        <v>5598</v>
      </c>
      <c r="L211" s="113">
        <v>80</v>
      </c>
      <c r="M211" s="113">
        <v>0</v>
      </c>
      <c r="N211" s="113">
        <v>0</v>
      </c>
      <c r="O211" s="113">
        <v>0</v>
      </c>
      <c r="P211" s="113">
        <v>0</v>
      </c>
      <c r="Q211" s="113">
        <v>0</v>
      </c>
      <c r="R211" s="113">
        <v>0</v>
      </c>
      <c r="S211" s="113">
        <v>0</v>
      </c>
      <c r="T211" s="113">
        <v>0</v>
      </c>
      <c r="U211" s="113">
        <v>0</v>
      </c>
      <c r="V211" s="113">
        <v>0</v>
      </c>
      <c r="W211" s="113">
        <v>0</v>
      </c>
      <c r="X211" s="113">
        <v>0</v>
      </c>
      <c r="Y211" s="113">
        <v>0</v>
      </c>
      <c r="Z211" s="113">
        <v>0</v>
      </c>
      <c r="AA211" s="113">
        <v>0</v>
      </c>
      <c r="AB211" s="113">
        <v>0</v>
      </c>
      <c r="AC211" s="113">
        <v>0</v>
      </c>
      <c r="AD211" s="113">
        <v>28012</v>
      </c>
      <c r="AE211" s="113">
        <v>401</v>
      </c>
      <c r="AF211" s="113">
        <v>0</v>
      </c>
      <c r="AG211" s="113">
        <v>0</v>
      </c>
      <c r="AH211" s="113">
        <v>0</v>
      </c>
      <c r="AI211" s="113">
        <v>0</v>
      </c>
      <c r="AJ211" s="113">
        <v>0</v>
      </c>
      <c r="AK211" s="113">
        <v>0</v>
      </c>
      <c r="AL211" s="113">
        <v>0</v>
      </c>
      <c r="AM211" s="113">
        <v>0</v>
      </c>
      <c r="AN211" s="113">
        <v>0</v>
      </c>
      <c r="AO211" s="113">
        <v>0</v>
      </c>
      <c r="AP211" s="113">
        <v>0</v>
      </c>
      <c r="AQ211" s="113">
        <v>0</v>
      </c>
      <c r="AR211" s="113">
        <v>0</v>
      </c>
      <c r="AS211" s="113">
        <v>0</v>
      </c>
      <c r="AT211" s="113">
        <v>0</v>
      </c>
      <c r="AU211" s="113">
        <v>0</v>
      </c>
      <c r="AV211" s="113">
        <v>0</v>
      </c>
      <c r="AW211" s="113">
        <v>0</v>
      </c>
      <c r="AX211" s="113">
        <v>0</v>
      </c>
      <c r="AY211" s="113">
        <v>19985</v>
      </c>
      <c r="AZ211" s="113">
        <v>287</v>
      </c>
      <c r="BA211" s="113">
        <v>0</v>
      </c>
      <c r="BB211" s="113">
        <v>3994</v>
      </c>
      <c r="BC211" s="113">
        <v>58</v>
      </c>
      <c r="BD211" s="113">
        <v>0</v>
      </c>
      <c r="BF211" s="113">
        <f t="shared" si="12"/>
        <v>115071</v>
      </c>
      <c r="BG211" s="113">
        <f t="shared" si="13"/>
        <v>1647</v>
      </c>
      <c r="BH211" s="113">
        <f t="shared" si="14"/>
        <v>0</v>
      </c>
      <c r="BI211" s="113">
        <f t="shared" si="15"/>
        <v>0</v>
      </c>
    </row>
    <row r="212" spans="1:61">
      <c r="A212" s="102" t="s">
        <v>308</v>
      </c>
      <c r="B212" s="24" t="s">
        <v>618</v>
      </c>
      <c r="C212" s="103" t="s">
        <v>34</v>
      </c>
      <c r="D212" s="113">
        <v>0</v>
      </c>
      <c r="E212" s="113">
        <v>23418</v>
      </c>
      <c r="F212" s="113">
        <v>335</v>
      </c>
      <c r="G212" s="113">
        <v>0</v>
      </c>
      <c r="H212" s="113">
        <v>0</v>
      </c>
      <c r="I212" s="113">
        <v>0</v>
      </c>
      <c r="J212" s="113">
        <v>0</v>
      </c>
      <c r="K212" s="113">
        <v>0</v>
      </c>
      <c r="L212" s="113">
        <v>0</v>
      </c>
      <c r="M212" s="113">
        <v>0</v>
      </c>
      <c r="N212" s="113">
        <v>0</v>
      </c>
      <c r="O212" s="113">
        <v>0</v>
      </c>
      <c r="P212" s="113">
        <v>0</v>
      </c>
      <c r="Q212" s="113">
        <v>0</v>
      </c>
      <c r="R212" s="113">
        <v>0</v>
      </c>
      <c r="S212" s="113">
        <v>0</v>
      </c>
      <c r="T212" s="113">
        <v>0</v>
      </c>
      <c r="U212" s="113">
        <v>0</v>
      </c>
      <c r="V212" s="113">
        <v>0</v>
      </c>
      <c r="W212" s="113">
        <v>0</v>
      </c>
      <c r="X212" s="113">
        <v>0</v>
      </c>
      <c r="Y212" s="113">
        <v>0</v>
      </c>
      <c r="Z212" s="113">
        <v>0</v>
      </c>
      <c r="AA212" s="113">
        <v>0</v>
      </c>
      <c r="AB212" s="113">
        <v>0</v>
      </c>
      <c r="AC212" s="113">
        <v>0</v>
      </c>
      <c r="AD212" s="113">
        <v>0</v>
      </c>
      <c r="AE212" s="113">
        <v>0</v>
      </c>
      <c r="AF212" s="113">
        <v>0</v>
      </c>
      <c r="AG212" s="113">
        <v>0</v>
      </c>
      <c r="AH212" s="113">
        <v>0</v>
      </c>
      <c r="AI212" s="113">
        <v>0</v>
      </c>
      <c r="AJ212" s="113">
        <v>0</v>
      </c>
      <c r="AK212" s="113">
        <v>0</v>
      </c>
      <c r="AL212" s="113">
        <v>0</v>
      </c>
      <c r="AM212" s="113">
        <v>0</v>
      </c>
      <c r="AN212" s="113">
        <v>0</v>
      </c>
      <c r="AO212" s="113">
        <v>0</v>
      </c>
      <c r="AP212" s="113">
        <v>0</v>
      </c>
      <c r="AQ212" s="113">
        <v>0</v>
      </c>
      <c r="AR212" s="113">
        <v>0</v>
      </c>
      <c r="AS212" s="113">
        <v>0</v>
      </c>
      <c r="AT212" s="113">
        <v>0</v>
      </c>
      <c r="AU212" s="113">
        <v>0</v>
      </c>
      <c r="AV212" s="113">
        <v>0</v>
      </c>
      <c r="AW212" s="113">
        <v>0</v>
      </c>
      <c r="AX212" s="113">
        <v>0</v>
      </c>
      <c r="AY212" s="113">
        <v>7065</v>
      </c>
      <c r="AZ212" s="113">
        <v>102</v>
      </c>
      <c r="BA212" s="113">
        <v>0</v>
      </c>
      <c r="BB212" s="113">
        <v>0</v>
      </c>
      <c r="BC212" s="113">
        <v>0</v>
      </c>
      <c r="BD212" s="113">
        <v>0</v>
      </c>
      <c r="BF212" s="113">
        <f t="shared" si="12"/>
        <v>23418</v>
      </c>
      <c r="BG212" s="113">
        <f t="shared" si="13"/>
        <v>335</v>
      </c>
      <c r="BH212" s="113">
        <f t="shared" si="14"/>
        <v>0</v>
      </c>
      <c r="BI212" s="113">
        <f t="shared" si="15"/>
        <v>0</v>
      </c>
    </row>
    <row r="213" spans="1:61">
      <c r="A213" s="102" t="s">
        <v>309</v>
      </c>
      <c r="B213" s="24" t="s">
        <v>619</v>
      </c>
      <c r="C213" s="103" t="s">
        <v>299</v>
      </c>
      <c r="D213" s="113">
        <v>0</v>
      </c>
      <c r="E213" s="113">
        <v>139453</v>
      </c>
      <c r="F213" s="113">
        <v>1859</v>
      </c>
      <c r="G213" s="113">
        <v>0</v>
      </c>
      <c r="H213" s="113">
        <v>0</v>
      </c>
      <c r="I213" s="113">
        <v>0</v>
      </c>
      <c r="J213" s="113">
        <v>0</v>
      </c>
      <c r="K213" s="113">
        <v>30951</v>
      </c>
      <c r="L213" s="113">
        <v>412</v>
      </c>
      <c r="M213" s="113">
        <v>0</v>
      </c>
      <c r="N213" s="113">
        <v>0</v>
      </c>
      <c r="O213" s="113">
        <v>0</v>
      </c>
      <c r="P213" s="113">
        <v>0</v>
      </c>
      <c r="Q213" s="113">
        <v>0</v>
      </c>
      <c r="R213" s="113">
        <v>0</v>
      </c>
      <c r="S213" s="113">
        <v>0</v>
      </c>
      <c r="T213" s="113">
        <v>0</v>
      </c>
      <c r="U213" s="113">
        <v>0</v>
      </c>
      <c r="V213" s="113">
        <v>0</v>
      </c>
      <c r="W213" s="113">
        <v>0</v>
      </c>
      <c r="X213" s="113">
        <v>0</v>
      </c>
      <c r="Y213" s="113">
        <v>0</v>
      </c>
      <c r="Z213" s="113">
        <v>0</v>
      </c>
      <c r="AA213" s="113">
        <v>0</v>
      </c>
      <c r="AB213" s="113">
        <v>0</v>
      </c>
      <c r="AC213" s="113">
        <v>0</v>
      </c>
      <c r="AD213" s="113">
        <v>0</v>
      </c>
      <c r="AE213" s="113">
        <v>0</v>
      </c>
      <c r="AF213" s="113">
        <v>0</v>
      </c>
      <c r="AG213" s="113">
        <v>0</v>
      </c>
      <c r="AH213" s="113">
        <v>0</v>
      </c>
      <c r="AI213" s="113">
        <v>0</v>
      </c>
      <c r="AJ213" s="113">
        <v>0</v>
      </c>
      <c r="AK213" s="113">
        <v>0</v>
      </c>
      <c r="AL213" s="113">
        <v>0</v>
      </c>
      <c r="AM213" s="113">
        <v>0</v>
      </c>
      <c r="AN213" s="113">
        <v>0</v>
      </c>
      <c r="AO213" s="113">
        <v>0</v>
      </c>
      <c r="AP213" s="113">
        <v>0</v>
      </c>
      <c r="AQ213" s="113">
        <v>0</v>
      </c>
      <c r="AR213" s="113">
        <v>0</v>
      </c>
      <c r="AS213" s="113">
        <v>0</v>
      </c>
      <c r="AT213" s="113">
        <v>0</v>
      </c>
      <c r="AU213" s="113">
        <v>0</v>
      </c>
      <c r="AV213" s="113">
        <v>0</v>
      </c>
      <c r="AW213" s="113">
        <v>0</v>
      </c>
      <c r="AX213" s="113">
        <v>0</v>
      </c>
      <c r="AY213" s="113">
        <v>0</v>
      </c>
      <c r="AZ213" s="113">
        <v>0</v>
      </c>
      <c r="BA213" s="113">
        <v>0</v>
      </c>
      <c r="BB213" s="113">
        <v>0</v>
      </c>
      <c r="BC213" s="113">
        <v>0</v>
      </c>
      <c r="BD213" s="113">
        <v>0</v>
      </c>
      <c r="BF213" s="113">
        <f t="shared" si="12"/>
        <v>170404</v>
      </c>
      <c r="BG213" s="113">
        <f t="shared" si="13"/>
        <v>2271</v>
      </c>
      <c r="BH213" s="113">
        <f t="shared" si="14"/>
        <v>0</v>
      </c>
      <c r="BI213" s="113">
        <f t="shared" si="15"/>
        <v>0</v>
      </c>
    </row>
    <row r="214" spans="1:61">
      <c r="A214" s="102" t="s">
        <v>310</v>
      </c>
      <c r="B214" s="24" t="s">
        <v>296</v>
      </c>
      <c r="C214" s="103" t="s">
        <v>296</v>
      </c>
      <c r="D214" s="113">
        <v>468</v>
      </c>
      <c r="E214" s="113">
        <v>36395</v>
      </c>
      <c r="F214" s="113">
        <v>907</v>
      </c>
      <c r="G214" s="113">
        <v>0</v>
      </c>
      <c r="H214" s="113">
        <v>0</v>
      </c>
      <c r="I214" s="113">
        <v>0</v>
      </c>
      <c r="J214" s="113">
        <v>0</v>
      </c>
      <c r="K214" s="113">
        <v>0</v>
      </c>
      <c r="L214" s="113">
        <v>0</v>
      </c>
      <c r="M214" s="113">
        <v>0</v>
      </c>
      <c r="N214" s="113">
        <v>0</v>
      </c>
      <c r="O214" s="113">
        <v>0</v>
      </c>
      <c r="P214" s="113">
        <v>0</v>
      </c>
      <c r="Q214" s="113">
        <v>0</v>
      </c>
      <c r="R214" s="113">
        <v>0</v>
      </c>
      <c r="S214" s="113">
        <v>0</v>
      </c>
      <c r="T214" s="113">
        <v>0</v>
      </c>
      <c r="U214" s="113">
        <v>0</v>
      </c>
      <c r="V214" s="113">
        <v>0</v>
      </c>
      <c r="W214" s="113">
        <v>0</v>
      </c>
      <c r="X214" s="113">
        <v>0</v>
      </c>
      <c r="Y214" s="113">
        <v>0</v>
      </c>
      <c r="Z214" s="113">
        <v>0</v>
      </c>
      <c r="AA214" s="113">
        <v>0</v>
      </c>
      <c r="AB214" s="113">
        <v>0</v>
      </c>
      <c r="AC214" s="113">
        <v>0</v>
      </c>
      <c r="AD214" s="113">
        <v>58626</v>
      </c>
      <c r="AE214" s="113">
        <v>1358</v>
      </c>
      <c r="AF214" s="113">
        <v>0</v>
      </c>
      <c r="AG214" s="113">
        <v>0</v>
      </c>
      <c r="AH214" s="113">
        <v>0</v>
      </c>
      <c r="AI214" s="113">
        <v>0</v>
      </c>
      <c r="AJ214" s="113">
        <v>0</v>
      </c>
      <c r="AK214" s="113">
        <v>0</v>
      </c>
      <c r="AL214" s="113">
        <v>0</v>
      </c>
      <c r="AM214" s="113">
        <v>0</v>
      </c>
      <c r="AN214" s="113">
        <v>0</v>
      </c>
      <c r="AO214" s="113">
        <v>0</v>
      </c>
      <c r="AP214" s="113">
        <v>0</v>
      </c>
      <c r="AQ214" s="113">
        <v>0</v>
      </c>
      <c r="AR214" s="113">
        <v>0</v>
      </c>
      <c r="AS214" s="113">
        <v>0</v>
      </c>
      <c r="AT214" s="113">
        <v>0</v>
      </c>
      <c r="AU214" s="113">
        <v>0</v>
      </c>
      <c r="AV214" s="113">
        <v>0</v>
      </c>
      <c r="AW214" s="113">
        <v>0</v>
      </c>
      <c r="AX214" s="113">
        <v>0</v>
      </c>
      <c r="AY214" s="113">
        <v>0</v>
      </c>
      <c r="AZ214" s="113">
        <v>0</v>
      </c>
      <c r="BA214" s="113">
        <v>0</v>
      </c>
      <c r="BB214" s="113">
        <v>0</v>
      </c>
      <c r="BC214" s="113">
        <v>0</v>
      </c>
      <c r="BD214" s="113">
        <v>0</v>
      </c>
      <c r="BF214" s="113">
        <f t="shared" si="12"/>
        <v>95021</v>
      </c>
      <c r="BG214" s="113">
        <f t="shared" si="13"/>
        <v>2265</v>
      </c>
      <c r="BH214" s="113">
        <f t="shared" si="14"/>
        <v>0</v>
      </c>
      <c r="BI214" s="113">
        <f t="shared" si="15"/>
        <v>468</v>
      </c>
    </row>
    <row r="215" spans="1:61">
      <c r="A215" s="102" t="s">
        <v>311</v>
      </c>
      <c r="B215" s="24" t="s">
        <v>266</v>
      </c>
      <c r="C215" s="103" t="s">
        <v>266</v>
      </c>
      <c r="D215" s="113">
        <v>0</v>
      </c>
      <c r="E215" s="113">
        <v>196321</v>
      </c>
      <c r="F215" s="113">
        <v>1940</v>
      </c>
      <c r="G215" s="113">
        <v>0</v>
      </c>
      <c r="H215" s="113">
        <v>0</v>
      </c>
      <c r="I215" s="113">
        <v>0</v>
      </c>
      <c r="J215" s="113">
        <v>0</v>
      </c>
      <c r="K215" s="113">
        <v>38183</v>
      </c>
      <c r="L215" s="113">
        <v>381</v>
      </c>
      <c r="M215" s="113">
        <v>0</v>
      </c>
      <c r="N215" s="113">
        <v>0</v>
      </c>
      <c r="O215" s="113">
        <v>0</v>
      </c>
      <c r="P215" s="113">
        <v>0</v>
      </c>
      <c r="Q215" s="113">
        <v>0</v>
      </c>
      <c r="R215" s="113">
        <v>0</v>
      </c>
      <c r="S215" s="113">
        <v>0</v>
      </c>
      <c r="T215" s="113">
        <v>0</v>
      </c>
      <c r="U215" s="113">
        <v>0</v>
      </c>
      <c r="V215" s="113">
        <v>0</v>
      </c>
      <c r="W215" s="113">
        <v>0</v>
      </c>
      <c r="X215" s="113">
        <v>0</v>
      </c>
      <c r="Y215" s="113">
        <v>0</v>
      </c>
      <c r="Z215" s="113">
        <v>0</v>
      </c>
      <c r="AA215" s="113">
        <v>0</v>
      </c>
      <c r="AB215" s="113">
        <v>0</v>
      </c>
      <c r="AC215" s="113">
        <v>0</v>
      </c>
      <c r="AD215" s="113">
        <v>134499</v>
      </c>
      <c r="AE215" s="113">
        <v>1334</v>
      </c>
      <c r="AF215" s="113">
        <v>0</v>
      </c>
      <c r="AG215" s="113">
        <v>0</v>
      </c>
      <c r="AH215" s="113">
        <v>0</v>
      </c>
      <c r="AI215" s="113">
        <v>0</v>
      </c>
      <c r="AJ215" s="113">
        <v>0</v>
      </c>
      <c r="AK215" s="113">
        <v>0</v>
      </c>
      <c r="AL215" s="113">
        <v>0</v>
      </c>
      <c r="AM215" s="113">
        <v>0</v>
      </c>
      <c r="AN215" s="113">
        <v>0</v>
      </c>
      <c r="AO215" s="113">
        <v>0</v>
      </c>
      <c r="AP215" s="113">
        <v>0</v>
      </c>
      <c r="AQ215" s="113">
        <v>0</v>
      </c>
      <c r="AR215" s="113">
        <v>0</v>
      </c>
      <c r="AS215" s="113">
        <v>0</v>
      </c>
      <c r="AT215" s="113">
        <v>0</v>
      </c>
      <c r="AU215" s="113">
        <v>0</v>
      </c>
      <c r="AV215" s="113">
        <v>0</v>
      </c>
      <c r="AW215" s="113">
        <v>0</v>
      </c>
      <c r="AX215" s="113">
        <v>0</v>
      </c>
      <c r="AY215" s="113">
        <v>25166</v>
      </c>
      <c r="AZ215" s="113">
        <v>250</v>
      </c>
      <c r="BA215" s="113">
        <v>0</v>
      </c>
      <c r="BB215" s="113">
        <v>6697</v>
      </c>
      <c r="BC215" s="113">
        <v>66</v>
      </c>
      <c r="BD215" s="113">
        <v>0</v>
      </c>
      <c r="BF215" s="113">
        <f t="shared" si="12"/>
        <v>369003</v>
      </c>
      <c r="BG215" s="113">
        <f t="shared" si="13"/>
        <v>3655</v>
      </c>
      <c r="BH215" s="113">
        <f t="shared" si="14"/>
        <v>0</v>
      </c>
      <c r="BI215" s="113">
        <f t="shared" si="15"/>
        <v>0</v>
      </c>
    </row>
    <row r="216" spans="1:61">
      <c r="A216" s="102" t="s">
        <v>312</v>
      </c>
      <c r="B216" s="24" t="s">
        <v>620</v>
      </c>
      <c r="C216" s="103" t="s">
        <v>296</v>
      </c>
      <c r="D216" s="113">
        <v>0</v>
      </c>
      <c r="E216" s="113">
        <v>95448</v>
      </c>
      <c r="F216" s="113">
        <v>1428</v>
      </c>
      <c r="G216" s="113">
        <v>0</v>
      </c>
      <c r="H216" s="113">
        <v>0</v>
      </c>
      <c r="I216" s="113">
        <v>0</v>
      </c>
      <c r="J216" s="113">
        <v>0</v>
      </c>
      <c r="K216" s="113">
        <v>19614</v>
      </c>
      <c r="L216" s="113">
        <v>287</v>
      </c>
      <c r="M216" s="113">
        <v>797</v>
      </c>
      <c r="N216" s="113">
        <v>0</v>
      </c>
      <c r="O216" s="113">
        <v>0</v>
      </c>
      <c r="P216" s="113">
        <v>0</v>
      </c>
      <c r="Q216" s="113">
        <v>0</v>
      </c>
      <c r="R216" s="113">
        <v>0</v>
      </c>
      <c r="S216" s="113">
        <v>0</v>
      </c>
      <c r="T216" s="113">
        <v>0</v>
      </c>
      <c r="U216" s="113">
        <v>0</v>
      </c>
      <c r="V216" s="113">
        <v>0</v>
      </c>
      <c r="W216" s="113">
        <v>0</v>
      </c>
      <c r="X216" s="113">
        <v>0</v>
      </c>
      <c r="Y216" s="113">
        <v>0</v>
      </c>
      <c r="Z216" s="113">
        <v>0</v>
      </c>
      <c r="AA216" s="113">
        <v>0</v>
      </c>
      <c r="AB216" s="113">
        <v>0</v>
      </c>
      <c r="AC216" s="113">
        <v>0</v>
      </c>
      <c r="AD216" s="113">
        <v>15165</v>
      </c>
      <c r="AE216" s="113">
        <v>223</v>
      </c>
      <c r="AF216" s="113">
        <v>0</v>
      </c>
      <c r="AG216" s="113">
        <v>0</v>
      </c>
      <c r="AH216" s="113">
        <v>0</v>
      </c>
      <c r="AI216" s="113">
        <v>0</v>
      </c>
      <c r="AJ216" s="113">
        <v>0</v>
      </c>
      <c r="AK216" s="113">
        <v>0</v>
      </c>
      <c r="AL216" s="113">
        <v>0</v>
      </c>
      <c r="AM216" s="113">
        <v>0</v>
      </c>
      <c r="AN216" s="113">
        <v>0</v>
      </c>
      <c r="AO216" s="113">
        <v>0</v>
      </c>
      <c r="AP216" s="113">
        <v>0</v>
      </c>
      <c r="AQ216" s="113">
        <v>0</v>
      </c>
      <c r="AR216" s="113">
        <v>0</v>
      </c>
      <c r="AS216" s="113">
        <v>0</v>
      </c>
      <c r="AT216" s="113">
        <v>0</v>
      </c>
      <c r="AU216" s="113">
        <v>0</v>
      </c>
      <c r="AV216" s="113">
        <v>0</v>
      </c>
      <c r="AW216" s="113">
        <v>0</v>
      </c>
      <c r="AX216" s="113">
        <v>0</v>
      </c>
      <c r="AY216" s="113">
        <v>0</v>
      </c>
      <c r="AZ216" s="113">
        <v>0</v>
      </c>
      <c r="BA216" s="113">
        <v>0</v>
      </c>
      <c r="BB216" s="113">
        <v>0</v>
      </c>
      <c r="BC216" s="113">
        <v>0</v>
      </c>
      <c r="BD216" s="113">
        <v>0</v>
      </c>
      <c r="BF216" s="113">
        <f t="shared" si="12"/>
        <v>130227</v>
      </c>
      <c r="BG216" s="113">
        <f t="shared" si="13"/>
        <v>1938</v>
      </c>
      <c r="BH216" s="113">
        <f t="shared" si="14"/>
        <v>797</v>
      </c>
      <c r="BI216" s="113">
        <f t="shared" si="15"/>
        <v>0</v>
      </c>
    </row>
    <row r="217" spans="1:61">
      <c r="A217" s="102" t="s">
        <v>313</v>
      </c>
      <c r="B217" s="24" t="s">
        <v>621</v>
      </c>
      <c r="C217" s="103" t="s">
        <v>296</v>
      </c>
      <c r="D217" s="113">
        <v>0</v>
      </c>
      <c r="E217" s="113">
        <v>30973</v>
      </c>
      <c r="F217" s="113">
        <v>2438</v>
      </c>
      <c r="G217" s="113">
        <v>0</v>
      </c>
      <c r="H217" s="113">
        <v>0</v>
      </c>
      <c r="I217" s="113">
        <v>0</v>
      </c>
      <c r="J217" s="113">
        <v>0</v>
      </c>
      <c r="K217" s="113">
        <v>6060</v>
      </c>
      <c r="L217" s="113">
        <v>489</v>
      </c>
      <c r="M217" s="113">
        <v>0</v>
      </c>
      <c r="N217" s="113">
        <v>0</v>
      </c>
      <c r="O217" s="113">
        <v>0</v>
      </c>
      <c r="P217" s="113">
        <v>0</v>
      </c>
      <c r="Q217" s="113">
        <v>0</v>
      </c>
      <c r="R217" s="113">
        <v>0</v>
      </c>
      <c r="S217" s="113">
        <v>0</v>
      </c>
      <c r="T217" s="113">
        <v>0</v>
      </c>
      <c r="U217" s="113">
        <v>0</v>
      </c>
      <c r="V217" s="113">
        <v>0</v>
      </c>
      <c r="W217" s="113">
        <v>0</v>
      </c>
      <c r="X217" s="113">
        <v>0</v>
      </c>
      <c r="Y217" s="113">
        <v>0</v>
      </c>
      <c r="Z217" s="113">
        <v>0</v>
      </c>
      <c r="AA217" s="113">
        <v>0</v>
      </c>
      <c r="AB217" s="113">
        <v>0</v>
      </c>
      <c r="AC217" s="113">
        <v>0</v>
      </c>
      <c r="AD217" s="113">
        <v>17246</v>
      </c>
      <c r="AE217" s="113">
        <v>1452</v>
      </c>
      <c r="AF217" s="113">
        <v>0</v>
      </c>
      <c r="AG217" s="113">
        <v>0</v>
      </c>
      <c r="AH217" s="113">
        <v>0</v>
      </c>
      <c r="AI217" s="113">
        <v>0</v>
      </c>
      <c r="AJ217" s="113">
        <v>0</v>
      </c>
      <c r="AK217" s="113">
        <v>0</v>
      </c>
      <c r="AL217" s="113">
        <v>0</v>
      </c>
      <c r="AM217" s="113">
        <v>0</v>
      </c>
      <c r="AN217" s="113">
        <v>0</v>
      </c>
      <c r="AO217" s="113">
        <v>0</v>
      </c>
      <c r="AP217" s="113">
        <v>0</v>
      </c>
      <c r="AQ217" s="113">
        <v>0</v>
      </c>
      <c r="AR217" s="113">
        <v>0</v>
      </c>
      <c r="AS217" s="113">
        <v>0</v>
      </c>
      <c r="AT217" s="113">
        <v>0</v>
      </c>
      <c r="AU217" s="113">
        <v>0</v>
      </c>
      <c r="AV217" s="113">
        <v>0</v>
      </c>
      <c r="AW217" s="113">
        <v>0</v>
      </c>
      <c r="AX217" s="113">
        <v>0</v>
      </c>
      <c r="AY217" s="113">
        <v>2857</v>
      </c>
      <c r="AZ217" s="113">
        <v>234</v>
      </c>
      <c r="BA217" s="113">
        <v>0</v>
      </c>
      <c r="BB217" s="113">
        <v>0</v>
      </c>
      <c r="BC217" s="113">
        <v>0</v>
      </c>
      <c r="BD217" s="113">
        <v>0</v>
      </c>
      <c r="BF217" s="113">
        <f t="shared" si="12"/>
        <v>54279</v>
      </c>
      <c r="BG217" s="113">
        <f t="shared" si="13"/>
        <v>4379</v>
      </c>
      <c r="BH217" s="113">
        <f t="shared" si="14"/>
        <v>0</v>
      </c>
      <c r="BI217" s="113">
        <f t="shared" si="15"/>
        <v>0</v>
      </c>
    </row>
    <row r="218" spans="1:61">
      <c r="A218" s="102" t="s">
        <v>314</v>
      </c>
      <c r="B218" s="24" t="s">
        <v>622</v>
      </c>
      <c r="C218" s="103" t="s">
        <v>315</v>
      </c>
      <c r="D218" s="113">
        <v>0</v>
      </c>
      <c r="E218" s="113">
        <v>59089</v>
      </c>
      <c r="F218" s="113">
        <v>1080</v>
      </c>
      <c r="G218" s="113">
        <v>0</v>
      </c>
      <c r="H218" s="113">
        <v>0</v>
      </c>
      <c r="I218" s="113">
        <v>0</v>
      </c>
      <c r="J218" s="113">
        <v>0</v>
      </c>
      <c r="K218" s="113">
        <v>6630</v>
      </c>
      <c r="L218" s="113">
        <v>119</v>
      </c>
      <c r="M218" s="113">
        <v>0</v>
      </c>
      <c r="N218" s="113">
        <v>0</v>
      </c>
      <c r="O218" s="113">
        <v>0</v>
      </c>
      <c r="P218" s="113">
        <v>0</v>
      </c>
      <c r="Q218" s="113">
        <v>0</v>
      </c>
      <c r="R218" s="113">
        <v>0</v>
      </c>
      <c r="S218" s="113">
        <v>0</v>
      </c>
      <c r="T218" s="113">
        <v>0</v>
      </c>
      <c r="U218" s="113">
        <v>0</v>
      </c>
      <c r="V218" s="113">
        <v>0</v>
      </c>
      <c r="W218" s="113">
        <v>0</v>
      </c>
      <c r="X218" s="113">
        <v>0</v>
      </c>
      <c r="Y218" s="113">
        <v>0</v>
      </c>
      <c r="Z218" s="113">
        <v>0</v>
      </c>
      <c r="AA218" s="113">
        <v>0</v>
      </c>
      <c r="AB218" s="113">
        <v>0</v>
      </c>
      <c r="AC218" s="113">
        <v>0</v>
      </c>
      <c r="AD218" s="113">
        <v>0</v>
      </c>
      <c r="AE218" s="113">
        <v>0</v>
      </c>
      <c r="AF218" s="113">
        <v>0</v>
      </c>
      <c r="AG218" s="113">
        <v>0</v>
      </c>
      <c r="AH218" s="113">
        <v>0</v>
      </c>
      <c r="AI218" s="113">
        <v>0</v>
      </c>
      <c r="AJ218" s="113">
        <v>0</v>
      </c>
      <c r="AK218" s="113">
        <v>0</v>
      </c>
      <c r="AL218" s="113">
        <v>0</v>
      </c>
      <c r="AM218" s="113">
        <v>0</v>
      </c>
      <c r="AN218" s="113">
        <v>0</v>
      </c>
      <c r="AO218" s="113">
        <v>0</v>
      </c>
      <c r="AP218" s="113">
        <v>0</v>
      </c>
      <c r="AQ218" s="113">
        <v>0</v>
      </c>
      <c r="AR218" s="113">
        <v>0</v>
      </c>
      <c r="AS218" s="113">
        <v>0</v>
      </c>
      <c r="AT218" s="113">
        <v>0</v>
      </c>
      <c r="AU218" s="113">
        <v>0</v>
      </c>
      <c r="AV218" s="113">
        <v>0</v>
      </c>
      <c r="AW218" s="113">
        <v>0</v>
      </c>
      <c r="AX218" s="113">
        <v>0</v>
      </c>
      <c r="AY218" s="113">
        <v>0</v>
      </c>
      <c r="AZ218" s="113">
        <v>0</v>
      </c>
      <c r="BA218" s="113">
        <v>0</v>
      </c>
      <c r="BB218" s="113">
        <v>0</v>
      </c>
      <c r="BC218" s="113">
        <v>0</v>
      </c>
      <c r="BD218" s="113">
        <v>0</v>
      </c>
      <c r="BF218" s="113">
        <f t="shared" si="12"/>
        <v>65719</v>
      </c>
      <c r="BG218" s="113">
        <f t="shared" si="13"/>
        <v>1199</v>
      </c>
      <c r="BH218" s="113">
        <f t="shared" si="14"/>
        <v>0</v>
      </c>
      <c r="BI218" s="113">
        <f t="shared" si="15"/>
        <v>0</v>
      </c>
    </row>
    <row r="219" spans="1:61">
      <c r="A219" s="102" t="s">
        <v>316</v>
      </c>
      <c r="B219" s="24" t="s">
        <v>623</v>
      </c>
      <c r="C219" s="103" t="s">
        <v>14</v>
      </c>
      <c r="D219" s="113">
        <v>4189</v>
      </c>
      <c r="E219" s="113">
        <v>162350</v>
      </c>
      <c r="F219" s="113">
        <v>2055</v>
      </c>
      <c r="G219" s="113">
        <v>3423</v>
      </c>
      <c r="H219" s="113">
        <v>0</v>
      </c>
      <c r="I219" s="113">
        <v>0</v>
      </c>
      <c r="J219" s="113">
        <v>0</v>
      </c>
      <c r="K219" s="113">
        <v>38343</v>
      </c>
      <c r="L219" s="113">
        <v>486</v>
      </c>
      <c r="M219" s="113">
        <v>0</v>
      </c>
      <c r="N219" s="113">
        <v>807</v>
      </c>
      <c r="O219" s="113">
        <v>0</v>
      </c>
      <c r="P219" s="113">
        <v>0</v>
      </c>
      <c r="Q219" s="113">
        <v>0</v>
      </c>
      <c r="R219" s="113">
        <v>0</v>
      </c>
      <c r="S219" s="113">
        <v>0</v>
      </c>
      <c r="T219" s="113">
        <v>0</v>
      </c>
      <c r="U219" s="113">
        <v>0</v>
      </c>
      <c r="V219" s="113">
        <v>0</v>
      </c>
      <c r="W219" s="113">
        <v>0</v>
      </c>
      <c r="X219" s="113">
        <v>0</v>
      </c>
      <c r="Y219" s="113">
        <v>0</v>
      </c>
      <c r="Z219" s="113">
        <v>0</v>
      </c>
      <c r="AA219" s="113">
        <v>0</v>
      </c>
      <c r="AB219" s="113">
        <v>0</v>
      </c>
      <c r="AC219" s="113">
        <v>0</v>
      </c>
      <c r="AD219" s="113">
        <v>103509</v>
      </c>
      <c r="AE219" s="113">
        <v>1310</v>
      </c>
      <c r="AF219" s="113">
        <v>2446</v>
      </c>
      <c r="AG219" s="113">
        <v>0</v>
      </c>
      <c r="AH219" s="113">
        <v>0</v>
      </c>
      <c r="AI219" s="113">
        <v>0</v>
      </c>
      <c r="AJ219" s="113">
        <v>0</v>
      </c>
      <c r="AK219" s="113">
        <v>0</v>
      </c>
      <c r="AL219" s="113">
        <v>0</v>
      </c>
      <c r="AM219" s="113">
        <v>0</v>
      </c>
      <c r="AN219" s="113">
        <v>0</v>
      </c>
      <c r="AO219" s="113">
        <v>0</v>
      </c>
      <c r="AP219" s="113">
        <v>0</v>
      </c>
      <c r="AQ219" s="113">
        <v>0</v>
      </c>
      <c r="AR219" s="113">
        <v>0</v>
      </c>
      <c r="AS219" s="113">
        <v>0</v>
      </c>
      <c r="AT219" s="113">
        <v>0</v>
      </c>
      <c r="AU219" s="113">
        <v>0</v>
      </c>
      <c r="AV219" s="113">
        <v>0</v>
      </c>
      <c r="AW219" s="113">
        <v>0</v>
      </c>
      <c r="AX219" s="113">
        <v>0</v>
      </c>
      <c r="AY219" s="113">
        <v>28760</v>
      </c>
      <c r="AZ219" s="113">
        <v>365</v>
      </c>
      <c r="BA219" s="113">
        <v>605</v>
      </c>
      <c r="BB219" s="113">
        <v>5379</v>
      </c>
      <c r="BC219" s="113">
        <v>68</v>
      </c>
      <c r="BD219" s="113">
        <v>115</v>
      </c>
      <c r="BF219" s="113">
        <f t="shared" si="12"/>
        <v>304202</v>
      </c>
      <c r="BG219" s="113">
        <f t="shared" si="13"/>
        <v>3851</v>
      </c>
      <c r="BH219" s="113">
        <f t="shared" si="14"/>
        <v>0</v>
      </c>
      <c r="BI219" s="113">
        <f t="shared" si="15"/>
        <v>10865</v>
      </c>
    </row>
    <row r="220" spans="1:61">
      <c r="A220" s="102" t="s">
        <v>317</v>
      </c>
      <c r="B220" s="24" t="s">
        <v>624</v>
      </c>
      <c r="C220" s="103" t="s">
        <v>318</v>
      </c>
      <c r="D220" s="113">
        <v>0</v>
      </c>
      <c r="E220" s="113">
        <v>127175</v>
      </c>
      <c r="F220" s="113">
        <v>1844</v>
      </c>
      <c r="G220" s="113">
        <v>0</v>
      </c>
      <c r="H220" s="113">
        <v>0</v>
      </c>
      <c r="I220" s="113">
        <v>0</v>
      </c>
      <c r="J220" s="113">
        <v>0</v>
      </c>
      <c r="K220" s="113">
        <v>15399</v>
      </c>
      <c r="L220" s="113">
        <v>230</v>
      </c>
      <c r="M220" s="113">
        <v>0</v>
      </c>
      <c r="N220" s="113">
        <v>0</v>
      </c>
      <c r="O220" s="113">
        <v>0</v>
      </c>
      <c r="P220" s="113">
        <v>0</v>
      </c>
      <c r="Q220" s="113">
        <v>0</v>
      </c>
      <c r="R220" s="113">
        <v>0</v>
      </c>
      <c r="S220" s="113">
        <v>0</v>
      </c>
      <c r="T220" s="113">
        <v>0</v>
      </c>
      <c r="U220" s="113">
        <v>0</v>
      </c>
      <c r="V220" s="113">
        <v>0</v>
      </c>
      <c r="W220" s="113">
        <v>0</v>
      </c>
      <c r="X220" s="113">
        <v>0</v>
      </c>
      <c r="Y220" s="113">
        <v>0</v>
      </c>
      <c r="Z220" s="113">
        <v>0</v>
      </c>
      <c r="AA220" s="113">
        <v>0</v>
      </c>
      <c r="AB220" s="113">
        <v>0</v>
      </c>
      <c r="AC220" s="113">
        <v>0</v>
      </c>
      <c r="AD220" s="113">
        <v>48186</v>
      </c>
      <c r="AE220" s="113">
        <v>699</v>
      </c>
      <c r="AF220" s="113">
        <v>0</v>
      </c>
      <c r="AG220" s="113">
        <v>0</v>
      </c>
      <c r="AH220" s="113">
        <v>0</v>
      </c>
      <c r="AI220" s="113">
        <v>0</v>
      </c>
      <c r="AJ220" s="113">
        <v>0</v>
      </c>
      <c r="AK220" s="113">
        <v>0</v>
      </c>
      <c r="AL220" s="113">
        <v>0</v>
      </c>
      <c r="AM220" s="113">
        <v>0</v>
      </c>
      <c r="AN220" s="113">
        <v>0</v>
      </c>
      <c r="AO220" s="113">
        <v>0</v>
      </c>
      <c r="AP220" s="113">
        <v>0</v>
      </c>
      <c r="AQ220" s="113">
        <v>0</v>
      </c>
      <c r="AR220" s="113">
        <v>0</v>
      </c>
      <c r="AS220" s="113">
        <v>0</v>
      </c>
      <c r="AT220" s="113">
        <v>0</v>
      </c>
      <c r="AU220" s="113">
        <v>0</v>
      </c>
      <c r="AV220" s="113">
        <v>0</v>
      </c>
      <c r="AW220" s="113">
        <v>0</v>
      </c>
      <c r="AX220" s="113">
        <v>0</v>
      </c>
      <c r="AY220" s="113">
        <v>0</v>
      </c>
      <c r="AZ220" s="113">
        <v>0</v>
      </c>
      <c r="BA220" s="113">
        <v>0</v>
      </c>
      <c r="BB220" s="113">
        <v>0</v>
      </c>
      <c r="BC220" s="113">
        <v>0</v>
      </c>
      <c r="BD220" s="113">
        <v>0</v>
      </c>
      <c r="BF220" s="113">
        <f t="shared" si="12"/>
        <v>190760</v>
      </c>
      <c r="BG220" s="113">
        <f t="shared" si="13"/>
        <v>2773</v>
      </c>
      <c r="BH220" s="113">
        <f t="shared" si="14"/>
        <v>0</v>
      </c>
      <c r="BI220" s="113">
        <f t="shared" si="15"/>
        <v>0</v>
      </c>
    </row>
    <row r="221" spans="1:61">
      <c r="A221" s="102" t="s">
        <v>319</v>
      </c>
      <c r="B221" s="24" t="s">
        <v>625</v>
      </c>
      <c r="C221" s="103" t="s">
        <v>253</v>
      </c>
      <c r="D221" s="113">
        <v>0</v>
      </c>
      <c r="E221" s="113">
        <v>226667</v>
      </c>
      <c r="F221" s="113">
        <v>4050</v>
      </c>
      <c r="G221" s="113">
        <v>0</v>
      </c>
      <c r="H221" s="113">
        <v>0</v>
      </c>
      <c r="I221" s="113">
        <v>0</v>
      </c>
      <c r="J221" s="113">
        <v>0</v>
      </c>
      <c r="K221" s="113">
        <v>52690</v>
      </c>
      <c r="L221" s="113">
        <v>943</v>
      </c>
      <c r="M221" s="113">
        <v>0</v>
      </c>
      <c r="N221" s="113">
        <v>0</v>
      </c>
      <c r="O221" s="113">
        <v>0</v>
      </c>
      <c r="P221" s="113">
        <v>0</v>
      </c>
      <c r="Q221" s="113">
        <v>0</v>
      </c>
      <c r="R221" s="113">
        <v>0</v>
      </c>
      <c r="S221" s="113">
        <v>0</v>
      </c>
      <c r="T221" s="113">
        <v>0</v>
      </c>
      <c r="U221" s="113">
        <v>0</v>
      </c>
      <c r="V221" s="113">
        <v>0</v>
      </c>
      <c r="W221" s="113">
        <v>0</v>
      </c>
      <c r="X221" s="113">
        <v>0</v>
      </c>
      <c r="Y221" s="113">
        <v>0</v>
      </c>
      <c r="Z221" s="113">
        <v>0</v>
      </c>
      <c r="AA221" s="113">
        <v>0</v>
      </c>
      <c r="AB221" s="113">
        <v>0</v>
      </c>
      <c r="AC221" s="113">
        <v>0</v>
      </c>
      <c r="AD221" s="113">
        <v>217386</v>
      </c>
      <c r="AE221" s="113">
        <v>3907</v>
      </c>
      <c r="AF221" s="113">
        <v>0</v>
      </c>
      <c r="AG221" s="113">
        <v>0</v>
      </c>
      <c r="AH221" s="113">
        <v>0</v>
      </c>
      <c r="AI221" s="113">
        <v>0</v>
      </c>
      <c r="AJ221" s="113">
        <v>0</v>
      </c>
      <c r="AK221" s="113">
        <v>0</v>
      </c>
      <c r="AL221" s="113">
        <v>0</v>
      </c>
      <c r="AM221" s="113">
        <v>4635</v>
      </c>
      <c r="AN221" s="113">
        <v>84</v>
      </c>
      <c r="AO221" s="113">
        <v>0</v>
      </c>
      <c r="AP221" s="113">
        <v>0</v>
      </c>
      <c r="AQ221" s="113">
        <v>0</v>
      </c>
      <c r="AR221" s="113">
        <v>0</v>
      </c>
      <c r="AS221" s="113">
        <v>0</v>
      </c>
      <c r="AT221" s="113">
        <v>0</v>
      </c>
      <c r="AU221" s="113">
        <v>0</v>
      </c>
      <c r="AV221" s="113">
        <v>0</v>
      </c>
      <c r="AW221" s="113">
        <v>0</v>
      </c>
      <c r="AX221" s="113">
        <v>0</v>
      </c>
      <c r="AY221" s="113">
        <v>0</v>
      </c>
      <c r="AZ221" s="113">
        <v>0</v>
      </c>
      <c r="BA221" s="113">
        <v>0</v>
      </c>
      <c r="BB221" s="113">
        <v>0</v>
      </c>
      <c r="BC221" s="113">
        <v>0</v>
      </c>
      <c r="BD221" s="113">
        <v>0</v>
      </c>
      <c r="BF221" s="113">
        <f t="shared" si="12"/>
        <v>501378</v>
      </c>
      <c r="BG221" s="113">
        <f t="shared" si="13"/>
        <v>8984</v>
      </c>
      <c r="BH221" s="113">
        <f t="shared" si="14"/>
        <v>0</v>
      </c>
      <c r="BI221" s="113">
        <f t="shared" si="15"/>
        <v>0</v>
      </c>
    </row>
    <row r="222" spans="1:61">
      <c r="A222" s="102" t="s">
        <v>320</v>
      </c>
      <c r="B222" s="24" t="s">
        <v>626</v>
      </c>
      <c r="C222" s="103" t="s">
        <v>321</v>
      </c>
      <c r="D222" s="113">
        <v>0</v>
      </c>
      <c r="E222" s="113">
        <v>80418</v>
      </c>
      <c r="F222" s="113">
        <v>2104</v>
      </c>
      <c r="G222" s="113">
        <v>0</v>
      </c>
      <c r="H222" s="113">
        <v>0</v>
      </c>
      <c r="I222" s="113">
        <v>0</v>
      </c>
      <c r="J222" s="113">
        <v>0</v>
      </c>
      <c r="K222" s="113">
        <v>24724</v>
      </c>
      <c r="L222" s="113">
        <v>645</v>
      </c>
      <c r="M222" s="113">
        <v>0</v>
      </c>
      <c r="N222" s="113">
        <v>0</v>
      </c>
      <c r="O222" s="113">
        <v>0</v>
      </c>
      <c r="P222" s="113">
        <v>0</v>
      </c>
      <c r="Q222" s="113">
        <v>0</v>
      </c>
      <c r="R222" s="113">
        <v>0</v>
      </c>
      <c r="S222" s="113">
        <v>0</v>
      </c>
      <c r="T222" s="113">
        <v>0</v>
      </c>
      <c r="U222" s="113">
        <v>0</v>
      </c>
      <c r="V222" s="113">
        <v>0</v>
      </c>
      <c r="W222" s="113">
        <v>0</v>
      </c>
      <c r="X222" s="113">
        <v>0</v>
      </c>
      <c r="Y222" s="113">
        <v>0</v>
      </c>
      <c r="Z222" s="113">
        <v>0</v>
      </c>
      <c r="AA222" s="113">
        <v>0</v>
      </c>
      <c r="AB222" s="113">
        <v>0</v>
      </c>
      <c r="AC222" s="113">
        <v>0</v>
      </c>
      <c r="AD222" s="113">
        <v>0</v>
      </c>
      <c r="AE222" s="113">
        <v>0</v>
      </c>
      <c r="AF222" s="113">
        <v>0</v>
      </c>
      <c r="AG222" s="113">
        <v>0</v>
      </c>
      <c r="AH222" s="113">
        <v>0</v>
      </c>
      <c r="AI222" s="113">
        <v>0</v>
      </c>
      <c r="AJ222" s="113">
        <v>0</v>
      </c>
      <c r="AK222" s="113">
        <v>0</v>
      </c>
      <c r="AL222" s="113">
        <v>0</v>
      </c>
      <c r="AM222" s="113">
        <v>0</v>
      </c>
      <c r="AN222" s="113">
        <v>0</v>
      </c>
      <c r="AO222" s="113">
        <v>0</v>
      </c>
      <c r="AP222" s="113">
        <v>0</v>
      </c>
      <c r="AQ222" s="113">
        <v>0</v>
      </c>
      <c r="AR222" s="113">
        <v>0</v>
      </c>
      <c r="AS222" s="113">
        <v>0</v>
      </c>
      <c r="AT222" s="113">
        <v>0</v>
      </c>
      <c r="AU222" s="113">
        <v>0</v>
      </c>
      <c r="AV222" s="113">
        <v>0</v>
      </c>
      <c r="AW222" s="113">
        <v>0</v>
      </c>
      <c r="AX222" s="113">
        <v>0</v>
      </c>
      <c r="AY222" s="113">
        <v>0</v>
      </c>
      <c r="AZ222" s="113">
        <v>0</v>
      </c>
      <c r="BA222" s="113">
        <v>0</v>
      </c>
      <c r="BB222" s="113">
        <v>0</v>
      </c>
      <c r="BC222" s="113">
        <v>0</v>
      </c>
      <c r="BD222" s="113">
        <v>0</v>
      </c>
      <c r="BF222" s="113">
        <f t="shared" si="12"/>
        <v>105142</v>
      </c>
      <c r="BG222" s="113">
        <f t="shared" si="13"/>
        <v>2749</v>
      </c>
      <c r="BH222" s="113">
        <f t="shared" si="14"/>
        <v>0</v>
      </c>
      <c r="BI222" s="113">
        <f t="shared" si="15"/>
        <v>0</v>
      </c>
    </row>
    <row r="223" spans="1:61">
      <c r="A223" s="102" t="s">
        <v>322</v>
      </c>
      <c r="B223" s="24" t="s">
        <v>301</v>
      </c>
      <c r="C223" s="103" t="s">
        <v>301</v>
      </c>
      <c r="D223" s="113">
        <v>0</v>
      </c>
      <c r="E223" s="113">
        <v>267894</v>
      </c>
      <c r="F223" s="113">
        <v>4946</v>
      </c>
      <c r="G223" s="113">
        <v>0</v>
      </c>
      <c r="H223" s="113">
        <v>0</v>
      </c>
      <c r="I223" s="113">
        <v>0</v>
      </c>
      <c r="J223" s="113">
        <v>0</v>
      </c>
      <c r="K223" s="113">
        <v>94638</v>
      </c>
      <c r="L223" s="113">
        <v>1748</v>
      </c>
      <c r="M223" s="113">
        <v>0</v>
      </c>
      <c r="N223" s="113">
        <v>0</v>
      </c>
      <c r="O223" s="113">
        <v>0</v>
      </c>
      <c r="P223" s="113">
        <v>0</v>
      </c>
      <c r="Q223" s="113">
        <v>0</v>
      </c>
      <c r="R223" s="113">
        <v>0</v>
      </c>
      <c r="S223" s="113">
        <v>0</v>
      </c>
      <c r="T223" s="113">
        <v>0</v>
      </c>
      <c r="U223" s="113">
        <v>0</v>
      </c>
      <c r="V223" s="113">
        <v>0</v>
      </c>
      <c r="W223" s="113">
        <v>0</v>
      </c>
      <c r="X223" s="113">
        <v>0</v>
      </c>
      <c r="Y223" s="113">
        <v>0</v>
      </c>
      <c r="Z223" s="113">
        <v>0</v>
      </c>
      <c r="AA223" s="113">
        <v>0</v>
      </c>
      <c r="AB223" s="113">
        <v>0</v>
      </c>
      <c r="AC223" s="113">
        <v>0</v>
      </c>
      <c r="AD223" s="113">
        <v>96935</v>
      </c>
      <c r="AE223" s="113">
        <v>1790</v>
      </c>
      <c r="AF223" s="113">
        <v>0</v>
      </c>
      <c r="AG223" s="113">
        <v>0</v>
      </c>
      <c r="AH223" s="113">
        <v>0</v>
      </c>
      <c r="AI223" s="113">
        <v>0</v>
      </c>
      <c r="AJ223" s="113">
        <v>0</v>
      </c>
      <c r="AK223" s="113">
        <v>0</v>
      </c>
      <c r="AL223" s="113">
        <v>0</v>
      </c>
      <c r="AM223" s="113">
        <v>7357</v>
      </c>
      <c r="AN223" s="113">
        <v>136</v>
      </c>
      <c r="AO223" s="113">
        <v>0</v>
      </c>
      <c r="AP223" s="113">
        <v>0</v>
      </c>
      <c r="AQ223" s="113">
        <v>0</v>
      </c>
      <c r="AR223" s="113">
        <v>0</v>
      </c>
      <c r="AS223" s="113">
        <v>0</v>
      </c>
      <c r="AT223" s="113">
        <v>0</v>
      </c>
      <c r="AU223" s="113">
        <v>0</v>
      </c>
      <c r="AV223" s="113">
        <v>0</v>
      </c>
      <c r="AW223" s="113">
        <v>0</v>
      </c>
      <c r="AX223" s="113">
        <v>0</v>
      </c>
      <c r="AY223" s="113">
        <v>63092</v>
      </c>
      <c r="AZ223" s="113">
        <v>1165</v>
      </c>
      <c r="BA223" s="113">
        <v>0</v>
      </c>
      <c r="BB223" s="113">
        <v>8272</v>
      </c>
      <c r="BC223" s="113">
        <v>152</v>
      </c>
      <c r="BD223" s="113">
        <v>0</v>
      </c>
      <c r="BF223" s="113">
        <f t="shared" si="12"/>
        <v>466824</v>
      </c>
      <c r="BG223" s="113">
        <f t="shared" si="13"/>
        <v>8620</v>
      </c>
      <c r="BH223" s="113">
        <f t="shared" si="14"/>
        <v>0</v>
      </c>
      <c r="BI223" s="113">
        <f t="shared" si="15"/>
        <v>0</v>
      </c>
    </row>
    <row r="224" spans="1:61">
      <c r="A224" s="102" t="s">
        <v>323</v>
      </c>
      <c r="B224" s="24" t="s">
        <v>627</v>
      </c>
      <c r="C224" s="103" t="s">
        <v>301</v>
      </c>
      <c r="D224" s="113">
        <v>0</v>
      </c>
      <c r="E224" s="113">
        <v>71577</v>
      </c>
      <c r="F224" s="113">
        <v>1452</v>
      </c>
      <c r="G224" s="113">
        <v>0</v>
      </c>
      <c r="H224" s="113">
        <v>0</v>
      </c>
      <c r="I224" s="113">
        <v>0</v>
      </c>
      <c r="J224" s="113">
        <v>0</v>
      </c>
      <c r="K224" s="113">
        <v>3412</v>
      </c>
      <c r="L224" s="113">
        <v>71</v>
      </c>
      <c r="M224" s="113">
        <v>0</v>
      </c>
      <c r="N224" s="113">
        <v>0</v>
      </c>
      <c r="O224" s="113">
        <v>0</v>
      </c>
      <c r="P224" s="113">
        <v>0</v>
      </c>
      <c r="Q224" s="113">
        <v>0</v>
      </c>
      <c r="R224" s="113">
        <v>0</v>
      </c>
      <c r="S224" s="113">
        <v>0</v>
      </c>
      <c r="T224" s="113">
        <v>0</v>
      </c>
      <c r="U224" s="113">
        <v>0</v>
      </c>
      <c r="V224" s="113">
        <v>0</v>
      </c>
      <c r="W224" s="113">
        <v>0</v>
      </c>
      <c r="X224" s="113">
        <v>0</v>
      </c>
      <c r="Y224" s="113">
        <v>0</v>
      </c>
      <c r="Z224" s="113">
        <v>0</v>
      </c>
      <c r="AA224" s="113">
        <v>0</v>
      </c>
      <c r="AB224" s="113">
        <v>0</v>
      </c>
      <c r="AC224" s="113">
        <v>0</v>
      </c>
      <c r="AD224" s="113">
        <v>32441</v>
      </c>
      <c r="AE224" s="113">
        <v>661</v>
      </c>
      <c r="AF224" s="113">
        <v>0</v>
      </c>
      <c r="AG224" s="113">
        <v>0</v>
      </c>
      <c r="AH224" s="113">
        <v>0</v>
      </c>
      <c r="AI224" s="113">
        <v>0</v>
      </c>
      <c r="AJ224" s="113">
        <v>0</v>
      </c>
      <c r="AK224" s="113">
        <v>0</v>
      </c>
      <c r="AL224" s="113">
        <v>0</v>
      </c>
      <c r="AM224" s="113">
        <v>0</v>
      </c>
      <c r="AN224" s="113">
        <v>0</v>
      </c>
      <c r="AO224" s="113">
        <v>0</v>
      </c>
      <c r="AP224" s="113">
        <v>0</v>
      </c>
      <c r="AQ224" s="113">
        <v>0</v>
      </c>
      <c r="AR224" s="113">
        <v>0</v>
      </c>
      <c r="AS224" s="113">
        <v>0</v>
      </c>
      <c r="AT224" s="113">
        <v>0</v>
      </c>
      <c r="AU224" s="113">
        <v>0</v>
      </c>
      <c r="AV224" s="113">
        <v>0</v>
      </c>
      <c r="AW224" s="113">
        <v>0</v>
      </c>
      <c r="AX224" s="113">
        <v>0</v>
      </c>
      <c r="AY224" s="113">
        <v>0</v>
      </c>
      <c r="AZ224" s="113">
        <v>0</v>
      </c>
      <c r="BA224" s="113">
        <v>0</v>
      </c>
      <c r="BB224" s="113">
        <v>0</v>
      </c>
      <c r="BC224" s="113">
        <v>0</v>
      </c>
      <c r="BD224" s="113">
        <v>0</v>
      </c>
      <c r="BF224" s="113">
        <f t="shared" si="12"/>
        <v>107430</v>
      </c>
      <c r="BG224" s="113">
        <f t="shared" si="13"/>
        <v>2184</v>
      </c>
      <c r="BH224" s="113">
        <f t="shared" si="14"/>
        <v>0</v>
      </c>
      <c r="BI224" s="113">
        <f t="shared" si="15"/>
        <v>0</v>
      </c>
    </row>
    <row r="225" spans="1:61">
      <c r="A225" s="102" t="s">
        <v>324</v>
      </c>
      <c r="B225" s="24" t="s">
        <v>628</v>
      </c>
      <c r="C225" s="103" t="s">
        <v>325</v>
      </c>
      <c r="D225" s="113">
        <v>0</v>
      </c>
      <c r="E225" s="113">
        <v>21223</v>
      </c>
      <c r="F225" s="113">
        <v>368</v>
      </c>
      <c r="G225" s="113">
        <v>0</v>
      </c>
      <c r="H225" s="113">
        <v>0</v>
      </c>
      <c r="I225" s="113">
        <v>0</v>
      </c>
      <c r="J225" s="113">
        <v>0</v>
      </c>
      <c r="K225" s="113">
        <v>15154</v>
      </c>
      <c r="L225" s="113">
        <v>256</v>
      </c>
      <c r="M225" s="113">
        <v>0</v>
      </c>
      <c r="N225" s="113">
        <v>0</v>
      </c>
      <c r="O225" s="113">
        <v>0</v>
      </c>
      <c r="P225" s="113">
        <v>0</v>
      </c>
      <c r="Q225" s="113">
        <v>0</v>
      </c>
      <c r="R225" s="113">
        <v>0</v>
      </c>
      <c r="S225" s="113">
        <v>0</v>
      </c>
      <c r="T225" s="113">
        <v>0</v>
      </c>
      <c r="U225" s="113">
        <v>0</v>
      </c>
      <c r="V225" s="113">
        <v>0</v>
      </c>
      <c r="W225" s="113">
        <v>0</v>
      </c>
      <c r="X225" s="113">
        <v>0</v>
      </c>
      <c r="Y225" s="113">
        <v>0</v>
      </c>
      <c r="Z225" s="113">
        <v>0</v>
      </c>
      <c r="AA225" s="113">
        <v>0</v>
      </c>
      <c r="AB225" s="113">
        <v>0</v>
      </c>
      <c r="AC225" s="113">
        <v>0</v>
      </c>
      <c r="AD225" s="113">
        <v>32990</v>
      </c>
      <c r="AE225" s="113">
        <v>554</v>
      </c>
      <c r="AF225" s="113">
        <v>0</v>
      </c>
      <c r="AG225" s="113">
        <v>0</v>
      </c>
      <c r="AH225" s="113">
        <v>0</v>
      </c>
      <c r="AI225" s="113">
        <v>0</v>
      </c>
      <c r="AJ225" s="113">
        <v>0</v>
      </c>
      <c r="AK225" s="113">
        <v>0</v>
      </c>
      <c r="AL225" s="113">
        <v>0</v>
      </c>
      <c r="AM225" s="113">
        <v>0</v>
      </c>
      <c r="AN225" s="113">
        <v>0</v>
      </c>
      <c r="AO225" s="113">
        <v>0</v>
      </c>
      <c r="AP225" s="113">
        <v>0</v>
      </c>
      <c r="AQ225" s="113">
        <v>0</v>
      </c>
      <c r="AR225" s="113">
        <v>0</v>
      </c>
      <c r="AS225" s="113">
        <v>0</v>
      </c>
      <c r="AT225" s="113">
        <v>0</v>
      </c>
      <c r="AU225" s="113">
        <v>0</v>
      </c>
      <c r="AV225" s="113">
        <v>0</v>
      </c>
      <c r="AW225" s="113">
        <v>0</v>
      </c>
      <c r="AX225" s="113">
        <v>0</v>
      </c>
      <c r="AY225" s="113">
        <v>0</v>
      </c>
      <c r="AZ225" s="113">
        <v>0</v>
      </c>
      <c r="BA225" s="113">
        <v>0</v>
      </c>
      <c r="BB225" s="113">
        <v>0</v>
      </c>
      <c r="BC225" s="113">
        <v>0</v>
      </c>
      <c r="BD225" s="113">
        <v>0</v>
      </c>
      <c r="BF225" s="113">
        <f t="shared" si="12"/>
        <v>69367</v>
      </c>
      <c r="BG225" s="113">
        <f t="shared" si="13"/>
        <v>1178</v>
      </c>
      <c r="BH225" s="113">
        <f t="shared" si="14"/>
        <v>0</v>
      </c>
      <c r="BI225" s="113">
        <f t="shared" si="15"/>
        <v>0</v>
      </c>
    </row>
    <row r="226" spans="1:61">
      <c r="A226" s="102" t="s">
        <v>326</v>
      </c>
      <c r="B226" s="24" t="s">
        <v>629</v>
      </c>
      <c r="C226" s="103" t="s">
        <v>325</v>
      </c>
      <c r="D226" s="113">
        <v>0</v>
      </c>
      <c r="E226" s="113">
        <v>25515</v>
      </c>
      <c r="F226" s="113">
        <v>1045</v>
      </c>
      <c r="G226" s="113">
        <v>0</v>
      </c>
      <c r="H226" s="113">
        <v>0</v>
      </c>
      <c r="I226" s="113">
        <v>0</v>
      </c>
      <c r="J226" s="113">
        <v>0</v>
      </c>
      <c r="K226" s="113">
        <v>6556</v>
      </c>
      <c r="L226" s="113">
        <v>267</v>
      </c>
      <c r="M226" s="113">
        <v>0</v>
      </c>
      <c r="N226" s="113">
        <v>0</v>
      </c>
      <c r="O226" s="113">
        <v>0</v>
      </c>
      <c r="P226" s="113">
        <v>0</v>
      </c>
      <c r="Q226" s="113">
        <v>0</v>
      </c>
      <c r="R226" s="113">
        <v>0</v>
      </c>
      <c r="S226" s="113">
        <v>0</v>
      </c>
      <c r="T226" s="113">
        <v>0</v>
      </c>
      <c r="U226" s="113">
        <v>0</v>
      </c>
      <c r="V226" s="113">
        <v>0</v>
      </c>
      <c r="W226" s="113">
        <v>0</v>
      </c>
      <c r="X226" s="113">
        <v>0</v>
      </c>
      <c r="Y226" s="113">
        <v>0</v>
      </c>
      <c r="Z226" s="113">
        <v>0</v>
      </c>
      <c r="AA226" s="113">
        <v>0</v>
      </c>
      <c r="AB226" s="113">
        <v>0</v>
      </c>
      <c r="AC226" s="113">
        <v>0</v>
      </c>
      <c r="AD226" s="113">
        <v>0</v>
      </c>
      <c r="AE226" s="113">
        <v>0</v>
      </c>
      <c r="AF226" s="113">
        <v>0</v>
      </c>
      <c r="AG226" s="113">
        <v>0</v>
      </c>
      <c r="AH226" s="113">
        <v>0</v>
      </c>
      <c r="AI226" s="113">
        <v>0</v>
      </c>
      <c r="AJ226" s="113">
        <v>0</v>
      </c>
      <c r="AK226" s="113">
        <v>0</v>
      </c>
      <c r="AL226" s="113">
        <v>0</v>
      </c>
      <c r="AM226" s="113">
        <v>0</v>
      </c>
      <c r="AN226" s="113">
        <v>0</v>
      </c>
      <c r="AO226" s="113">
        <v>0</v>
      </c>
      <c r="AP226" s="113">
        <v>0</v>
      </c>
      <c r="AQ226" s="113">
        <v>0</v>
      </c>
      <c r="AR226" s="113">
        <v>0</v>
      </c>
      <c r="AS226" s="113">
        <v>0</v>
      </c>
      <c r="AT226" s="113">
        <v>0</v>
      </c>
      <c r="AU226" s="113">
        <v>0</v>
      </c>
      <c r="AV226" s="113">
        <v>0</v>
      </c>
      <c r="AW226" s="113">
        <v>0</v>
      </c>
      <c r="AX226" s="113">
        <v>0</v>
      </c>
      <c r="AY226" s="113">
        <v>6556</v>
      </c>
      <c r="AZ226" s="113">
        <v>267</v>
      </c>
      <c r="BA226" s="113">
        <v>0</v>
      </c>
      <c r="BB226" s="113">
        <v>0</v>
      </c>
      <c r="BC226" s="113">
        <v>0</v>
      </c>
      <c r="BD226" s="113">
        <v>0</v>
      </c>
      <c r="BF226" s="113">
        <f t="shared" si="12"/>
        <v>32071</v>
      </c>
      <c r="BG226" s="113">
        <f t="shared" si="13"/>
        <v>1312</v>
      </c>
      <c r="BH226" s="113">
        <f t="shared" si="14"/>
        <v>0</v>
      </c>
      <c r="BI226" s="113">
        <f t="shared" si="15"/>
        <v>0</v>
      </c>
    </row>
    <row r="227" spans="1:61">
      <c r="A227" s="102" t="s">
        <v>327</v>
      </c>
      <c r="B227" s="24" t="s">
        <v>630</v>
      </c>
      <c r="C227" s="103" t="s">
        <v>328</v>
      </c>
      <c r="D227" s="113">
        <v>0</v>
      </c>
      <c r="E227" s="113">
        <v>30477</v>
      </c>
      <c r="F227" s="113">
        <v>560</v>
      </c>
      <c r="G227" s="113">
        <v>0</v>
      </c>
      <c r="H227" s="113">
        <v>0</v>
      </c>
      <c r="I227" s="113">
        <v>0</v>
      </c>
      <c r="J227" s="113">
        <v>0</v>
      </c>
      <c r="K227" s="113">
        <v>7397</v>
      </c>
      <c r="L227" s="113">
        <v>136</v>
      </c>
      <c r="M227" s="113">
        <v>0</v>
      </c>
      <c r="N227" s="113">
        <v>0</v>
      </c>
      <c r="O227" s="113">
        <v>0</v>
      </c>
      <c r="P227" s="113">
        <v>0</v>
      </c>
      <c r="Q227" s="113">
        <v>0</v>
      </c>
      <c r="R227" s="113">
        <v>0</v>
      </c>
      <c r="S227" s="113">
        <v>0</v>
      </c>
      <c r="T227" s="113">
        <v>0</v>
      </c>
      <c r="U227" s="113">
        <v>0</v>
      </c>
      <c r="V227" s="113">
        <v>0</v>
      </c>
      <c r="W227" s="113">
        <v>0</v>
      </c>
      <c r="X227" s="113">
        <v>0</v>
      </c>
      <c r="Y227" s="113">
        <v>0</v>
      </c>
      <c r="Z227" s="113">
        <v>0</v>
      </c>
      <c r="AA227" s="113">
        <v>0</v>
      </c>
      <c r="AB227" s="113">
        <v>0</v>
      </c>
      <c r="AC227" s="113">
        <v>0</v>
      </c>
      <c r="AD227" s="113">
        <v>0</v>
      </c>
      <c r="AE227" s="113">
        <v>0</v>
      </c>
      <c r="AF227" s="113">
        <v>0</v>
      </c>
      <c r="AG227" s="113">
        <v>0</v>
      </c>
      <c r="AH227" s="113">
        <v>0</v>
      </c>
      <c r="AI227" s="113">
        <v>0</v>
      </c>
      <c r="AJ227" s="113">
        <v>0</v>
      </c>
      <c r="AK227" s="113">
        <v>0</v>
      </c>
      <c r="AL227" s="113">
        <v>0</v>
      </c>
      <c r="AM227" s="113">
        <v>0</v>
      </c>
      <c r="AN227" s="113">
        <v>0</v>
      </c>
      <c r="AO227" s="113">
        <v>0</v>
      </c>
      <c r="AP227" s="113">
        <v>0</v>
      </c>
      <c r="AQ227" s="113">
        <v>0</v>
      </c>
      <c r="AR227" s="113">
        <v>0</v>
      </c>
      <c r="AS227" s="113">
        <v>0</v>
      </c>
      <c r="AT227" s="113">
        <v>0</v>
      </c>
      <c r="AU227" s="113">
        <v>0</v>
      </c>
      <c r="AV227" s="113">
        <v>0</v>
      </c>
      <c r="AW227" s="113">
        <v>0</v>
      </c>
      <c r="AX227" s="113">
        <v>0</v>
      </c>
      <c r="AY227" s="113">
        <v>3698</v>
      </c>
      <c r="AZ227" s="113">
        <v>68</v>
      </c>
      <c r="BA227" s="113">
        <v>0</v>
      </c>
      <c r="BB227" s="113">
        <v>0</v>
      </c>
      <c r="BC227" s="113">
        <v>0</v>
      </c>
      <c r="BD227" s="113">
        <v>0</v>
      </c>
      <c r="BF227" s="113">
        <f t="shared" si="12"/>
        <v>37874</v>
      </c>
      <c r="BG227" s="113">
        <f t="shared" si="13"/>
        <v>696</v>
      </c>
      <c r="BH227" s="113">
        <f t="shared" si="14"/>
        <v>0</v>
      </c>
      <c r="BI227" s="113">
        <f t="shared" si="15"/>
        <v>0</v>
      </c>
    </row>
    <row r="228" spans="1:61">
      <c r="A228" s="102" t="s">
        <v>329</v>
      </c>
      <c r="B228" s="24" t="s">
        <v>631</v>
      </c>
      <c r="C228" s="103" t="s">
        <v>301</v>
      </c>
      <c r="D228" s="113">
        <v>0</v>
      </c>
      <c r="E228" s="113">
        <v>103231</v>
      </c>
      <c r="F228" s="113">
        <v>0</v>
      </c>
      <c r="G228" s="113">
        <v>2080</v>
      </c>
      <c r="H228" s="113">
        <v>0</v>
      </c>
      <c r="I228" s="113">
        <v>0</v>
      </c>
      <c r="J228" s="113">
        <v>0</v>
      </c>
      <c r="K228" s="113">
        <v>19400</v>
      </c>
      <c r="L228" s="113">
        <v>272</v>
      </c>
      <c r="M228" s="113">
        <v>0</v>
      </c>
      <c r="N228" s="113">
        <v>439</v>
      </c>
      <c r="O228" s="113">
        <v>0</v>
      </c>
      <c r="P228" s="113">
        <v>0</v>
      </c>
      <c r="Q228" s="113">
        <v>0</v>
      </c>
      <c r="R228" s="113">
        <v>0</v>
      </c>
      <c r="S228" s="113">
        <v>0</v>
      </c>
      <c r="T228" s="113">
        <v>0</v>
      </c>
      <c r="U228" s="113">
        <v>0</v>
      </c>
      <c r="V228" s="113">
        <v>0</v>
      </c>
      <c r="W228" s="113">
        <v>0</v>
      </c>
      <c r="X228" s="113">
        <v>0</v>
      </c>
      <c r="Y228" s="113">
        <v>0</v>
      </c>
      <c r="Z228" s="113">
        <v>0</v>
      </c>
      <c r="AA228" s="113">
        <v>0</v>
      </c>
      <c r="AB228" s="113">
        <v>0</v>
      </c>
      <c r="AC228" s="113">
        <v>0</v>
      </c>
      <c r="AD228" s="113">
        <v>30427</v>
      </c>
      <c r="AE228" s="113">
        <v>448</v>
      </c>
      <c r="AF228" s="113">
        <v>866</v>
      </c>
      <c r="AG228" s="113">
        <v>0</v>
      </c>
      <c r="AH228" s="113">
        <v>0</v>
      </c>
      <c r="AI228" s="113">
        <v>0</v>
      </c>
      <c r="AJ228" s="113">
        <v>0</v>
      </c>
      <c r="AK228" s="113">
        <v>0</v>
      </c>
      <c r="AL228" s="113">
        <v>0</v>
      </c>
      <c r="AM228" s="113">
        <v>0</v>
      </c>
      <c r="AN228" s="113">
        <v>0</v>
      </c>
      <c r="AO228" s="113">
        <v>0</v>
      </c>
      <c r="AP228" s="113">
        <v>0</v>
      </c>
      <c r="AQ228" s="113">
        <v>0</v>
      </c>
      <c r="AR228" s="113">
        <v>0</v>
      </c>
      <c r="AS228" s="113">
        <v>0</v>
      </c>
      <c r="AT228" s="113">
        <v>0</v>
      </c>
      <c r="AU228" s="113">
        <v>0</v>
      </c>
      <c r="AV228" s="113">
        <v>0</v>
      </c>
      <c r="AW228" s="113">
        <v>0</v>
      </c>
      <c r="AX228" s="113">
        <v>0</v>
      </c>
      <c r="AY228" s="113">
        <v>9817</v>
      </c>
      <c r="AZ228" s="113">
        <v>13</v>
      </c>
      <c r="BA228" s="113">
        <v>219</v>
      </c>
      <c r="BB228" s="113">
        <v>0</v>
      </c>
      <c r="BC228" s="113">
        <v>0</v>
      </c>
      <c r="BD228" s="113">
        <v>0</v>
      </c>
      <c r="BF228" s="113">
        <f t="shared" si="12"/>
        <v>153058</v>
      </c>
      <c r="BG228" s="113">
        <f t="shared" si="13"/>
        <v>720</v>
      </c>
      <c r="BH228" s="113">
        <f t="shared" si="14"/>
        <v>0</v>
      </c>
      <c r="BI228" s="113">
        <f t="shared" si="15"/>
        <v>3385</v>
      </c>
    </row>
    <row r="229" spans="1:61">
      <c r="A229" s="102" t="s">
        <v>330</v>
      </c>
      <c r="B229" s="24" t="s">
        <v>632</v>
      </c>
      <c r="C229" s="103" t="s">
        <v>328</v>
      </c>
      <c r="D229" s="113">
        <v>0</v>
      </c>
      <c r="E229" s="113">
        <v>8132</v>
      </c>
      <c r="F229" s="113">
        <v>123</v>
      </c>
      <c r="G229" s="113">
        <v>0</v>
      </c>
      <c r="H229" s="113">
        <v>0</v>
      </c>
      <c r="I229" s="113">
        <v>0</v>
      </c>
      <c r="J229" s="113">
        <v>0</v>
      </c>
      <c r="K229" s="113">
        <v>2528</v>
      </c>
      <c r="L229" s="113">
        <v>39</v>
      </c>
      <c r="M229" s="113">
        <v>0</v>
      </c>
      <c r="N229" s="113">
        <v>0</v>
      </c>
      <c r="O229" s="113">
        <v>0</v>
      </c>
      <c r="P229" s="113">
        <v>0</v>
      </c>
      <c r="Q229" s="113">
        <v>0</v>
      </c>
      <c r="R229" s="113">
        <v>0</v>
      </c>
      <c r="S229" s="113">
        <v>0</v>
      </c>
      <c r="T229" s="113">
        <v>0</v>
      </c>
      <c r="U229" s="113">
        <v>0</v>
      </c>
      <c r="V229" s="113">
        <v>0</v>
      </c>
      <c r="W229" s="113">
        <v>0</v>
      </c>
      <c r="X229" s="113">
        <v>0</v>
      </c>
      <c r="Y229" s="113">
        <v>0</v>
      </c>
      <c r="Z229" s="113">
        <v>0</v>
      </c>
      <c r="AA229" s="113">
        <v>0</v>
      </c>
      <c r="AB229" s="113">
        <v>0</v>
      </c>
      <c r="AC229" s="113">
        <v>0</v>
      </c>
      <c r="AD229" s="113">
        <v>0</v>
      </c>
      <c r="AE229" s="113">
        <v>0</v>
      </c>
      <c r="AF229" s="113">
        <v>0</v>
      </c>
      <c r="AG229" s="113">
        <v>0</v>
      </c>
      <c r="AH229" s="113">
        <v>0</v>
      </c>
      <c r="AI229" s="113">
        <v>0</v>
      </c>
      <c r="AJ229" s="113">
        <v>0</v>
      </c>
      <c r="AK229" s="113">
        <v>0</v>
      </c>
      <c r="AL229" s="113">
        <v>0</v>
      </c>
      <c r="AM229" s="113">
        <v>0</v>
      </c>
      <c r="AN229" s="113">
        <v>0</v>
      </c>
      <c r="AO229" s="113">
        <v>0</v>
      </c>
      <c r="AP229" s="113">
        <v>0</v>
      </c>
      <c r="AQ229" s="113">
        <v>0</v>
      </c>
      <c r="AR229" s="113">
        <v>0</v>
      </c>
      <c r="AS229" s="113">
        <v>0</v>
      </c>
      <c r="AT229" s="113">
        <v>0</v>
      </c>
      <c r="AU229" s="113">
        <v>0</v>
      </c>
      <c r="AV229" s="113">
        <v>0</v>
      </c>
      <c r="AW229" s="113">
        <v>0</v>
      </c>
      <c r="AX229" s="113">
        <v>0</v>
      </c>
      <c r="AY229" s="113">
        <v>1264</v>
      </c>
      <c r="AZ229" s="113">
        <v>19</v>
      </c>
      <c r="BA229" s="113">
        <v>0</v>
      </c>
      <c r="BB229" s="113">
        <v>0</v>
      </c>
      <c r="BC229" s="113">
        <v>0</v>
      </c>
      <c r="BD229" s="113">
        <v>0</v>
      </c>
      <c r="BF229" s="113">
        <f t="shared" si="12"/>
        <v>10660</v>
      </c>
      <c r="BG229" s="113">
        <f t="shared" si="13"/>
        <v>162</v>
      </c>
      <c r="BH229" s="113">
        <f t="shared" si="14"/>
        <v>0</v>
      </c>
      <c r="BI229" s="113">
        <f t="shared" si="15"/>
        <v>0</v>
      </c>
    </row>
    <row r="230" spans="1:61">
      <c r="A230" s="102" t="s">
        <v>331</v>
      </c>
      <c r="B230" s="25" t="s">
        <v>633</v>
      </c>
      <c r="C230" s="103" t="s">
        <v>34</v>
      </c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  <c r="BD230" s="113"/>
      <c r="BF230" s="113">
        <f t="shared" si="12"/>
        <v>0</v>
      </c>
      <c r="BG230" s="113">
        <f t="shared" si="13"/>
        <v>0</v>
      </c>
      <c r="BH230" s="113">
        <f t="shared" si="14"/>
        <v>0</v>
      </c>
      <c r="BI230" s="113">
        <f t="shared" si="15"/>
        <v>0</v>
      </c>
    </row>
    <row r="231" spans="1:61">
      <c r="A231" s="102" t="s">
        <v>332</v>
      </c>
      <c r="B231" s="24" t="s">
        <v>634</v>
      </c>
      <c r="C231" s="103" t="s">
        <v>30</v>
      </c>
      <c r="D231" s="113">
        <v>0</v>
      </c>
      <c r="E231" s="113">
        <v>23591</v>
      </c>
      <c r="F231" s="113">
        <v>227</v>
      </c>
      <c r="G231" s="113">
        <v>0</v>
      </c>
      <c r="H231" s="113">
        <v>0</v>
      </c>
      <c r="I231" s="113">
        <v>0</v>
      </c>
      <c r="J231" s="113">
        <v>0</v>
      </c>
      <c r="K231" s="113">
        <v>0</v>
      </c>
      <c r="L231" s="113">
        <v>0</v>
      </c>
      <c r="M231" s="113">
        <v>0</v>
      </c>
      <c r="N231" s="113">
        <v>0</v>
      </c>
      <c r="O231" s="113">
        <v>0</v>
      </c>
      <c r="P231" s="113">
        <v>0</v>
      </c>
      <c r="Q231" s="113">
        <v>0</v>
      </c>
      <c r="R231" s="113">
        <v>0</v>
      </c>
      <c r="S231" s="113">
        <v>0</v>
      </c>
      <c r="T231" s="113">
        <v>0</v>
      </c>
      <c r="U231" s="113">
        <v>0</v>
      </c>
      <c r="V231" s="113">
        <v>0</v>
      </c>
      <c r="W231" s="113">
        <v>0</v>
      </c>
      <c r="X231" s="113">
        <v>0</v>
      </c>
      <c r="Y231" s="113">
        <v>0</v>
      </c>
      <c r="Z231" s="113">
        <v>0</v>
      </c>
      <c r="AA231" s="113">
        <v>0</v>
      </c>
      <c r="AB231" s="113">
        <v>0</v>
      </c>
      <c r="AC231" s="113">
        <v>0</v>
      </c>
      <c r="AD231" s="113">
        <v>0</v>
      </c>
      <c r="AE231" s="113">
        <v>0</v>
      </c>
      <c r="AF231" s="113">
        <v>0</v>
      </c>
      <c r="AG231" s="113">
        <v>0</v>
      </c>
      <c r="AH231" s="113">
        <v>0</v>
      </c>
      <c r="AI231" s="113">
        <v>0</v>
      </c>
      <c r="AJ231" s="113">
        <v>0</v>
      </c>
      <c r="AK231" s="113">
        <v>0</v>
      </c>
      <c r="AL231" s="113">
        <v>0</v>
      </c>
      <c r="AM231" s="113">
        <v>0</v>
      </c>
      <c r="AN231" s="113">
        <v>0</v>
      </c>
      <c r="AO231" s="113">
        <v>0</v>
      </c>
      <c r="AP231" s="113">
        <v>0</v>
      </c>
      <c r="AQ231" s="113">
        <v>0</v>
      </c>
      <c r="AR231" s="113">
        <v>0</v>
      </c>
      <c r="AS231" s="113">
        <v>0</v>
      </c>
      <c r="AT231" s="113">
        <v>0</v>
      </c>
      <c r="AU231" s="113">
        <v>0</v>
      </c>
      <c r="AV231" s="113">
        <v>0</v>
      </c>
      <c r="AW231" s="113">
        <v>0</v>
      </c>
      <c r="AX231" s="113">
        <v>0</v>
      </c>
      <c r="AY231" s="113">
        <v>0</v>
      </c>
      <c r="AZ231" s="113">
        <v>0</v>
      </c>
      <c r="BA231" s="113">
        <v>0</v>
      </c>
      <c r="BB231" s="113">
        <v>0</v>
      </c>
      <c r="BC231" s="113">
        <v>0</v>
      </c>
      <c r="BD231" s="113">
        <v>0</v>
      </c>
      <c r="BF231" s="113">
        <f t="shared" si="12"/>
        <v>23591</v>
      </c>
      <c r="BG231" s="113">
        <f t="shared" si="13"/>
        <v>227</v>
      </c>
      <c r="BH231" s="113">
        <f t="shared" si="14"/>
        <v>0</v>
      </c>
      <c r="BI231" s="113">
        <f t="shared" si="15"/>
        <v>0</v>
      </c>
    </row>
    <row r="232" spans="1:61">
      <c r="A232" s="102" t="s">
        <v>333</v>
      </c>
      <c r="B232" s="25" t="s">
        <v>635</v>
      </c>
      <c r="C232" s="103" t="s">
        <v>30</v>
      </c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F232" s="113">
        <f t="shared" si="12"/>
        <v>0</v>
      </c>
      <c r="BG232" s="113">
        <f t="shared" si="13"/>
        <v>0</v>
      </c>
      <c r="BH232" s="113">
        <f t="shared" si="14"/>
        <v>0</v>
      </c>
      <c r="BI232" s="113">
        <f t="shared" si="15"/>
        <v>0</v>
      </c>
    </row>
    <row r="233" spans="1:61">
      <c r="A233" s="102" t="s">
        <v>334</v>
      </c>
      <c r="B233" s="24" t="s">
        <v>636</v>
      </c>
      <c r="C233" s="103" t="s">
        <v>234</v>
      </c>
      <c r="D233" s="113">
        <v>0</v>
      </c>
      <c r="E233" s="113">
        <v>397834</v>
      </c>
      <c r="F233" s="113">
        <v>5940</v>
      </c>
      <c r="G233" s="113">
        <v>0</v>
      </c>
      <c r="H233" s="113">
        <v>0</v>
      </c>
      <c r="I233" s="113">
        <v>0</v>
      </c>
      <c r="J233" s="113">
        <v>0</v>
      </c>
      <c r="K233" s="113">
        <v>15689</v>
      </c>
      <c r="L233" s="113">
        <v>237</v>
      </c>
      <c r="M233" s="113">
        <v>0</v>
      </c>
      <c r="N233" s="113">
        <v>0</v>
      </c>
      <c r="O233" s="113">
        <v>0</v>
      </c>
      <c r="P233" s="113">
        <v>0</v>
      </c>
      <c r="Q233" s="113">
        <v>0</v>
      </c>
      <c r="R233" s="113">
        <v>0</v>
      </c>
      <c r="S233" s="113">
        <v>0</v>
      </c>
      <c r="T233" s="113">
        <v>0</v>
      </c>
      <c r="U233" s="113">
        <v>0</v>
      </c>
      <c r="V233" s="113">
        <v>0</v>
      </c>
      <c r="W233" s="113">
        <v>0</v>
      </c>
      <c r="X233" s="113">
        <v>0</v>
      </c>
      <c r="Y233" s="113">
        <v>0</v>
      </c>
      <c r="Z233" s="113">
        <v>0</v>
      </c>
      <c r="AA233" s="113">
        <v>0</v>
      </c>
      <c r="AB233" s="113">
        <v>0</v>
      </c>
      <c r="AC233" s="113">
        <v>0</v>
      </c>
      <c r="AD233" s="113">
        <v>176580</v>
      </c>
      <c r="AE233" s="113">
        <v>2638</v>
      </c>
      <c r="AF233" s="113">
        <v>0</v>
      </c>
      <c r="AG233" s="113">
        <v>0</v>
      </c>
      <c r="AH233" s="113">
        <v>0</v>
      </c>
      <c r="AI233" s="113">
        <v>0</v>
      </c>
      <c r="AJ233" s="113">
        <v>0</v>
      </c>
      <c r="AK233" s="113">
        <v>0</v>
      </c>
      <c r="AL233" s="113">
        <v>0</v>
      </c>
      <c r="AM233" s="113">
        <v>0</v>
      </c>
      <c r="AN233" s="113">
        <v>0</v>
      </c>
      <c r="AO233" s="113">
        <v>0</v>
      </c>
      <c r="AP233" s="113">
        <v>0</v>
      </c>
      <c r="AQ233" s="113">
        <v>0</v>
      </c>
      <c r="AR233" s="113">
        <v>0</v>
      </c>
      <c r="AS233" s="113">
        <v>0</v>
      </c>
      <c r="AT233" s="113">
        <v>0</v>
      </c>
      <c r="AU233" s="113">
        <v>0</v>
      </c>
      <c r="AV233" s="113">
        <v>0</v>
      </c>
      <c r="AW233" s="113">
        <v>0</v>
      </c>
      <c r="AX233" s="113">
        <v>0</v>
      </c>
      <c r="AY233" s="113">
        <v>110153</v>
      </c>
      <c r="AZ233" s="113">
        <v>1667</v>
      </c>
      <c r="BA233" s="113">
        <v>0</v>
      </c>
      <c r="BB233" s="113">
        <v>12566</v>
      </c>
      <c r="BC233" s="113">
        <v>186</v>
      </c>
      <c r="BD233" s="113">
        <v>0</v>
      </c>
      <c r="BF233" s="113">
        <f t="shared" si="12"/>
        <v>590103</v>
      </c>
      <c r="BG233" s="113">
        <f t="shared" si="13"/>
        <v>8815</v>
      </c>
      <c r="BH233" s="113">
        <f t="shared" si="14"/>
        <v>0</v>
      </c>
      <c r="BI233" s="113">
        <f t="shared" si="15"/>
        <v>0</v>
      </c>
    </row>
    <row r="234" spans="1:61">
      <c r="A234" s="102" t="s">
        <v>335</v>
      </c>
      <c r="B234" s="24" t="s">
        <v>637</v>
      </c>
      <c r="C234" s="103" t="s">
        <v>34</v>
      </c>
      <c r="D234" s="113">
        <v>0</v>
      </c>
      <c r="E234" s="113">
        <v>35551</v>
      </c>
      <c r="F234" s="113">
        <v>754</v>
      </c>
      <c r="G234" s="113">
        <v>0</v>
      </c>
      <c r="H234" s="113">
        <v>0</v>
      </c>
      <c r="I234" s="113">
        <v>0</v>
      </c>
      <c r="J234" s="113">
        <v>0</v>
      </c>
      <c r="K234" s="113">
        <v>0</v>
      </c>
      <c r="L234" s="113">
        <v>0</v>
      </c>
      <c r="M234" s="113">
        <v>0</v>
      </c>
      <c r="N234" s="113">
        <v>0</v>
      </c>
      <c r="O234" s="113">
        <v>0</v>
      </c>
      <c r="P234" s="113">
        <v>0</v>
      </c>
      <c r="Q234" s="113">
        <v>0</v>
      </c>
      <c r="R234" s="113">
        <v>0</v>
      </c>
      <c r="S234" s="113">
        <v>0</v>
      </c>
      <c r="T234" s="113">
        <v>0</v>
      </c>
      <c r="U234" s="113">
        <v>0</v>
      </c>
      <c r="V234" s="113">
        <v>0</v>
      </c>
      <c r="W234" s="113">
        <v>0</v>
      </c>
      <c r="X234" s="113">
        <v>0</v>
      </c>
      <c r="Y234" s="113">
        <v>0</v>
      </c>
      <c r="Z234" s="113">
        <v>0</v>
      </c>
      <c r="AA234" s="113">
        <v>0</v>
      </c>
      <c r="AB234" s="113">
        <v>0</v>
      </c>
      <c r="AC234" s="113">
        <v>0</v>
      </c>
      <c r="AD234" s="113">
        <v>0</v>
      </c>
      <c r="AE234" s="113">
        <v>0</v>
      </c>
      <c r="AF234" s="113">
        <v>0</v>
      </c>
      <c r="AG234" s="113">
        <v>0</v>
      </c>
      <c r="AH234" s="113">
        <v>0</v>
      </c>
      <c r="AI234" s="113">
        <v>0</v>
      </c>
      <c r="AJ234" s="113">
        <v>0</v>
      </c>
      <c r="AK234" s="113">
        <v>0</v>
      </c>
      <c r="AL234" s="113">
        <v>0</v>
      </c>
      <c r="AM234" s="113">
        <v>0</v>
      </c>
      <c r="AN234" s="113">
        <v>0</v>
      </c>
      <c r="AO234" s="113">
        <v>0</v>
      </c>
      <c r="AP234" s="113">
        <v>0</v>
      </c>
      <c r="AQ234" s="113">
        <v>0</v>
      </c>
      <c r="AR234" s="113">
        <v>0</v>
      </c>
      <c r="AS234" s="113">
        <v>0</v>
      </c>
      <c r="AT234" s="113">
        <v>0</v>
      </c>
      <c r="AU234" s="113">
        <v>0</v>
      </c>
      <c r="AV234" s="113">
        <v>0</v>
      </c>
      <c r="AW234" s="113">
        <v>0</v>
      </c>
      <c r="AX234" s="113">
        <v>0</v>
      </c>
      <c r="AY234" s="113">
        <v>3891</v>
      </c>
      <c r="AZ234" s="113">
        <v>100</v>
      </c>
      <c r="BA234" s="113">
        <v>0</v>
      </c>
      <c r="BB234" s="113">
        <v>0</v>
      </c>
      <c r="BC234" s="113">
        <v>0</v>
      </c>
      <c r="BD234" s="113">
        <v>0</v>
      </c>
      <c r="BF234" s="113">
        <f t="shared" si="12"/>
        <v>35551</v>
      </c>
      <c r="BG234" s="113">
        <f t="shared" si="13"/>
        <v>754</v>
      </c>
      <c r="BH234" s="113">
        <f t="shared" si="14"/>
        <v>0</v>
      </c>
      <c r="BI234" s="113">
        <f t="shared" si="15"/>
        <v>0</v>
      </c>
    </row>
    <row r="235" spans="1:61">
      <c r="A235" s="102" t="s">
        <v>336</v>
      </c>
      <c r="B235" s="24" t="s">
        <v>638</v>
      </c>
      <c r="C235" s="103" t="s">
        <v>318</v>
      </c>
      <c r="D235" s="113">
        <v>0</v>
      </c>
      <c r="E235" s="113">
        <v>60762</v>
      </c>
      <c r="F235" s="113">
        <v>775</v>
      </c>
      <c r="G235" s="113">
        <v>0</v>
      </c>
      <c r="H235" s="113">
        <v>0</v>
      </c>
      <c r="I235" s="113">
        <v>0</v>
      </c>
      <c r="J235" s="113">
        <v>0</v>
      </c>
      <c r="K235" s="113">
        <v>0</v>
      </c>
      <c r="L235" s="113">
        <v>0</v>
      </c>
      <c r="M235" s="113">
        <v>0</v>
      </c>
      <c r="N235" s="113">
        <v>0</v>
      </c>
      <c r="O235" s="113">
        <v>0</v>
      </c>
      <c r="P235" s="113">
        <v>0</v>
      </c>
      <c r="Q235" s="113">
        <v>0</v>
      </c>
      <c r="R235" s="113">
        <v>0</v>
      </c>
      <c r="S235" s="113">
        <v>0</v>
      </c>
      <c r="T235" s="113">
        <v>0</v>
      </c>
      <c r="U235" s="113">
        <v>0</v>
      </c>
      <c r="V235" s="113">
        <v>0</v>
      </c>
      <c r="W235" s="113">
        <v>0</v>
      </c>
      <c r="X235" s="113">
        <v>0</v>
      </c>
      <c r="Y235" s="113">
        <v>0</v>
      </c>
      <c r="Z235" s="113">
        <v>0</v>
      </c>
      <c r="AA235" s="113">
        <v>0</v>
      </c>
      <c r="AB235" s="113">
        <v>0</v>
      </c>
      <c r="AC235" s="113">
        <v>0</v>
      </c>
      <c r="AD235" s="113">
        <v>32833</v>
      </c>
      <c r="AE235" s="113">
        <v>425</v>
      </c>
      <c r="AF235" s="113">
        <v>0</v>
      </c>
      <c r="AG235" s="113">
        <v>0</v>
      </c>
      <c r="AH235" s="113">
        <v>0</v>
      </c>
      <c r="AI235" s="113">
        <v>0</v>
      </c>
      <c r="AJ235" s="113">
        <v>0</v>
      </c>
      <c r="AK235" s="113">
        <v>0</v>
      </c>
      <c r="AL235" s="113">
        <v>0</v>
      </c>
      <c r="AM235" s="113">
        <v>0</v>
      </c>
      <c r="AN235" s="113">
        <v>0</v>
      </c>
      <c r="AO235" s="113">
        <v>0</v>
      </c>
      <c r="AP235" s="113">
        <v>0</v>
      </c>
      <c r="AQ235" s="113">
        <v>0</v>
      </c>
      <c r="AR235" s="113">
        <v>0</v>
      </c>
      <c r="AS235" s="113">
        <v>0</v>
      </c>
      <c r="AT235" s="113">
        <v>0</v>
      </c>
      <c r="AU235" s="113">
        <v>0</v>
      </c>
      <c r="AV235" s="113">
        <v>0</v>
      </c>
      <c r="AW235" s="113">
        <v>0</v>
      </c>
      <c r="AX235" s="113">
        <v>0</v>
      </c>
      <c r="AY235" s="113">
        <v>0</v>
      </c>
      <c r="AZ235" s="113">
        <v>0</v>
      </c>
      <c r="BA235" s="113">
        <v>0</v>
      </c>
      <c r="BB235" s="113">
        <v>0</v>
      </c>
      <c r="BC235" s="113">
        <v>0</v>
      </c>
      <c r="BD235" s="113">
        <v>0</v>
      </c>
      <c r="BF235" s="113">
        <f t="shared" si="12"/>
        <v>93595</v>
      </c>
      <c r="BG235" s="113">
        <f t="shared" si="13"/>
        <v>1200</v>
      </c>
      <c r="BH235" s="113">
        <f t="shared" si="14"/>
        <v>0</v>
      </c>
      <c r="BI235" s="113">
        <f t="shared" si="15"/>
        <v>0</v>
      </c>
    </row>
    <row r="236" spans="1:61">
      <c r="A236" s="102" t="s">
        <v>337</v>
      </c>
      <c r="B236" s="24" t="s">
        <v>639</v>
      </c>
      <c r="C236" s="103" t="s">
        <v>234</v>
      </c>
      <c r="D236" s="113">
        <v>0</v>
      </c>
      <c r="E236" s="113">
        <v>81005</v>
      </c>
      <c r="F236" s="113">
        <v>0</v>
      </c>
      <c r="G236" s="113">
        <v>0</v>
      </c>
      <c r="H236" s="113">
        <v>0</v>
      </c>
      <c r="I236" s="113">
        <v>0</v>
      </c>
      <c r="J236" s="113">
        <v>0</v>
      </c>
      <c r="K236" s="113"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  <c r="Q236" s="113">
        <v>0</v>
      </c>
      <c r="R236" s="113">
        <v>0</v>
      </c>
      <c r="S236" s="113">
        <v>0</v>
      </c>
      <c r="T236" s="113">
        <v>0</v>
      </c>
      <c r="U236" s="113">
        <v>0</v>
      </c>
      <c r="V236" s="113">
        <v>0</v>
      </c>
      <c r="W236" s="113">
        <v>0</v>
      </c>
      <c r="X236" s="113">
        <v>0</v>
      </c>
      <c r="Y236" s="113">
        <v>0</v>
      </c>
      <c r="Z236" s="113">
        <v>0</v>
      </c>
      <c r="AA236" s="113">
        <v>0</v>
      </c>
      <c r="AB236" s="113">
        <v>0</v>
      </c>
      <c r="AC236" s="113">
        <v>0</v>
      </c>
      <c r="AD236" s="113">
        <v>64483</v>
      </c>
      <c r="AE236" s="113">
        <v>0</v>
      </c>
      <c r="AF236" s="113">
        <v>0</v>
      </c>
      <c r="AG236" s="113">
        <v>0</v>
      </c>
      <c r="AH236" s="113">
        <v>0</v>
      </c>
      <c r="AI236" s="113">
        <v>0</v>
      </c>
      <c r="AJ236" s="113">
        <v>0</v>
      </c>
      <c r="AK236" s="113">
        <v>0</v>
      </c>
      <c r="AL236" s="113">
        <v>0</v>
      </c>
      <c r="AM236" s="113">
        <v>0</v>
      </c>
      <c r="AN236" s="113">
        <v>0</v>
      </c>
      <c r="AO236" s="113">
        <v>0</v>
      </c>
      <c r="AP236" s="113">
        <v>0</v>
      </c>
      <c r="AQ236" s="113">
        <v>0</v>
      </c>
      <c r="AR236" s="113">
        <v>0</v>
      </c>
      <c r="AS236" s="113">
        <v>0</v>
      </c>
      <c r="AT236" s="113">
        <v>0</v>
      </c>
      <c r="AU236" s="113">
        <v>0</v>
      </c>
      <c r="AV236" s="113">
        <v>0</v>
      </c>
      <c r="AW236" s="113">
        <v>0</v>
      </c>
      <c r="AX236" s="113">
        <v>0</v>
      </c>
      <c r="AY236" s="113">
        <v>0</v>
      </c>
      <c r="AZ236" s="113">
        <v>0</v>
      </c>
      <c r="BA236" s="113">
        <v>0</v>
      </c>
      <c r="BB236" s="113">
        <v>0</v>
      </c>
      <c r="BC236" s="113">
        <v>0</v>
      </c>
      <c r="BD236" s="113">
        <v>0</v>
      </c>
      <c r="BF236" s="113">
        <f t="shared" si="12"/>
        <v>145488</v>
      </c>
      <c r="BG236" s="113">
        <f t="shared" si="13"/>
        <v>0</v>
      </c>
      <c r="BH236" s="113">
        <f t="shared" si="14"/>
        <v>0</v>
      </c>
      <c r="BI236" s="113">
        <f t="shared" si="15"/>
        <v>0</v>
      </c>
    </row>
    <row r="237" spans="1:61">
      <c r="A237" s="102" t="s">
        <v>338</v>
      </c>
      <c r="B237" s="24" t="s">
        <v>640</v>
      </c>
      <c r="C237" s="103" t="s">
        <v>284</v>
      </c>
      <c r="D237" s="113">
        <v>0</v>
      </c>
      <c r="E237" s="113">
        <v>51093</v>
      </c>
      <c r="F237" s="113">
        <v>1033</v>
      </c>
      <c r="G237" s="113">
        <v>0</v>
      </c>
      <c r="H237" s="113">
        <v>0</v>
      </c>
      <c r="I237" s="113">
        <v>0</v>
      </c>
      <c r="J237" s="113">
        <v>0</v>
      </c>
      <c r="K237" s="113">
        <v>12866</v>
      </c>
      <c r="L237" s="113">
        <v>255</v>
      </c>
      <c r="M237" s="113">
        <v>0</v>
      </c>
      <c r="N237" s="113">
        <v>0</v>
      </c>
      <c r="O237" s="113">
        <v>0</v>
      </c>
      <c r="P237" s="113">
        <v>0</v>
      </c>
      <c r="Q237" s="113">
        <v>0</v>
      </c>
      <c r="R237" s="113">
        <v>0</v>
      </c>
      <c r="S237" s="113">
        <v>0</v>
      </c>
      <c r="T237" s="113">
        <v>0</v>
      </c>
      <c r="U237" s="113">
        <v>0</v>
      </c>
      <c r="V237" s="113">
        <v>0</v>
      </c>
      <c r="W237" s="113">
        <v>0</v>
      </c>
      <c r="X237" s="113">
        <v>0</v>
      </c>
      <c r="Y237" s="113">
        <v>0</v>
      </c>
      <c r="Z237" s="113">
        <v>0</v>
      </c>
      <c r="AA237" s="113">
        <v>0</v>
      </c>
      <c r="AB237" s="113">
        <v>0</v>
      </c>
      <c r="AC237" s="113">
        <v>0</v>
      </c>
      <c r="AD237" s="113">
        <v>0</v>
      </c>
      <c r="AE237" s="113">
        <v>0</v>
      </c>
      <c r="AF237" s="113">
        <v>0</v>
      </c>
      <c r="AG237" s="113">
        <v>0</v>
      </c>
      <c r="AH237" s="113">
        <v>0</v>
      </c>
      <c r="AI237" s="113">
        <v>0</v>
      </c>
      <c r="AJ237" s="113">
        <v>0</v>
      </c>
      <c r="AK237" s="113">
        <v>0</v>
      </c>
      <c r="AL237" s="113">
        <v>0</v>
      </c>
      <c r="AM237" s="113">
        <v>0</v>
      </c>
      <c r="AN237" s="113">
        <v>0</v>
      </c>
      <c r="AO237" s="113">
        <v>0</v>
      </c>
      <c r="AP237" s="113">
        <v>0</v>
      </c>
      <c r="AQ237" s="113">
        <v>0</v>
      </c>
      <c r="AR237" s="113">
        <v>0</v>
      </c>
      <c r="AS237" s="113">
        <v>0</v>
      </c>
      <c r="AT237" s="113">
        <v>0</v>
      </c>
      <c r="AU237" s="113">
        <v>0</v>
      </c>
      <c r="AV237" s="113">
        <v>0</v>
      </c>
      <c r="AW237" s="113">
        <v>0</v>
      </c>
      <c r="AX237" s="113">
        <v>0</v>
      </c>
      <c r="AY237" s="113">
        <v>2515</v>
      </c>
      <c r="AZ237" s="113">
        <v>51</v>
      </c>
      <c r="BA237" s="113">
        <v>0</v>
      </c>
      <c r="BB237" s="113">
        <v>0</v>
      </c>
      <c r="BC237" s="113">
        <v>0</v>
      </c>
      <c r="BD237" s="113">
        <v>0</v>
      </c>
      <c r="BF237" s="113">
        <f t="shared" si="12"/>
        <v>63959</v>
      </c>
      <c r="BG237" s="113">
        <f t="shared" si="13"/>
        <v>1288</v>
      </c>
      <c r="BH237" s="113">
        <f t="shared" si="14"/>
        <v>0</v>
      </c>
      <c r="BI237" s="113">
        <f t="shared" si="15"/>
        <v>0</v>
      </c>
    </row>
    <row r="238" spans="1:61">
      <c r="A238" s="102" t="s">
        <v>339</v>
      </c>
      <c r="B238" s="25" t="s">
        <v>641</v>
      </c>
      <c r="C238" s="103" t="s">
        <v>34</v>
      </c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F238" s="113">
        <f t="shared" si="12"/>
        <v>0</v>
      </c>
      <c r="BG238" s="113">
        <f t="shared" si="13"/>
        <v>0</v>
      </c>
      <c r="BH238" s="113">
        <f t="shared" si="14"/>
        <v>0</v>
      </c>
      <c r="BI238" s="113">
        <f t="shared" si="15"/>
        <v>0</v>
      </c>
    </row>
    <row r="239" spans="1:61">
      <c r="A239" s="102" t="s">
        <v>340</v>
      </c>
      <c r="B239" s="24" t="s">
        <v>642</v>
      </c>
      <c r="C239" s="103" t="s">
        <v>325</v>
      </c>
      <c r="D239" s="113">
        <v>798</v>
      </c>
      <c r="E239" s="113">
        <v>121965</v>
      </c>
      <c r="F239" s="113">
        <v>3745</v>
      </c>
      <c r="G239" s="113">
        <v>0</v>
      </c>
      <c r="H239" s="113">
        <v>0</v>
      </c>
      <c r="I239" s="113">
        <v>0</v>
      </c>
      <c r="J239" s="113">
        <v>0</v>
      </c>
      <c r="K239" s="113">
        <v>21328</v>
      </c>
      <c r="L239" s="113">
        <v>670</v>
      </c>
      <c r="M239" s="113">
        <v>0</v>
      </c>
      <c r="N239" s="113">
        <v>0</v>
      </c>
      <c r="O239" s="113">
        <v>0</v>
      </c>
      <c r="P239" s="113">
        <v>0</v>
      </c>
      <c r="Q239" s="113">
        <v>0</v>
      </c>
      <c r="R239" s="113">
        <v>0</v>
      </c>
      <c r="S239" s="113">
        <v>0</v>
      </c>
      <c r="T239" s="113">
        <v>0</v>
      </c>
      <c r="U239" s="113">
        <v>0</v>
      </c>
      <c r="V239" s="113">
        <v>0</v>
      </c>
      <c r="W239" s="113">
        <v>0</v>
      </c>
      <c r="X239" s="113">
        <v>0</v>
      </c>
      <c r="Y239" s="113">
        <v>0</v>
      </c>
      <c r="Z239" s="113">
        <v>0</v>
      </c>
      <c r="AA239" s="113">
        <v>0</v>
      </c>
      <c r="AB239" s="113">
        <v>0</v>
      </c>
      <c r="AC239" s="113">
        <v>0</v>
      </c>
      <c r="AD239" s="113">
        <v>50860</v>
      </c>
      <c r="AE239" s="113">
        <v>1564</v>
      </c>
      <c r="AF239" s="113">
        <v>0</v>
      </c>
      <c r="AG239" s="113">
        <v>0</v>
      </c>
      <c r="AH239" s="113">
        <v>0</v>
      </c>
      <c r="AI239" s="113">
        <v>0</v>
      </c>
      <c r="AJ239" s="113">
        <v>0</v>
      </c>
      <c r="AK239" s="113">
        <v>0</v>
      </c>
      <c r="AL239" s="113">
        <v>0</v>
      </c>
      <c r="AM239" s="113">
        <v>0</v>
      </c>
      <c r="AN239" s="113">
        <v>0</v>
      </c>
      <c r="AO239" s="113">
        <v>0</v>
      </c>
      <c r="AP239" s="113">
        <v>0</v>
      </c>
      <c r="AQ239" s="113">
        <v>0</v>
      </c>
      <c r="AR239" s="113">
        <v>0</v>
      </c>
      <c r="AS239" s="113">
        <v>0</v>
      </c>
      <c r="AT239" s="113">
        <v>0</v>
      </c>
      <c r="AU239" s="113">
        <v>0</v>
      </c>
      <c r="AV239" s="113">
        <v>0</v>
      </c>
      <c r="AW239" s="113">
        <v>0</v>
      </c>
      <c r="AX239" s="113">
        <v>0</v>
      </c>
      <c r="AY239" s="113">
        <v>0</v>
      </c>
      <c r="AZ239" s="113">
        <v>0</v>
      </c>
      <c r="BA239" s="113">
        <v>0</v>
      </c>
      <c r="BB239" s="113">
        <v>0</v>
      </c>
      <c r="BC239" s="113">
        <v>0</v>
      </c>
      <c r="BD239" s="113">
        <v>0</v>
      </c>
      <c r="BF239" s="113">
        <f t="shared" si="12"/>
        <v>194153</v>
      </c>
      <c r="BG239" s="113">
        <f t="shared" si="13"/>
        <v>5979</v>
      </c>
      <c r="BH239" s="113">
        <f t="shared" si="14"/>
        <v>0</v>
      </c>
      <c r="BI239" s="113">
        <f t="shared" si="15"/>
        <v>798</v>
      </c>
    </row>
    <row r="240" spans="1:61">
      <c r="A240" s="102" t="s">
        <v>341</v>
      </c>
      <c r="B240" s="24" t="s">
        <v>643</v>
      </c>
      <c r="C240" s="103" t="s">
        <v>290</v>
      </c>
      <c r="D240" s="113">
        <v>0</v>
      </c>
      <c r="E240" s="113">
        <v>153239</v>
      </c>
      <c r="F240" s="113">
        <v>3616</v>
      </c>
      <c r="G240" s="113">
        <v>0</v>
      </c>
      <c r="H240" s="113">
        <v>0</v>
      </c>
      <c r="I240" s="113">
        <v>0</v>
      </c>
      <c r="J240" s="113">
        <v>0</v>
      </c>
      <c r="K240" s="113">
        <v>39559</v>
      </c>
      <c r="L240" s="113">
        <v>933</v>
      </c>
      <c r="M240" s="113">
        <v>0</v>
      </c>
      <c r="N240" s="113">
        <v>0</v>
      </c>
      <c r="O240" s="113">
        <v>0</v>
      </c>
      <c r="P240" s="113">
        <v>0</v>
      </c>
      <c r="Q240" s="113">
        <v>0</v>
      </c>
      <c r="R240" s="113">
        <v>0</v>
      </c>
      <c r="S240" s="113">
        <v>0</v>
      </c>
      <c r="T240" s="113">
        <v>0</v>
      </c>
      <c r="U240" s="113">
        <v>0</v>
      </c>
      <c r="V240" s="113">
        <v>0</v>
      </c>
      <c r="W240" s="113">
        <v>0</v>
      </c>
      <c r="X240" s="113">
        <v>0</v>
      </c>
      <c r="Y240" s="113">
        <v>0</v>
      </c>
      <c r="Z240" s="113">
        <v>0</v>
      </c>
      <c r="AA240" s="113">
        <v>0</v>
      </c>
      <c r="AB240" s="113">
        <v>0</v>
      </c>
      <c r="AC240" s="113">
        <v>0</v>
      </c>
      <c r="AD240" s="113">
        <v>37327</v>
      </c>
      <c r="AE240" s="113">
        <v>880</v>
      </c>
      <c r="AF240" s="113">
        <v>0</v>
      </c>
      <c r="AG240" s="113">
        <v>0</v>
      </c>
      <c r="AH240" s="113">
        <v>0</v>
      </c>
      <c r="AI240" s="113">
        <v>0</v>
      </c>
      <c r="AJ240" s="113">
        <v>0</v>
      </c>
      <c r="AK240" s="113">
        <v>0</v>
      </c>
      <c r="AL240" s="113">
        <v>0</v>
      </c>
      <c r="AM240" s="113">
        <v>0</v>
      </c>
      <c r="AN240" s="113">
        <v>0</v>
      </c>
      <c r="AO240" s="113">
        <v>0</v>
      </c>
      <c r="AP240" s="113">
        <v>0</v>
      </c>
      <c r="AQ240" s="113">
        <v>0</v>
      </c>
      <c r="AR240" s="113">
        <v>0</v>
      </c>
      <c r="AS240" s="113">
        <v>0</v>
      </c>
      <c r="AT240" s="113">
        <v>0</v>
      </c>
      <c r="AU240" s="113">
        <v>0</v>
      </c>
      <c r="AV240" s="113">
        <v>0</v>
      </c>
      <c r="AW240" s="113">
        <v>0</v>
      </c>
      <c r="AX240" s="113">
        <v>0</v>
      </c>
      <c r="AY240" s="113">
        <v>19567</v>
      </c>
      <c r="AZ240" s="113">
        <v>463</v>
      </c>
      <c r="BA240" s="113">
        <v>0</v>
      </c>
      <c r="BB240" s="113">
        <v>990</v>
      </c>
      <c r="BC240" s="113">
        <v>23</v>
      </c>
      <c r="BD240" s="113">
        <v>0</v>
      </c>
      <c r="BF240" s="113">
        <f t="shared" si="12"/>
        <v>230125</v>
      </c>
      <c r="BG240" s="113">
        <f t="shared" si="13"/>
        <v>5429</v>
      </c>
      <c r="BH240" s="113">
        <f t="shared" si="14"/>
        <v>0</v>
      </c>
      <c r="BI240" s="113">
        <f t="shared" si="15"/>
        <v>0</v>
      </c>
    </row>
    <row r="241" spans="1:61">
      <c r="A241" s="102" t="s">
        <v>342</v>
      </c>
      <c r="B241" s="24" t="s">
        <v>644</v>
      </c>
      <c r="C241" s="103" t="s">
        <v>343</v>
      </c>
      <c r="D241" s="113">
        <v>0</v>
      </c>
      <c r="E241" s="113">
        <v>50121</v>
      </c>
      <c r="F241" s="113">
        <v>906</v>
      </c>
      <c r="G241" s="113">
        <v>0</v>
      </c>
      <c r="H241" s="113">
        <v>0</v>
      </c>
      <c r="I241" s="113">
        <v>0</v>
      </c>
      <c r="J241" s="113">
        <v>0</v>
      </c>
      <c r="K241" s="113">
        <v>0</v>
      </c>
      <c r="L241" s="113">
        <v>0</v>
      </c>
      <c r="M241" s="113">
        <v>0</v>
      </c>
      <c r="N241" s="113">
        <v>0</v>
      </c>
      <c r="O241" s="113">
        <v>0</v>
      </c>
      <c r="P241" s="113">
        <v>0</v>
      </c>
      <c r="Q241" s="113">
        <v>0</v>
      </c>
      <c r="R241" s="113">
        <v>0</v>
      </c>
      <c r="S241" s="113">
        <v>0</v>
      </c>
      <c r="T241" s="113">
        <v>0</v>
      </c>
      <c r="U241" s="113">
        <v>0</v>
      </c>
      <c r="V241" s="113">
        <v>0</v>
      </c>
      <c r="W241" s="113">
        <v>0</v>
      </c>
      <c r="X241" s="113">
        <v>0</v>
      </c>
      <c r="Y241" s="113">
        <v>0</v>
      </c>
      <c r="Z241" s="113">
        <v>0</v>
      </c>
      <c r="AA241" s="113">
        <v>0</v>
      </c>
      <c r="AB241" s="113">
        <v>0</v>
      </c>
      <c r="AC241" s="113">
        <v>0</v>
      </c>
      <c r="AD241" s="113">
        <v>0</v>
      </c>
      <c r="AE241" s="113">
        <v>0</v>
      </c>
      <c r="AF241" s="113">
        <v>0</v>
      </c>
      <c r="AG241" s="113">
        <v>0</v>
      </c>
      <c r="AH241" s="113">
        <v>0</v>
      </c>
      <c r="AI241" s="113">
        <v>0</v>
      </c>
      <c r="AJ241" s="113">
        <v>0</v>
      </c>
      <c r="AK241" s="113">
        <v>0</v>
      </c>
      <c r="AL241" s="113">
        <v>0</v>
      </c>
      <c r="AM241" s="113">
        <v>0</v>
      </c>
      <c r="AN241" s="113">
        <v>0</v>
      </c>
      <c r="AO241" s="113">
        <v>0</v>
      </c>
      <c r="AP241" s="113">
        <v>0</v>
      </c>
      <c r="AQ241" s="113">
        <v>0</v>
      </c>
      <c r="AR241" s="113">
        <v>0</v>
      </c>
      <c r="AS241" s="113">
        <v>0</v>
      </c>
      <c r="AT241" s="113">
        <v>0</v>
      </c>
      <c r="AU241" s="113">
        <v>0</v>
      </c>
      <c r="AV241" s="113">
        <v>0</v>
      </c>
      <c r="AW241" s="113">
        <v>0</v>
      </c>
      <c r="AX241" s="113">
        <v>0</v>
      </c>
      <c r="AY241" s="113">
        <v>11546</v>
      </c>
      <c r="AZ241" s="113">
        <v>203</v>
      </c>
      <c r="BA241" s="113">
        <v>0</v>
      </c>
      <c r="BB241" s="113">
        <v>676</v>
      </c>
      <c r="BC241" s="113">
        <v>12</v>
      </c>
      <c r="BD241" s="113">
        <v>0</v>
      </c>
      <c r="BF241" s="113">
        <f t="shared" si="12"/>
        <v>50121</v>
      </c>
      <c r="BG241" s="113">
        <f t="shared" si="13"/>
        <v>906</v>
      </c>
      <c r="BH241" s="113">
        <f t="shared" si="14"/>
        <v>0</v>
      </c>
      <c r="BI241" s="113">
        <f t="shared" si="15"/>
        <v>0</v>
      </c>
    </row>
    <row r="242" spans="1:61">
      <c r="A242" s="102" t="s">
        <v>344</v>
      </c>
      <c r="B242" s="24" t="s">
        <v>645</v>
      </c>
      <c r="C242" s="103" t="s">
        <v>219</v>
      </c>
      <c r="D242" s="113">
        <v>70529</v>
      </c>
      <c r="E242" s="113">
        <v>825096</v>
      </c>
      <c r="F242" s="113">
        <v>6978</v>
      </c>
      <c r="G242" s="113">
        <v>64132</v>
      </c>
      <c r="H242" s="113">
        <v>0</v>
      </c>
      <c r="I242" s="113">
        <v>0</v>
      </c>
      <c r="J242" s="113">
        <v>0</v>
      </c>
      <c r="K242" s="113">
        <v>259090</v>
      </c>
      <c r="L242" s="113">
        <v>2192</v>
      </c>
      <c r="M242" s="113">
        <v>0</v>
      </c>
      <c r="N242" s="113">
        <v>15164</v>
      </c>
      <c r="O242" s="113">
        <v>0</v>
      </c>
      <c r="P242" s="113">
        <v>0</v>
      </c>
      <c r="Q242" s="113">
        <v>0</v>
      </c>
      <c r="R242" s="113">
        <v>0</v>
      </c>
      <c r="S242" s="113">
        <v>0</v>
      </c>
      <c r="T242" s="113">
        <v>0</v>
      </c>
      <c r="U242" s="113">
        <v>0</v>
      </c>
      <c r="V242" s="113">
        <v>0</v>
      </c>
      <c r="W242" s="113">
        <v>0</v>
      </c>
      <c r="X242" s="113">
        <v>0</v>
      </c>
      <c r="Y242" s="113">
        <v>0</v>
      </c>
      <c r="Z242" s="113">
        <v>0</v>
      </c>
      <c r="AA242" s="113">
        <v>0</v>
      </c>
      <c r="AB242" s="113">
        <v>0</v>
      </c>
      <c r="AC242" s="113">
        <v>0</v>
      </c>
      <c r="AD242" s="113">
        <v>360386</v>
      </c>
      <c r="AE242" s="113">
        <v>3051</v>
      </c>
      <c r="AF242" s="113">
        <v>29605</v>
      </c>
      <c r="AG242" s="113">
        <v>0</v>
      </c>
      <c r="AH242" s="113">
        <v>0</v>
      </c>
      <c r="AI242" s="113">
        <v>0</v>
      </c>
      <c r="AJ242" s="113">
        <v>0</v>
      </c>
      <c r="AK242" s="113">
        <v>0</v>
      </c>
      <c r="AL242" s="113">
        <v>0</v>
      </c>
      <c r="AM242" s="113">
        <v>0</v>
      </c>
      <c r="AN242" s="113">
        <v>0</v>
      </c>
      <c r="AO242" s="113">
        <v>0</v>
      </c>
      <c r="AP242" s="113">
        <v>0</v>
      </c>
      <c r="AQ242" s="113">
        <v>0</v>
      </c>
      <c r="AR242" s="113">
        <v>0</v>
      </c>
      <c r="AS242" s="113">
        <v>0</v>
      </c>
      <c r="AT242" s="113">
        <v>0</v>
      </c>
      <c r="AU242" s="113">
        <v>0</v>
      </c>
      <c r="AV242" s="113">
        <v>0</v>
      </c>
      <c r="AW242" s="113">
        <v>0</v>
      </c>
      <c r="AX242" s="113">
        <v>0</v>
      </c>
      <c r="AY242" s="113">
        <v>0</v>
      </c>
      <c r="AZ242" s="113">
        <v>0</v>
      </c>
      <c r="BA242" s="113">
        <v>0</v>
      </c>
      <c r="BB242" s="113">
        <v>0</v>
      </c>
      <c r="BC242" s="113">
        <v>0</v>
      </c>
      <c r="BD242" s="113">
        <v>0</v>
      </c>
      <c r="BF242" s="113">
        <f t="shared" si="12"/>
        <v>1444572</v>
      </c>
      <c r="BG242" s="113">
        <f t="shared" si="13"/>
        <v>12221</v>
      </c>
      <c r="BH242" s="113">
        <f t="shared" si="14"/>
        <v>0</v>
      </c>
      <c r="BI242" s="113">
        <f t="shared" si="15"/>
        <v>179430</v>
      </c>
    </row>
    <row r="243" spans="1:61">
      <c r="A243" s="102" t="s">
        <v>345</v>
      </c>
      <c r="B243" s="24" t="s">
        <v>646</v>
      </c>
      <c r="C243" s="103" t="s">
        <v>275</v>
      </c>
      <c r="D243" s="113">
        <v>0</v>
      </c>
      <c r="E243" s="113">
        <v>24773</v>
      </c>
      <c r="F243" s="113">
        <v>480</v>
      </c>
      <c r="G243" s="113">
        <v>0</v>
      </c>
      <c r="H243" s="113">
        <v>0</v>
      </c>
      <c r="I243" s="113">
        <v>0</v>
      </c>
      <c r="J243" s="113">
        <v>0</v>
      </c>
      <c r="K243" s="113">
        <v>0</v>
      </c>
      <c r="L243" s="113">
        <v>0</v>
      </c>
      <c r="M243" s="113">
        <v>0</v>
      </c>
      <c r="N243" s="113">
        <v>0</v>
      </c>
      <c r="O243" s="113">
        <v>0</v>
      </c>
      <c r="P243" s="113">
        <v>0</v>
      </c>
      <c r="Q243" s="113">
        <v>0</v>
      </c>
      <c r="R243" s="113">
        <v>0</v>
      </c>
      <c r="S243" s="113">
        <v>0</v>
      </c>
      <c r="T243" s="113">
        <v>0</v>
      </c>
      <c r="U243" s="113">
        <v>0</v>
      </c>
      <c r="V243" s="113">
        <v>0</v>
      </c>
      <c r="W243" s="113">
        <v>0</v>
      </c>
      <c r="X243" s="113">
        <v>0</v>
      </c>
      <c r="Y243" s="113">
        <v>0</v>
      </c>
      <c r="Z243" s="113">
        <v>0</v>
      </c>
      <c r="AA243" s="113">
        <v>0</v>
      </c>
      <c r="AB243" s="113">
        <v>0</v>
      </c>
      <c r="AC243" s="113">
        <v>0</v>
      </c>
      <c r="AD243" s="113">
        <v>0</v>
      </c>
      <c r="AE243" s="113">
        <v>0</v>
      </c>
      <c r="AF243" s="113">
        <v>0</v>
      </c>
      <c r="AG243" s="113">
        <v>0</v>
      </c>
      <c r="AH243" s="113">
        <v>0</v>
      </c>
      <c r="AI243" s="113">
        <v>0</v>
      </c>
      <c r="AJ243" s="113">
        <v>0</v>
      </c>
      <c r="AK243" s="113">
        <v>0</v>
      </c>
      <c r="AL243" s="113">
        <v>0</v>
      </c>
      <c r="AM243" s="113">
        <v>0</v>
      </c>
      <c r="AN243" s="113">
        <v>0</v>
      </c>
      <c r="AO243" s="113">
        <v>0</v>
      </c>
      <c r="AP243" s="113">
        <v>0</v>
      </c>
      <c r="AQ243" s="113">
        <v>0</v>
      </c>
      <c r="AR243" s="113">
        <v>0</v>
      </c>
      <c r="AS243" s="113">
        <v>0</v>
      </c>
      <c r="AT243" s="113">
        <v>0</v>
      </c>
      <c r="AU243" s="113">
        <v>0</v>
      </c>
      <c r="AV243" s="113">
        <v>0</v>
      </c>
      <c r="AW243" s="113">
        <v>0</v>
      </c>
      <c r="AX243" s="113">
        <v>0</v>
      </c>
      <c r="AY243" s="113">
        <v>0</v>
      </c>
      <c r="AZ243" s="113">
        <v>0</v>
      </c>
      <c r="BA243" s="113">
        <v>0</v>
      </c>
      <c r="BB243" s="113">
        <v>0</v>
      </c>
      <c r="BC243" s="113">
        <v>0</v>
      </c>
      <c r="BD243" s="113">
        <v>0</v>
      </c>
      <c r="BF243" s="113">
        <f t="shared" si="12"/>
        <v>24773</v>
      </c>
      <c r="BG243" s="113">
        <f t="shared" si="13"/>
        <v>480</v>
      </c>
      <c r="BH243" s="113">
        <f t="shared" si="14"/>
        <v>0</v>
      </c>
      <c r="BI243" s="113">
        <f t="shared" si="15"/>
        <v>0</v>
      </c>
    </row>
    <row r="244" spans="1:61">
      <c r="A244" s="102" t="s">
        <v>346</v>
      </c>
      <c r="B244" s="24" t="s">
        <v>116</v>
      </c>
      <c r="C244" s="103" t="s">
        <v>256</v>
      </c>
      <c r="D244" s="113">
        <v>0</v>
      </c>
      <c r="E244" s="113">
        <v>19358</v>
      </c>
      <c r="F244" s="113">
        <v>458</v>
      </c>
      <c r="G244" s="113">
        <v>0</v>
      </c>
      <c r="H244" s="113">
        <v>0</v>
      </c>
      <c r="I244" s="113">
        <v>0</v>
      </c>
      <c r="J244" s="113">
        <v>0</v>
      </c>
      <c r="K244" s="113">
        <v>10158</v>
      </c>
      <c r="L244" s="113">
        <v>241</v>
      </c>
      <c r="M244" s="113">
        <v>0</v>
      </c>
      <c r="N244" s="113">
        <v>0</v>
      </c>
      <c r="O244" s="113">
        <v>0</v>
      </c>
      <c r="P244" s="113">
        <v>0</v>
      </c>
      <c r="Q244" s="113">
        <v>0</v>
      </c>
      <c r="R244" s="113">
        <v>0</v>
      </c>
      <c r="S244" s="113">
        <v>0</v>
      </c>
      <c r="T244" s="113">
        <v>0</v>
      </c>
      <c r="U244" s="113">
        <v>0</v>
      </c>
      <c r="V244" s="113">
        <v>0</v>
      </c>
      <c r="W244" s="113">
        <v>0</v>
      </c>
      <c r="X244" s="113">
        <v>0</v>
      </c>
      <c r="Y244" s="113">
        <v>0</v>
      </c>
      <c r="Z244" s="113">
        <v>0</v>
      </c>
      <c r="AA244" s="113">
        <v>0</v>
      </c>
      <c r="AB244" s="113">
        <v>0</v>
      </c>
      <c r="AC244" s="113">
        <v>0</v>
      </c>
      <c r="AD244" s="113">
        <v>23718</v>
      </c>
      <c r="AE244" s="113">
        <v>562</v>
      </c>
      <c r="AF244" s="113">
        <v>0</v>
      </c>
      <c r="AG244" s="113">
        <v>0</v>
      </c>
      <c r="AH244" s="113">
        <v>0</v>
      </c>
      <c r="AI244" s="113">
        <v>0</v>
      </c>
      <c r="AJ244" s="113">
        <v>0</v>
      </c>
      <c r="AK244" s="113">
        <v>0</v>
      </c>
      <c r="AL244" s="113">
        <v>0</v>
      </c>
      <c r="AM244" s="113">
        <v>0</v>
      </c>
      <c r="AN244" s="113">
        <v>0</v>
      </c>
      <c r="AO244" s="113">
        <v>0</v>
      </c>
      <c r="AP244" s="113">
        <v>0</v>
      </c>
      <c r="AQ244" s="113">
        <v>0</v>
      </c>
      <c r="AR244" s="113">
        <v>0</v>
      </c>
      <c r="AS244" s="113">
        <v>0</v>
      </c>
      <c r="AT244" s="113">
        <v>0</v>
      </c>
      <c r="AU244" s="113">
        <v>0</v>
      </c>
      <c r="AV244" s="113">
        <v>0</v>
      </c>
      <c r="AW244" s="113">
        <v>0</v>
      </c>
      <c r="AX244" s="113">
        <v>0</v>
      </c>
      <c r="AY244" s="113">
        <v>4913</v>
      </c>
      <c r="AZ244" s="113">
        <v>116</v>
      </c>
      <c r="BA244" s="113">
        <v>0</v>
      </c>
      <c r="BB244" s="113">
        <v>0</v>
      </c>
      <c r="BC244" s="113">
        <v>0</v>
      </c>
      <c r="BD244" s="113">
        <v>0</v>
      </c>
      <c r="BF244" s="113">
        <f t="shared" si="12"/>
        <v>53234</v>
      </c>
      <c r="BG244" s="113">
        <f t="shared" si="13"/>
        <v>1261</v>
      </c>
      <c r="BH244" s="113">
        <f t="shared" si="14"/>
        <v>0</v>
      </c>
      <c r="BI244" s="113">
        <f t="shared" si="15"/>
        <v>0</v>
      </c>
    </row>
    <row r="245" spans="1:61">
      <c r="A245" s="102" t="s">
        <v>347</v>
      </c>
      <c r="B245" s="24" t="s">
        <v>647</v>
      </c>
      <c r="C245" s="103" t="s">
        <v>256</v>
      </c>
      <c r="D245" s="113">
        <v>0</v>
      </c>
      <c r="E245" s="113">
        <v>67929</v>
      </c>
      <c r="F245" s="113">
        <v>1663</v>
      </c>
      <c r="G245" s="113">
        <v>0</v>
      </c>
      <c r="H245" s="113">
        <v>0</v>
      </c>
      <c r="I245" s="113">
        <v>0</v>
      </c>
      <c r="J245" s="113">
        <v>0</v>
      </c>
      <c r="K245" s="113">
        <v>20675</v>
      </c>
      <c r="L245" s="113">
        <v>508</v>
      </c>
      <c r="M245" s="113">
        <v>0</v>
      </c>
      <c r="N245" s="113">
        <v>0</v>
      </c>
      <c r="O245" s="113">
        <v>0</v>
      </c>
      <c r="P245" s="113">
        <v>0</v>
      </c>
      <c r="Q245" s="113">
        <v>0</v>
      </c>
      <c r="R245" s="113">
        <v>0</v>
      </c>
      <c r="S245" s="113">
        <v>0</v>
      </c>
      <c r="T245" s="113">
        <v>0</v>
      </c>
      <c r="U245" s="113">
        <v>0</v>
      </c>
      <c r="V245" s="113">
        <v>0</v>
      </c>
      <c r="W245" s="113">
        <v>0</v>
      </c>
      <c r="X245" s="113">
        <v>0</v>
      </c>
      <c r="Y245" s="113">
        <v>0</v>
      </c>
      <c r="Z245" s="113">
        <v>0</v>
      </c>
      <c r="AA245" s="113">
        <v>0</v>
      </c>
      <c r="AB245" s="113">
        <v>0</v>
      </c>
      <c r="AC245" s="113">
        <v>0</v>
      </c>
      <c r="AD245" s="113">
        <v>67700</v>
      </c>
      <c r="AE245" s="113">
        <v>1667</v>
      </c>
      <c r="AF245" s="113">
        <v>0</v>
      </c>
      <c r="AG245" s="113">
        <v>0</v>
      </c>
      <c r="AH245" s="113">
        <v>0</v>
      </c>
      <c r="AI245" s="113">
        <v>0</v>
      </c>
      <c r="AJ245" s="113">
        <v>0</v>
      </c>
      <c r="AK245" s="113">
        <v>0</v>
      </c>
      <c r="AL245" s="113">
        <v>0</v>
      </c>
      <c r="AM245" s="113">
        <v>0</v>
      </c>
      <c r="AN245" s="113">
        <v>0</v>
      </c>
      <c r="AO245" s="113">
        <v>0</v>
      </c>
      <c r="AP245" s="113">
        <v>0</v>
      </c>
      <c r="AQ245" s="113">
        <v>0</v>
      </c>
      <c r="AR245" s="113">
        <v>0</v>
      </c>
      <c r="AS245" s="113">
        <v>0</v>
      </c>
      <c r="AT245" s="113">
        <v>0</v>
      </c>
      <c r="AU245" s="113">
        <v>0</v>
      </c>
      <c r="AV245" s="113">
        <v>0</v>
      </c>
      <c r="AW245" s="113">
        <v>0</v>
      </c>
      <c r="AX245" s="113">
        <v>0</v>
      </c>
      <c r="AY245" s="113">
        <v>0</v>
      </c>
      <c r="AZ245" s="113">
        <v>0</v>
      </c>
      <c r="BA245" s="113">
        <v>0</v>
      </c>
      <c r="BB245" s="113">
        <v>0</v>
      </c>
      <c r="BC245" s="113">
        <v>0</v>
      </c>
      <c r="BD245" s="113">
        <v>0</v>
      </c>
      <c r="BF245" s="113">
        <f t="shared" si="12"/>
        <v>156304</v>
      </c>
      <c r="BG245" s="113">
        <f t="shared" si="13"/>
        <v>3838</v>
      </c>
      <c r="BH245" s="113">
        <f t="shared" si="14"/>
        <v>0</v>
      </c>
      <c r="BI245" s="113">
        <f t="shared" si="15"/>
        <v>0</v>
      </c>
    </row>
    <row r="246" spans="1:61">
      <c r="A246" s="102" t="s">
        <v>348</v>
      </c>
      <c r="B246" s="24" t="s">
        <v>648</v>
      </c>
      <c r="C246" s="103" t="s">
        <v>349</v>
      </c>
      <c r="D246" s="113">
        <v>0</v>
      </c>
      <c r="E246" s="113">
        <v>103653</v>
      </c>
      <c r="F246" s="113">
        <v>1437</v>
      </c>
      <c r="G246" s="113">
        <v>0</v>
      </c>
      <c r="H246" s="113">
        <v>0</v>
      </c>
      <c r="I246" s="113">
        <v>0</v>
      </c>
      <c r="J246" s="113">
        <v>0</v>
      </c>
      <c r="K246" s="113">
        <v>31403</v>
      </c>
      <c r="L246" s="113">
        <v>437</v>
      </c>
      <c r="M246" s="113">
        <v>0</v>
      </c>
      <c r="N246" s="113">
        <v>0</v>
      </c>
      <c r="O246" s="113">
        <v>0</v>
      </c>
      <c r="P246" s="113">
        <v>0</v>
      </c>
      <c r="Q246" s="113">
        <v>0</v>
      </c>
      <c r="R246" s="113">
        <v>0</v>
      </c>
      <c r="S246" s="113">
        <v>0</v>
      </c>
      <c r="T246" s="113">
        <v>0</v>
      </c>
      <c r="U246" s="113">
        <v>0</v>
      </c>
      <c r="V246" s="113">
        <v>0</v>
      </c>
      <c r="W246" s="113">
        <v>0</v>
      </c>
      <c r="X246" s="113">
        <v>0</v>
      </c>
      <c r="Y246" s="113">
        <v>0</v>
      </c>
      <c r="Z246" s="113">
        <v>0</v>
      </c>
      <c r="AA246" s="113">
        <v>0</v>
      </c>
      <c r="AB246" s="113">
        <v>0</v>
      </c>
      <c r="AC246" s="113">
        <v>0</v>
      </c>
      <c r="AD246" s="113">
        <v>0</v>
      </c>
      <c r="AE246" s="113">
        <v>0</v>
      </c>
      <c r="AF246" s="113">
        <v>0</v>
      </c>
      <c r="AG246" s="113">
        <v>0</v>
      </c>
      <c r="AH246" s="113">
        <v>0</v>
      </c>
      <c r="AI246" s="113">
        <v>0</v>
      </c>
      <c r="AJ246" s="113">
        <v>0</v>
      </c>
      <c r="AK246" s="113">
        <v>0</v>
      </c>
      <c r="AL246" s="113">
        <v>0</v>
      </c>
      <c r="AM246" s="113">
        <v>0</v>
      </c>
      <c r="AN246" s="113">
        <v>0</v>
      </c>
      <c r="AO246" s="113">
        <v>0</v>
      </c>
      <c r="AP246" s="113">
        <v>0</v>
      </c>
      <c r="AQ246" s="113">
        <v>0</v>
      </c>
      <c r="AR246" s="113">
        <v>0</v>
      </c>
      <c r="AS246" s="113">
        <v>0</v>
      </c>
      <c r="AT246" s="113">
        <v>0</v>
      </c>
      <c r="AU246" s="113">
        <v>0</v>
      </c>
      <c r="AV246" s="113">
        <v>0</v>
      </c>
      <c r="AW246" s="113">
        <v>0</v>
      </c>
      <c r="AX246" s="113">
        <v>0</v>
      </c>
      <c r="AY246" s="113">
        <v>0</v>
      </c>
      <c r="AZ246" s="113">
        <v>0</v>
      </c>
      <c r="BA246" s="113">
        <v>0</v>
      </c>
      <c r="BB246" s="113">
        <v>0</v>
      </c>
      <c r="BC246" s="113">
        <v>0</v>
      </c>
      <c r="BD246" s="113">
        <v>0</v>
      </c>
      <c r="BF246" s="113">
        <f t="shared" si="12"/>
        <v>135056</v>
      </c>
      <c r="BG246" s="113">
        <f t="shared" si="13"/>
        <v>1874</v>
      </c>
      <c r="BH246" s="113">
        <f t="shared" si="14"/>
        <v>0</v>
      </c>
      <c r="BI246" s="113">
        <f t="shared" si="15"/>
        <v>0</v>
      </c>
    </row>
    <row r="247" spans="1:61">
      <c r="A247" s="102" t="s">
        <v>350</v>
      </c>
      <c r="B247" s="24" t="s">
        <v>649</v>
      </c>
      <c r="C247" s="103" t="s">
        <v>349</v>
      </c>
      <c r="D247" s="113">
        <v>0</v>
      </c>
      <c r="E247" s="113">
        <v>49223</v>
      </c>
      <c r="F247" s="113">
        <v>701</v>
      </c>
      <c r="G247" s="113">
        <v>0</v>
      </c>
      <c r="H247" s="113">
        <v>0</v>
      </c>
      <c r="I247" s="113">
        <v>0</v>
      </c>
      <c r="J247" s="113">
        <v>0</v>
      </c>
      <c r="K247" s="113">
        <v>0</v>
      </c>
      <c r="L247" s="113">
        <v>0</v>
      </c>
      <c r="M247" s="113">
        <v>0</v>
      </c>
      <c r="N247" s="113">
        <v>0</v>
      </c>
      <c r="O247" s="113">
        <v>0</v>
      </c>
      <c r="P247" s="113">
        <v>0</v>
      </c>
      <c r="Q247" s="113">
        <v>0</v>
      </c>
      <c r="R247" s="113">
        <v>0</v>
      </c>
      <c r="S247" s="113">
        <v>0</v>
      </c>
      <c r="T247" s="113">
        <v>0</v>
      </c>
      <c r="U247" s="113">
        <v>0</v>
      </c>
      <c r="V247" s="113">
        <v>0</v>
      </c>
      <c r="W247" s="113">
        <v>0</v>
      </c>
      <c r="X247" s="113">
        <v>0</v>
      </c>
      <c r="Y247" s="113">
        <v>0</v>
      </c>
      <c r="Z247" s="113">
        <v>0</v>
      </c>
      <c r="AA247" s="113">
        <v>0</v>
      </c>
      <c r="AB247" s="113">
        <v>0</v>
      </c>
      <c r="AC247" s="113">
        <v>0</v>
      </c>
      <c r="AD247" s="113">
        <v>0</v>
      </c>
      <c r="AE247" s="113">
        <v>0</v>
      </c>
      <c r="AF247" s="113">
        <v>0</v>
      </c>
      <c r="AG247" s="113">
        <v>0</v>
      </c>
      <c r="AH247" s="113">
        <v>0</v>
      </c>
      <c r="AI247" s="113">
        <v>0</v>
      </c>
      <c r="AJ247" s="113">
        <v>0</v>
      </c>
      <c r="AK247" s="113">
        <v>0</v>
      </c>
      <c r="AL247" s="113">
        <v>0</v>
      </c>
      <c r="AM247" s="113">
        <v>0</v>
      </c>
      <c r="AN247" s="113">
        <v>0</v>
      </c>
      <c r="AO247" s="113">
        <v>0</v>
      </c>
      <c r="AP247" s="113">
        <v>0</v>
      </c>
      <c r="AQ247" s="113">
        <v>0</v>
      </c>
      <c r="AR247" s="113">
        <v>0</v>
      </c>
      <c r="AS247" s="113">
        <v>0</v>
      </c>
      <c r="AT247" s="113">
        <v>0</v>
      </c>
      <c r="AU247" s="113">
        <v>0</v>
      </c>
      <c r="AV247" s="113">
        <v>0</v>
      </c>
      <c r="AW247" s="113">
        <v>0</v>
      </c>
      <c r="AX247" s="113">
        <v>0</v>
      </c>
      <c r="AY247" s="113">
        <v>0</v>
      </c>
      <c r="AZ247" s="113">
        <v>0</v>
      </c>
      <c r="BA247" s="113">
        <v>0</v>
      </c>
      <c r="BB247" s="113">
        <v>0</v>
      </c>
      <c r="BC247" s="113">
        <v>0</v>
      </c>
      <c r="BD247" s="113">
        <v>0</v>
      </c>
      <c r="BF247" s="113">
        <f t="shared" si="12"/>
        <v>49223</v>
      </c>
      <c r="BG247" s="113">
        <f t="shared" si="13"/>
        <v>701</v>
      </c>
      <c r="BH247" s="113">
        <f t="shared" si="14"/>
        <v>0</v>
      </c>
      <c r="BI247" s="113">
        <f t="shared" si="15"/>
        <v>0</v>
      </c>
    </row>
    <row r="248" spans="1:61">
      <c r="A248" s="102" t="s">
        <v>351</v>
      </c>
      <c r="B248" s="24" t="s">
        <v>650</v>
      </c>
      <c r="C248" s="103" t="s">
        <v>273</v>
      </c>
      <c r="D248" s="113">
        <v>142616</v>
      </c>
      <c r="E248" s="113">
        <v>437804</v>
      </c>
      <c r="F248" s="113">
        <v>4129</v>
      </c>
      <c r="G248" s="113">
        <v>140691</v>
      </c>
      <c r="H248" s="113">
        <v>0</v>
      </c>
      <c r="I248" s="113">
        <v>0</v>
      </c>
      <c r="J248" s="113">
        <v>0</v>
      </c>
      <c r="K248" s="113">
        <v>100635</v>
      </c>
      <c r="L248" s="113">
        <v>1408</v>
      </c>
      <c r="M248" s="113">
        <v>0</v>
      </c>
      <c r="N248" s="113">
        <v>28502</v>
      </c>
      <c r="O248" s="113">
        <v>0</v>
      </c>
      <c r="P248" s="113">
        <v>0</v>
      </c>
      <c r="Q248" s="113">
        <v>0</v>
      </c>
      <c r="R248" s="113">
        <v>0</v>
      </c>
      <c r="S248" s="113">
        <v>0</v>
      </c>
      <c r="T248" s="113">
        <v>0</v>
      </c>
      <c r="U248" s="113">
        <v>0</v>
      </c>
      <c r="V248" s="113">
        <v>0</v>
      </c>
      <c r="W248" s="113">
        <v>0</v>
      </c>
      <c r="X248" s="113">
        <v>0</v>
      </c>
      <c r="Y248" s="113">
        <v>0</v>
      </c>
      <c r="Z248" s="113">
        <v>0</v>
      </c>
      <c r="AA248" s="113">
        <v>0</v>
      </c>
      <c r="AB248" s="113">
        <v>0</v>
      </c>
      <c r="AC248" s="113">
        <v>0</v>
      </c>
      <c r="AD248" s="113">
        <v>356640</v>
      </c>
      <c r="AE248" s="113">
        <v>4978</v>
      </c>
      <c r="AF248" s="113">
        <v>89692</v>
      </c>
      <c r="AG248" s="113">
        <v>0</v>
      </c>
      <c r="AH248" s="113">
        <v>0</v>
      </c>
      <c r="AI248" s="113">
        <v>0</v>
      </c>
      <c r="AJ248" s="113">
        <v>0</v>
      </c>
      <c r="AK248" s="113">
        <v>0</v>
      </c>
      <c r="AL248" s="113">
        <v>0</v>
      </c>
      <c r="AM248" s="113">
        <v>15985</v>
      </c>
      <c r="AN248" s="113">
        <v>151</v>
      </c>
      <c r="AO248" s="113">
        <v>3373</v>
      </c>
      <c r="AP248" s="113">
        <v>0</v>
      </c>
      <c r="AQ248" s="113">
        <v>0</v>
      </c>
      <c r="AR248" s="113">
        <v>0</v>
      </c>
      <c r="AS248" s="113">
        <v>0</v>
      </c>
      <c r="AT248" s="113">
        <v>0</v>
      </c>
      <c r="AU248" s="113">
        <v>0</v>
      </c>
      <c r="AV248" s="113">
        <v>0</v>
      </c>
      <c r="AW248" s="113">
        <v>0</v>
      </c>
      <c r="AX248" s="113">
        <v>0</v>
      </c>
      <c r="AY248" s="113">
        <v>0</v>
      </c>
      <c r="AZ248" s="113">
        <v>0</v>
      </c>
      <c r="BA248" s="113">
        <v>0</v>
      </c>
      <c r="BB248" s="113">
        <v>0</v>
      </c>
      <c r="BC248" s="113">
        <v>0</v>
      </c>
      <c r="BD248" s="113">
        <v>0</v>
      </c>
      <c r="BF248" s="113">
        <f t="shared" si="12"/>
        <v>911064</v>
      </c>
      <c r="BG248" s="113">
        <f t="shared" si="13"/>
        <v>10666</v>
      </c>
      <c r="BH248" s="113">
        <f t="shared" si="14"/>
        <v>0</v>
      </c>
      <c r="BI248" s="113">
        <f t="shared" si="15"/>
        <v>404874</v>
      </c>
    </row>
    <row r="249" spans="1:61">
      <c r="A249" s="102" t="s">
        <v>352</v>
      </c>
      <c r="B249" s="24" t="s">
        <v>651</v>
      </c>
      <c r="C249" s="103" t="s">
        <v>264</v>
      </c>
      <c r="D249" s="113">
        <v>0</v>
      </c>
      <c r="E249" s="113">
        <v>33377</v>
      </c>
      <c r="F249" s="113">
        <v>588</v>
      </c>
      <c r="G249" s="113">
        <v>0</v>
      </c>
      <c r="H249" s="113">
        <v>0</v>
      </c>
      <c r="I249" s="113">
        <v>0</v>
      </c>
      <c r="J249" s="113">
        <v>0</v>
      </c>
      <c r="K249" s="113">
        <v>8765</v>
      </c>
      <c r="L249" s="113">
        <v>154</v>
      </c>
      <c r="M249" s="113">
        <v>0</v>
      </c>
      <c r="N249" s="113">
        <v>0</v>
      </c>
      <c r="O249" s="113">
        <v>0</v>
      </c>
      <c r="P249" s="113">
        <v>0</v>
      </c>
      <c r="Q249" s="113">
        <v>0</v>
      </c>
      <c r="R249" s="113">
        <v>0</v>
      </c>
      <c r="S249" s="113">
        <v>0</v>
      </c>
      <c r="T249" s="113">
        <v>0</v>
      </c>
      <c r="U249" s="113">
        <v>0</v>
      </c>
      <c r="V249" s="113">
        <v>0</v>
      </c>
      <c r="W249" s="113">
        <v>0</v>
      </c>
      <c r="X249" s="113">
        <v>0</v>
      </c>
      <c r="Y249" s="113">
        <v>0</v>
      </c>
      <c r="Z249" s="113">
        <v>0</v>
      </c>
      <c r="AA249" s="113">
        <v>0</v>
      </c>
      <c r="AB249" s="113">
        <v>0</v>
      </c>
      <c r="AC249" s="113">
        <v>0</v>
      </c>
      <c r="AD249" s="113">
        <v>12280</v>
      </c>
      <c r="AE249" s="113">
        <v>217</v>
      </c>
      <c r="AF249" s="113">
        <v>0</v>
      </c>
      <c r="AG249" s="113">
        <v>0</v>
      </c>
      <c r="AH249" s="113">
        <v>0</v>
      </c>
      <c r="AI249" s="113">
        <v>0</v>
      </c>
      <c r="AJ249" s="113">
        <v>0</v>
      </c>
      <c r="AK249" s="113">
        <v>0</v>
      </c>
      <c r="AL249" s="113">
        <v>0</v>
      </c>
      <c r="AM249" s="113">
        <v>0</v>
      </c>
      <c r="AN249" s="113">
        <v>0</v>
      </c>
      <c r="AO249" s="113">
        <v>0</v>
      </c>
      <c r="AP249" s="113">
        <v>0</v>
      </c>
      <c r="AQ249" s="113">
        <v>0</v>
      </c>
      <c r="AR249" s="113">
        <v>0</v>
      </c>
      <c r="AS249" s="113">
        <v>0</v>
      </c>
      <c r="AT249" s="113">
        <v>0</v>
      </c>
      <c r="AU249" s="113">
        <v>0</v>
      </c>
      <c r="AV249" s="113">
        <v>0</v>
      </c>
      <c r="AW249" s="113">
        <v>0</v>
      </c>
      <c r="AX249" s="113">
        <v>0</v>
      </c>
      <c r="AY249" s="113">
        <v>1847</v>
      </c>
      <c r="AZ249" s="113">
        <v>32</v>
      </c>
      <c r="BA249" s="113">
        <v>0</v>
      </c>
      <c r="BB249" s="113">
        <v>0</v>
      </c>
      <c r="BC249" s="113">
        <v>0</v>
      </c>
      <c r="BD249" s="113">
        <v>0</v>
      </c>
      <c r="BF249" s="113">
        <f t="shared" si="12"/>
        <v>54422</v>
      </c>
      <c r="BG249" s="113">
        <f t="shared" si="13"/>
        <v>959</v>
      </c>
      <c r="BH249" s="113">
        <f t="shared" si="14"/>
        <v>0</v>
      </c>
      <c r="BI249" s="113">
        <f t="shared" si="15"/>
        <v>0</v>
      </c>
    </row>
    <row r="250" spans="1:61">
      <c r="A250" s="102" t="s">
        <v>353</v>
      </c>
      <c r="B250" s="24" t="s">
        <v>652</v>
      </c>
      <c r="C250" s="103" t="s">
        <v>343</v>
      </c>
      <c r="D250" s="113">
        <v>23294</v>
      </c>
      <c r="E250" s="113">
        <v>234878</v>
      </c>
      <c r="F250" s="113">
        <v>3009</v>
      </c>
      <c r="G250" s="113">
        <v>24339</v>
      </c>
      <c r="H250" s="113">
        <v>0</v>
      </c>
      <c r="I250" s="113">
        <v>0</v>
      </c>
      <c r="J250" s="113">
        <v>0</v>
      </c>
      <c r="K250" s="113">
        <v>39751</v>
      </c>
      <c r="L250" s="113">
        <v>509</v>
      </c>
      <c r="M250" s="113">
        <v>0</v>
      </c>
      <c r="N250" s="113">
        <v>4080</v>
      </c>
      <c r="O250" s="113">
        <v>0</v>
      </c>
      <c r="P250" s="113">
        <v>0</v>
      </c>
      <c r="Q250" s="113">
        <v>0</v>
      </c>
      <c r="R250" s="113">
        <v>0</v>
      </c>
      <c r="S250" s="113">
        <v>0</v>
      </c>
      <c r="T250" s="113">
        <v>0</v>
      </c>
      <c r="U250" s="113">
        <v>0</v>
      </c>
      <c r="V250" s="113">
        <v>0</v>
      </c>
      <c r="W250" s="113">
        <v>0</v>
      </c>
      <c r="X250" s="113">
        <v>0</v>
      </c>
      <c r="Y250" s="113">
        <v>0</v>
      </c>
      <c r="Z250" s="113">
        <v>0</v>
      </c>
      <c r="AA250" s="113">
        <v>0</v>
      </c>
      <c r="AB250" s="113">
        <v>0</v>
      </c>
      <c r="AC250" s="113">
        <v>0</v>
      </c>
      <c r="AD250" s="113">
        <v>0</v>
      </c>
      <c r="AE250" s="113">
        <v>0</v>
      </c>
      <c r="AF250" s="113">
        <v>0</v>
      </c>
      <c r="AG250" s="113">
        <v>0</v>
      </c>
      <c r="AH250" s="113">
        <v>0</v>
      </c>
      <c r="AI250" s="113">
        <v>0</v>
      </c>
      <c r="AJ250" s="113">
        <v>0</v>
      </c>
      <c r="AK250" s="113">
        <v>0</v>
      </c>
      <c r="AL250" s="113">
        <v>0</v>
      </c>
      <c r="AM250" s="113">
        <v>0</v>
      </c>
      <c r="AN250" s="113">
        <v>0</v>
      </c>
      <c r="AO250" s="113">
        <v>0</v>
      </c>
      <c r="AP250" s="113">
        <v>0</v>
      </c>
      <c r="AQ250" s="113">
        <v>0</v>
      </c>
      <c r="AR250" s="113">
        <v>0</v>
      </c>
      <c r="AS250" s="113">
        <v>0</v>
      </c>
      <c r="AT250" s="113">
        <v>0</v>
      </c>
      <c r="AU250" s="113">
        <v>0</v>
      </c>
      <c r="AV250" s="113">
        <v>0</v>
      </c>
      <c r="AW250" s="113">
        <v>0</v>
      </c>
      <c r="AX250" s="113">
        <v>0</v>
      </c>
      <c r="AY250" s="113">
        <v>45165</v>
      </c>
      <c r="AZ250" s="113">
        <v>579</v>
      </c>
      <c r="BA250" s="113">
        <v>4659</v>
      </c>
      <c r="BB250" s="113">
        <v>11354</v>
      </c>
      <c r="BC250" s="113">
        <v>145</v>
      </c>
      <c r="BD250" s="113">
        <v>1166</v>
      </c>
      <c r="BF250" s="113">
        <f t="shared" si="12"/>
        <v>274629</v>
      </c>
      <c r="BG250" s="113">
        <f t="shared" si="13"/>
        <v>3518</v>
      </c>
      <c r="BH250" s="113">
        <f t="shared" si="14"/>
        <v>0</v>
      </c>
      <c r="BI250" s="113">
        <f t="shared" si="15"/>
        <v>51713</v>
      </c>
    </row>
    <row r="251" spans="1:61">
      <c r="A251" s="102" t="s">
        <v>354</v>
      </c>
      <c r="B251" s="24" t="s">
        <v>653</v>
      </c>
      <c r="C251" s="103" t="s">
        <v>343</v>
      </c>
      <c r="D251" s="113">
        <v>0</v>
      </c>
      <c r="E251" s="113">
        <v>197519</v>
      </c>
      <c r="F251" s="113">
        <v>9544</v>
      </c>
      <c r="G251" s="113">
        <v>0</v>
      </c>
      <c r="H251" s="113">
        <v>0</v>
      </c>
      <c r="I251" s="113">
        <v>0</v>
      </c>
      <c r="J251" s="113">
        <v>0</v>
      </c>
      <c r="K251" s="113">
        <v>37829</v>
      </c>
      <c r="L251" s="113">
        <v>1383</v>
      </c>
      <c r="M251" s="113">
        <v>444</v>
      </c>
      <c r="N251" s="113">
        <v>0</v>
      </c>
      <c r="O251" s="113">
        <v>0</v>
      </c>
      <c r="P251" s="113">
        <v>0</v>
      </c>
      <c r="Q251" s="113">
        <v>0</v>
      </c>
      <c r="R251" s="113">
        <v>0</v>
      </c>
      <c r="S251" s="113">
        <v>0</v>
      </c>
      <c r="T251" s="113">
        <v>0</v>
      </c>
      <c r="U251" s="113">
        <v>0</v>
      </c>
      <c r="V251" s="113">
        <v>0</v>
      </c>
      <c r="W251" s="113">
        <v>0</v>
      </c>
      <c r="X251" s="113">
        <v>0</v>
      </c>
      <c r="Y251" s="113">
        <v>0</v>
      </c>
      <c r="Z251" s="113">
        <v>0</v>
      </c>
      <c r="AA251" s="113">
        <v>0</v>
      </c>
      <c r="AB251" s="113">
        <v>0</v>
      </c>
      <c r="AC251" s="113">
        <v>0</v>
      </c>
      <c r="AD251" s="113">
        <v>0</v>
      </c>
      <c r="AE251" s="113">
        <v>0</v>
      </c>
      <c r="AF251" s="113">
        <v>0</v>
      </c>
      <c r="AG251" s="113">
        <v>0</v>
      </c>
      <c r="AH251" s="113">
        <v>0</v>
      </c>
      <c r="AI251" s="113">
        <v>0</v>
      </c>
      <c r="AJ251" s="113">
        <v>0</v>
      </c>
      <c r="AK251" s="113">
        <v>0</v>
      </c>
      <c r="AL251" s="113">
        <v>0</v>
      </c>
      <c r="AM251" s="113">
        <v>0</v>
      </c>
      <c r="AN251" s="113">
        <v>0</v>
      </c>
      <c r="AO251" s="113">
        <v>0</v>
      </c>
      <c r="AP251" s="113">
        <v>0</v>
      </c>
      <c r="AQ251" s="113">
        <v>0</v>
      </c>
      <c r="AR251" s="113">
        <v>0</v>
      </c>
      <c r="AS251" s="113">
        <v>16154</v>
      </c>
      <c r="AT251" s="113">
        <v>562</v>
      </c>
      <c r="AU251" s="113">
        <v>0</v>
      </c>
      <c r="AV251" s="113">
        <v>0</v>
      </c>
      <c r="AW251" s="113">
        <v>0</v>
      </c>
      <c r="AX251" s="113">
        <v>0</v>
      </c>
      <c r="AY251" s="113">
        <v>37825</v>
      </c>
      <c r="AZ251" s="113">
        <v>1383</v>
      </c>
      <c r="BA251" s="113">
        <v>0</v>
      </c>
      <c r="BB251" s="113">
        <v>13372</v>
      </c>
      <c r="BC251" s="113">
        <v>0</v>
      </c>
      <c r="BD251" s="113">
        <v>0</v>
      </c>
      <c r="BF251" s="113">
        <f t="shared" si="12"/>
        <v>235348</v>
      </c>
      <c r="BG251" s="113">
        <f t="shared" si="13"/>
        <v>10927</v>
      </c>
      <c r="BH251" s="113">
        <f t="shared" si="14"/>
        <v>444</v>
      </c>
      <c r="BI251" s="113">
        <f t="shared" si="15"/>
        <v>0</v>
      </c>
    </row>
    <row r="252" spans="1:61">
      <c r="A252" s="102" t="s">
        <v>355</v>
      </c>
      <c r="B252" s="24" t="s">
        <v>654</v>
      </c>
      <c r="C252" s="103" t="s">
        <v>343</v>
      </c>
      <c r="D252" s="113">
        <v>485</v>
      </c>
      <c r="E252" s="113">
        <v>43681</v>
      </c>
      <c r="F252" s="113">
        <v>421</v>
      </c>
      <c r="G252" s="113">
        <v>383</v>
      </c>
      <c r="H252" s="113">
        <v>0</v>
      </c>
      <c r="I252" s="113">
        <v>0</v>
      </c>
      <c r="J252" s="113">
        <v>0</v>
      </c>
      <c r="K252" s="113">
        <v>59</v>
      </c>
      <c r="L252" s="113">
        <v>0</v>
      </c>
      <c r="M252" s="113">
        <v>0</v>
      </c>
      <c r="N252" s="113">
        <v>0</v>
      </c>
      <c r="O252" s="113">
        <v>0</v>
      </c>
      <c r="P252" s="113">
        <v>0</v>
      </c>
      <c r="Q252" s="113">
        <v>0</v>
      </c>
      <c r="R252" s="113">
        <v>0</v>
      </c>
      <c r="S252" s="113">
        <v>0</v>
      </c>
      <c r="T252" s="113">
        <v>0</v>
      </c>
      <c r="U252" s="113">
        <v>0</v>
      </c>
      <c r="V252" s="113">
        <v>0</v>
      </c>
      <c r="W252" s="113">
        <v>0</v>
      </c>
      <c r="X252" s="113">
        <v>0</v>
      </c>
      <c r="Y252" s="113">
        <v>0</v>
      </c>
      <c r="Z252" s="113">
        <v>0</v>
      </c>
      <c r="AA252" s="113">
        <v>0</v>
      </c>
      <c r="AB252" s="113">
        <v>0</v>
      </c>
      <c r="AC252" s="113">
        <v>0</v>
      </c>
      <c r="AD252" s="113">
        <v>0</v>
      </c>
      <c r="AE252" s="113">
        <v>0</v>
      </c>
      <c r="AF252" s="113">
        <v>0</v>
      </c>
      <c r="AG252" s="113">
        <v>17779</v>
      </c>
      <c r="AH252" s="113">
        <v>148</v>
      </c>
      <c r="AI252" s="113">
        <v>138</v>
      </c>
      <c r="AJ252" s="113">
        <v>0</v>
      </c>
      <c r="AK252" s="113">
        <v>0</v>
      </c>
      <c r="AL252" s="113">
        <v>0</v>
      </c>
      <c r="AM252" s="113">
        <v>0</v>
      </c>
      <c r="AN252" s="113">
        <v>0</v>
      </c>
      <c r="AO252" s="113">
        <v>0</v>
      </c>
      <c r="AP252" s="113">
        <v>0</v>
      </c>
      <c r="AQ252" s="113">
        <v>0</v>
      </c>
      <c r="AR252" s="113">
        <v>0</v>
      </c>
      <c r="AS252" s="113">
        <v>0</v>
      </c>
      <c r="AT252" s="113">
        <v>0</v>
      </c>
      <c r="AU252" s="113">
        <v>0</v>
      </c>
      <c r="AV252" s="113">
        <v>0</v>
      </c>
      <c r="AW252" s="113">
        <v>0</v>
      </c>
      <c r="AX252" s="113">
        <v>0</v>
      </c>
      <c r="AY252" s="113">
        <v>5388</v>
      </c>
      <c r="AZ252" s="113">
        <v>52</v>
      </c>
      <c r="BA252" s="113">
        <v>47</v>
      </c>
      <c r="BB252" s="113">
        <v>0</v>
      </c>
      <c r="BC252" s="113">
        <v>0</v>
      </c>
      <c r="BD252" s="113">
        <v>0</v>
      </c>
      <c r="BF252" s="113">
        <f t="shared" si="12"/>
        <v>61519</v>
      </c>
      <c r="BG252" s="113">
        <f t="shared" si="13"/>
        <v>569</v>
      </c>
      <c r="BH252" s="113">
        <f t="shared" si="14"/>
        <v>0</v>
      </c>
      <c r="BI252" s="113">
        <f t="shared" si="15"/>
        <v>1006</v>
      </c>
    </row>
    <row r="253" spans="1:61">
      <c r="A253" s="102" t="s">
        <v>356</v>
      </c>
      <c r="B253" s="24" t="s">
        <v>655</v>
      </c>
      <c r="C253" s="103" t="s">
        <v>301</v>
      </c>
      <c r="D253" s="113">
        <v>0</v>
      </c>
      <c r="E253" s="113">
        <v>50608</v>
      </c>
      <c r="F253" s="113">
        <v>2443</v>
      </c>
      <c r="G253" s="113">
        <v>0</v>
      </c>
      <c r="H253" s="113">
        <v>0</v>
      </c>
      <c r="I253" s="113">
        <v>0</v>
      </c>
      <c r="J253" s="113">
        <v>0</v>
      </c>
      <c r="K253" s="113">
        <v>0</v>
      </c>
      <c r="L253" s="113">
        <v>0</v>
      </c>
      <c r="M253" s="113">
        <v>0</v>
      </c>
      <c r="N253" s="113">
        <v>0</v>
      </c>
      <c r="O253" s="113">
        <v>0</v>
      </c>
      <c r="P253" s="113">
        <v>0</v>
      </c>
      <c r="Q253" s="113">
        <v>0</v>
      </c>
      <c r="R253" s="113">
        <v>0</v>
      </c>
      <c r="S253" s="113">
        <v>0</v>
      </c>
      <c r="T253" s="113">
        <v>0</v>
      </c>
      <c r="U253" s="113">
        <v>0</v>
      </c>
      <c r="V253" s="113">
        <v>0</v>
      </c>
      <c r="W253" s="113">
        <v>0</v>
      </c>
      <c r="X253" s="113">
        <v>0</v>
      </c>
      <c r="Y253" s="113">
        <v>0</v>
      </c>
      <c r="Z253" s="113">
        <v>0</v>
      </c>
      <c r="AA253" s="113">
        <v>0</v>
      </c>
      <c r="AB253" s="113">
        <v>0</v>
      </c>
      <c r="AC253" s="113">
        <v>0</v>
      </c>
      <c r="AD253" s="113">
        <v>38731</v>
      </c>
      <c r="AE253" s="113">
        <v>688</v>
      </c>
      <c r="AF253" s="113">
        <v>0</v>
      </c>
      <c r="AG253" s="113">
        <v>0</v>
      </c>
      <c r="AH253" s="113">
        <v>0</v>
      </c>
      <c r="AI253" s="113">
        <v>0</v>
      </c>
      <c r="AJ253" s="113">
        <v>0</v>
      </c>
      <c r="AK253" s="113">
        <v>0</v>
      </c>
      <c r="AL253" s="113">
        <v>0</v>
      </c>
      <c r="AM253" s="113">
        <v>0</v>
      </c>
      <c r="AN253" s="113">
        <v>0</v>
      </c>
      <c r="AO253" s="113">
        <v>0</v>
      </c>
      <c r="AP253" s="113">
        <v>0</v>
      </c>
      <c r="AQ253" s="113">
        <v>0</v>
      </c>
      <c r="AR253" s="113">
        <v>0</v>
      </c>
      <c r="AS253" s="113">
        <v>0</v>
      </c>
      <c r="AT253" s="113">
        <v>0</v>
      </c>
      <c r="AU253" s="113">
        <v>0</v>
      </c>
      <c r="AV253" s="113">
        <v>0</v>
      </c>
      <c r="AW253" s="113">
        <v>0</v>
      </c>
      <c r="AX253" s="113">
        <v>0</v>
      </c>
      <c r="AY253" s="113">
        <v>2104</v>
      </c>
      <c r="AZ253" s="113">
        <v>104</v>
      </c>
      <c r="BA253" s="113">
        <v>0</v>
      </c>
      <c r="BB253" s="113">
        <v>0</v>
      </c>
      <c r="BC253" s="113">
        <v>0</v>
      </c>
      <c r="BD253" s="113">
        <v>0</v>
      </c>
      <c r="BF253" s="113">
        <f t="shared" si="12"/>
        <v>89339</v>
      </c>
      <c r="BG253" s="113">
        <f t="shared" si="13"/>
        <v>3131</v>
      </c>
      <c r="BH253" s="113">
        <f t="shared" si="14"/>
        <v>0</v>
      </c>
      <c r="BI253" s="113">
        <f t="shared" si="15"/>
        <v>0</v>
      </c>
    </row>
    <row r="254" spans="1:61">
      <c r="A254" s="102" t="s">
        <v>357</v>
      </c>
      <c r="B254" s="24" t="s">
        <v>656</v>
      </c>
      <c r="C254" s="103" t="s">
        <v>45</v>
      </c>
      <c r="D254" s="113">
        <v>0</v>
      </c>
      <c r="E254" s="113">
        <v>103067</v>
      </c>
      <c r="F254" s="113">
        <v>2206</v>
      </c>
      <c r="G254" s="113">
        <v>0</v>
      </c>
      <c r="H254" s="113">
        <v>0</v>
      </c>
      <c r="I254" s="113">
        <v>0</v>
      </c>
      <c r="J254" s="113">
        <v>0</v>
      </c>
      <c r="K254" s="113">
        <v>16306</v>
      </c>
      <c r="L254" s="113">
        <v>349</v>
      </c>
      <c r="M254" s="113">
        <v>0</v>
      </c>
      <c r="N254" s="113">
        <v>0</v>
      </c>
      <c r="O254" s="113">
        <v>0</v>
      </c>
      <c r="P254" s="113">
        <v>0</v>
      </c>
      <c r="Q254" s="113">
        <v>0</v>
      </c>
      <c r="R254" s="113">
        <v>0</v>
      </c>
      <c r="S254" s="113">
        <v>0</v>
      </c>
      <c r="T254" s="113">
        <v>0</v>
      </c>
      <c r="U254" s="113">
        <v>0</v>
      </c>
      <c r="V254" s="113">
        <v>0</v>
      </c>
      <c r="W254" s="113">
        <v>0</v>
      </c>
      <c r="X254" s="113">
        <v>0</v>
      </c>
      <c r="Y254" s="113">
        <v>0</v>
      </c>
      <c r="Z254" s="113">
        <v>0</v>
      </c>
      <c r="AA254" s="113">
        <v>0</v>
      </c>
      <c r="AB254" s="113">
        <v>0</v>
      </c>
      <c r="AC254" s="113">
        <v>0</v>
      </c>
      <c r="AD254" s="113">
        <v>61493</v>
      </c>
      <c r="AE254" s="113">
        <v>1315</v>
      </c>
      <c r="AF254" s="113">
        <v>0</v>
      </c>
      <c r="AG254" s="113">
        <v>0</v>
      </c>
      <c r="AH254" s="113">
        <v>0</v>
      </c>
      <c r="AI254" s="113">
        <v>0</v>
      </c>
      <c r="AJ254" s="113">
        <v>0</v>
      </c>
      <c r="AK254" s="113">
        <v>0</v>
      </c>
      <c r="AL254" s="113">
        <v>0</v>
      </c>
      <c r="AM254" s="113">
        <v>0</v>
      </c>
      <c r="AN254" s="113">
        <v>0</v>
      </c>
      <c r="AO254" s="113">
        <v>0</v>
      </c>
      <c r="AP254" s="113">
        <v>0</v>
      </c>
      <c r="AQ254" s="113">
        <v>0</v>
      </c>
      <c r="AR254" s="113">
        <v>0</v>
      </c>
      <c r="AS254" s="113">
        <v>0</v>
      </c>
      <c r="AT254" s="113">
        <v>0</v>
      </c>
      <c r="AU254" s="113">
        <v>0</v>
      </c>
      <c r="AV254" s="113">
        <v>0</v>
      </c>
      <c r="AW254" s="113">
        <v>0</v>
      </c>
      <c r="AX254" s="113">
        <v>0</v>
      </c>
      <c r="AY254" s="113">
        <v>0</v>
      </c>
      <c r="AZ254" s="113">
        <v>0</v>
      </c>
      <c r="BA254" s="113">
        <v>0</v>
      </c>
      <c r="BB254" s="113">
        <v>0</v>
      </c>
      <c r="BC254" s="113">
        <v>0</v>
      </c>
      <c r="BD254" s="113">
        <v>0</v>
      </c>
      <c r="BF254" s="113">
        <f t="shared" si="12"/>
        <v>180866</v>
      </c>
      <c r="BG254" s="113">
        <f t="shared" si="13"/>
        <v>3870</v>
      </c>
      <c r="BH254" s="113">
        <f t="shared" si="14"/>
        <v>0</v>
      </c>
      <c r="BI254" s="113">
        <f t="shared" si="15"/>
        <v>0</v>
      </c>
    </row>
    <row r="255" spans="1:61">
      <c r="A255" s="102" t="s">
        <v>358</v>
      </c>
      <c r="B255" s="24" t="s">
        <v>657</v>
      </c>
      <c r="C255" s="103" t="s">
        <v>219</v>
      </c>
      <c r="D255" s="113">
        <v>0</v>
      </c>
      <c r="E255" s="113">
        <v>396785</v>
      </c>
      <c r="F255" s="113">
        <v>5818</v>
      </c>
      <c r="G255" s="113">
        <v>0</v>
      </c>
      <c r="H255" s="113">
        <v>0</v>
      </c>
      <c r="I255" s="113">
        <v>0</v>
      </c>
      <c r="J255" s="113">
        <v>0</v>
      </c>
      <c r="K255" s="113">
        <v>159898</v>
      </c>
      <c r="L255" s="113">
        <v>2344</v>
      </c>
      <c r="M255" s="113">
        <v>244</v>
      </c>
      <c r="N255" s="113">
        <v>0</v>
      </c>
      <c r="O255" s="113">
        <v>0</v>
      </c>
      <c r="P255" s="113">
        <v>0</v>
      </c>
      <c r="Q255" s="113">
        <v>0</v>
      </c>
      <c r="R255" s="113">
        <v>0</v>
      </c>
      <c r="S255" s="113">
        <v>0</v>
      </c>
      <c r="T255" s="113">
        <v>0</v>
      </c>
      <c r="U255" s="113">
        <v>0</v>
      </c>
      <c r="V255" s="113">
        <v>0</v>
      </c>
      <c r="W255" s="113">
        <v>0</v>
      </c>
      <c r="X255" s="113">
        <v>0</v>
      </c>
      <c r="Y255" s="113">
        <v>0</v>
      </c>
      <c r="Z255" s="113">
        <v>0</v>
      </c>
      <c r="AA255" s="113">
        <v>0</v>
      </c>
      <c r="AB255" s="113">
        <v>0</v>
      </c>
      <c r="AC255" s="113">
        <v>0</v>
      </c>
      <c r="AD255" s="113">
        <v>209706</v>
      </c>
      <c r="AE255" s="113">
        <v>3045</v>
      </c>
      <c r="AF255" s="113">
        <v>0</v>
      </c>
      <c r="AG255" s="113">
        <v>0</v>
      </c>
      <c r="AH255" s="113">
        <v>0</v>
      </c>
      <c r="AI255" s="113">
        <v>0</v>
      </c>
      <c r="AJ255" s="113">
        <v>0</v>
      </c>
      <c r="AK255" s="113">
        <v>0</v>
      </c>
      <c r="AL255" s="113">
        <v>0</v>
      </c>
      <c r="AM255" s="113">
        <v>0</v>
      </c>
      <c r="AN255" s="113">
        <v>0</v>
      </c>
      <c r="AO255" s="113">
        <v>0</v>
      </c>
      <c r="AP255" s="113">
        <v>0</v>
      </c>
      <c r="AQ255" s="113">
        <v>0</v>
      </c>
      <c r="AR255" s="113">
        <v>0</v>
      </c>
      <c r="AS255" s="113">
        <v>0</v>
      </c>
      <c r="AT255" s="113">
        <v>0</v>
      </c>
      <c r="AU255" s="113">
        <v>0</v>
      </c>
      <c r="AV255" s="113">
        <v>0</v>
      </c>
      <c r="AW255" s="113">
        <v>0</v>
      </c>
      <c r="AX255" s="113">
        <v>0</v>
      </c>
      <c r="AY255" s="113">
        <v>0</v>
      </c>
      <c r="AZ255" s="113">
        <v>0</v>
      </c>
      <c r="BA255" s="113">
        <v>0</v>
      </c>
      <c r="BB255" s="113">
        <v>0</v>
      </c>
      <c r="BC255" s="113">
        <v>0</v>
      </c>
      <c r="BD255" s="113">
        <v>0</v>
      </c>
      <c r="BF255" s="113">
        <f t="shared" si="12"/>
        <v>766389</v>
      </c>
      <c r="BG255" s="113">
        <f t="shared" si="13"/>
        <v>11207</v>
      </c>
      <c r="BH255" s="113">
        <f t="shared" si="14"/>
        <v>244</v>
      </c>
      <c r="BI255" s="113">
        <f t="shared" si="15"/>
        <v>0</v>
      </c>
    </row>
    <row r="256" spans="1:61">
      <c r="A256" s="102" t="s">
        <v>359</v>
      </c>
      <c r="B256" s="24" t="s">
        <v>360</v>
      </c>
      <c r="C256" s="103" t="s">
        <v>349</v>
      </c>
      <c r="D256" s="113">
        <v>0</v>
      </c>
      <c r="E256" s="113">
        <v>11515</v>
      </c>
      <c r="F256" s="113">
        <v>152</v>
      </c>
      <c r="G256" s="113">
        <v>0</v>
      </c>
      <c r="H256" s="113">
        <v>0</v>
      </c>
      <c r="I256" s="113">
        <v>0</v>
      </c>
      <c r="J256" s="113">
        <v>0</v>
      </c>
      <c r="K256" s="113">
        <v>0</v>
      </c>
      <c r="L256" s="113">
        <v>0</v>
      </c>
      <c r="M256" s="113">
        <v>0</v>
      </c>
      <c r="N256" s="113">
        <v>0</v>
      </c>
      <c r="O256" s="113">
        <v>0</v>
      </c>
      <c r="P256" s="113">
        <v>0</v>
      </c>
      <c r="Q256" s="113">
        <v>0</v>
      </c>
      <c r="R256" s="113">
        <v>0</v>
      </c>
      <c r="S256" s="113">
        <v>0</v>
      </c>
      <c r="T256" s="113">
        <v>0</v>
      </c>
      <c r="U256" s="113">
        <v>0</v>
      </c>
      <c r="V256" s="113">
        <v>0</v>
      </c>
      <c r="W256" s="113">
        <v>0</v>
      </c>
      <c r="X256" s="113">
        <v>0</v>
      </c>
      <c r="Y256" s="113">
        <v>0</v>
      </c>
      <c r="Z256" s="113">
        <v>0</v>
      </c>
      <c r="AA256" s="113">
        <v>0</v>
      </c>
      <c r="AB256" s="113">
        <v>0</v>
      </c>
      <c r="AC256" s="113">
        <v>0</v>
      </c>
      <c r="AD256" s="113">
        <v>0</v>
      </c>
      <c r="AE256" s="113">
        <v>0</v>
      </c>
      <c r="AF256" s="113">
        <v>0</v>
      </c>
      <c r="AG256" s="113">
        <v>0</v>
      </c>
      <c r="AH256" s="113">
        <v>0</v>
      </c>
      <c r="AI256" s="113">
        <v>0</v>
      </c>
      <c r="AJ256" s="113">
        <v>0</v>
      </c>
      <c r="AK256" s="113">
        <v>0</v>
      </c>
      <c r="AL256" s="113">
        <v>0</v>
      </c>
      <c r="AM256" s="113">
        <v>0</v>
      </c>
      <c r="AN256" s="113">
        <v>0</v>
      </c>
      <c r="AO256" s="113">
        <v>0</v>
      </c>
      <c r="AP256" s="113">
        <v>0</v>
      </c>
      <c r="AQ256" s="113">
        <v>0</v>
      </c>
      <c r="AR256" s="113">
        <v>0</v>
      </c>
      <c r="AS256" s="113">
        <v>0</v>
      </c>
      <c r="AT256" s="113">
        <v>0</v>
      </c>
      <c r="AU256" s="113">
        <v>0</v>
      </c>
      <c r="AV256" s="113">
        <v>0</v>
      </c>
      <c r="AW256" s="113">
        <v>0</v>
      </c>
      <c r="AX256" s="113">
        <v>0</v>
      </c>
      <c r="AY256" s="113">
        <v>0</v>
      </c>
      <c r="AZ256" s="113">
        <v>0</v>
      </c>
      <c r="BA256" s="113">
        <v>0</v>
      </c>
      <c r="BB256" s="113">
        <v>0</v>
      </c>
      <c r="BC256" s="113">
        <v>0</v>
      </c>
      <c r="BD256" s="113">
        <v>0</v>
      </c>
      <c r="BF256" s="113">
        <f t="shared" si="12"/>
        <v>11515</v>
      </c>
      <c r="BG256" s="113">
        <f t="shared" si="13"/>
        <v>152</v>
      </c>
      <c r="BH256" s="113">
        <f t="shared" si="14"/>
        <v>0</v>
      </c>
      <c r="BI256" s="113">
        <f t="shared" si="15"/>
        <v>0</v>
      </c>
    </row>
    <row r="257" spans="1:61">
      <c r="A257" s="102" t="s">
        <v>361</v>
      </c>
      <c r="B257" s="24" t="s">
        <v>658</v>
      </c>
      <c r="C257" s="103" t="s">
        <v>362</v>
      </c>
      <c r="D257" s="113">
        <v>0</v>
      </c>
      <c r="E257" s="113">
        <v>23037</v>
      </c>
      <c r="F257" s="113">
        <v>83</v>
      </c>
      <c r="G257" s="113">
        <v>0</v>
      </c>
      <c r="H257" s="113">
        <v>0</v>
      </c>
      <c r="I257" s="113">
        <v>0</v>
      </c>
      <c r="J257" s="113">
        <v>0</v>
      </c>
      <c r="K257" s="113">
        <v>12725</v>
      </c>
      <c r="L257" s="113">
        <v>49</v>
      </c>
      <c r="M257" s="113">
        <v>0</v>
      </c>
      <c r="N257" s="113">
        <v>0</v>
      </c>
      <c r="O257" s="113">
        <v>0</v>
      </c>
      <c r="P257" s="113">
        <v>0</v>
      </c>
      <c r="Q257" s="113">
        <v>0</v>
      </c>
      <c r="R257" s="113">
        <v>0</v>
      </c>
      <c r="S257" s="113">
        <v>0</v>
      </c>
      <c r="T257" s="113">
        <v>0</v>
      </c>
      <c r="U257" s="113">
        <v>0</v>
      </c>
      <c r="V257" s="113">
        <v>0</v>
      </c>
      <c r="W257" s="113">
        <v>0</v>
      </c>
      <c r="X257" s="113">
        <v>0</v>
      </c>
      <c r="Y257" s="113">
        <v>0</v>
      </c>
      <c r="Z257" s="113">
        <v>0</v>
      </c>
      <c r="AA257" s="113">
        <v>0</v>
      </c>
      <c r="AB257" s="113">
        <v>0</v>
      </c>
      <c r="AC257" s="113">
        <v>0</v>
      </c>
      <c r="AD257" s="113">
        <v>0</v>
      </c>
      <c r="AE257" s="113">
        <v>0</v>
      </c>
      <c r="AF257" s="113">
        <v>0</v>
      </c>
      <c r="AG257" s="113">
        <v>0</v>
      </c>
      <c r="AH257" s="113">
        <v>0</v>
      </c>
      <c r="AI257" s="113">
        <v>0</v>
      </c>
      <c r="AJ257" s="113">
        <v>0</v>
      </c>
      <c r="AK257" s="113">
        <v>0</v>
      </c>
      <c r="AL257" s="113">
        <v>0</v>
      </c>
      <c r="AM257" s="113">
        <v>0</v>
      </c>
      <c r="AN257" s="113">
        <v>0</v>
      </c>
      <c r="AO257" s="113">
        <v>0</v>
      </c>
      <c r="AP257" s="113">
        <v>0</v>
      </c>
      <c r="AQ257" s="113">
        <v>0</v>
      </c>
      <c r="AR257" s="113">
        <v>0</v>
      </c>
      <c r="AS257" s="113">
        <v>0</v>
      </c>
      <c r="AT257" s="113">
        <v>0</v>
      </c>
      <c r="AU257" s="113">
        <v>0</v>
      </c>
      <c r="AV257" s="113">
        <v>0</v>
      </c>
      <c r="AW257" s="113">
        <v>0</v>
      </c>
      <c r="AX257" s="113">
        <v>0</v>
      </c>
      <c r="AY257" s="113">
        <v>7886</v>
      </c>
      <c r="AZ257" s="113">
        <v>31</v>
      </c>
      <c r="BA257" s="113">
        <v>0</v>
      </c>
      <c r="BB257" s="113">
        <v>783</v>
      </c>
      <c r="BC257" s="113">
        <v>4</v>
      </c>
      <c r="BD257" s="113">
        <v>0</v>
      </c>
      <c r="BF257" s="113">
        <f t="shared" si="12"/>
        <v>35762</v>
      </c>
      <c r="BG257" s="113">
        <f t="shared" si="13"/>
        <v>132</v>
      </c>
      <c r="BH257" s="113">
        <f t="shared" si="14"/>
        <v>0</v>
      </c>
      <c r="BI257" s="113">
        <f t="shared" si="15"/>
        <v>0</v>
      </c>
    </row>
    <row r="258" spans="1:61">
      <c r="A258" s="102" t="s">
        <v>363</v>
      </c>
      <c r="B258" s="24" t="s">
        <v>45</v>
      </c>
      <c r="C258" s="103" t="s">
        <v>45</v>
      </c>
      <c r="D258" s="113">
        <v>0</v>
      </c>
      <c r="E258" s="113">
        <v>346602</v>
      </c>
      <c r="F258" s="113">
        <v>3618</v>
      </c>
      <c r="G258" s="113">
        <v>0</v>
      </c>
      <c r="H258" s="113">
        <v>0</v>
      </c>
      <c r="I258" s="113">
        <v>0</v>
      </c>
      <c r="J258" s="113">
        <v>0</v>
      </c>
      <c r="K258" s="113">
        <v>133651</v>
      </c>
      <c r="L258" s="113">
        <v>1397</v>
      </c>
      <c r="M258" s="113">
        <v>0</v>
      </c>
      <c r="N258" s="113">
        <v>0</v>
      </c>
      <c r="O258" s="113">
        <v>0</v>
      </c>
      <c r="P258" s="113">
        <v>0</v>
      </c>
      <c r="Q258" s="113">
        <v>0</v>
      </c>
      <c r="R258" s="113">
        <v>0</v>
      </c>
      <c r="S258" s="113">
        <v>0</v>
      </c>
      <c r="T258" s="113">
        <v>0</v>
      </c>
      <c r="U258" s="113">
        <v>0</v>
      </c>
      <c r="V258" s="113">
        <v>0</v>
      </c>
      <c r="W258" s="113">
        <v>0</v>
      </c>
      <c r="X258" s="113">
        <v>0</v>
      </c>
      <c r="Y258" s="113">
        <v>0</v>
      </c>
      <c r="Z258" s="113">
        <v>0</v>
      </c>
      <c r="AA258" s="113">
        <v>0</v>
      </c>
      <c r="AB258" s="113">
        <v>0</v>
      </c>
      <c r="AC258" s="113">
        <v>0</v>
      </c>
      <c r="AD258" s="113">
        <v>121189</v>
      </c>
      <c r="AE258" s="113">
        <v>1266</v>
      </c>
      <c r="AF258" s="113">
        <v>0</v>
      </c>
      <c r="AG258" s="113">
        <v>0</v>
      </c>
      <c r="AH258" s="113">
        <v>0</v>
      </c>
      <c r="AI258" s="113">
        <v>0</v>
      </c>
      <c r="AJ258" s="113">
        <v>0</v>
      </c>
      <c r="AK258" s="113">
        <v>0</v>
      </c>
      <c r="AL258" s="113">
        <v>0</v>
      </c>
      <c r="AM258" s="113">
        <v>14390</v>
      </c>
      <c r="AN258" s="113">
        <v>151</v>
      </c>
      <c r="AO258" s="113">
        <v>0</v>
      </c>
      <c r="AP258" s="113">
        <v>0</v>
      </c>
      <c r="AQ258" s="113">
        <v>0</v>
      </c>
      <c r="AR258" s="113">
        <v>0</v>
      </c>
      <c r="AS258" s="113">
        <v>0</v>
      </c>
      <c r="AT258" s="113">
        <v>0</v>
      </c>
      <c r="AU258" s="113">
        <v>0</v>
      </c>
      <c r="AV258" s="113">
        <v>0</v>
      </c>
      <c r="AW258" s="113">
        <v>0</v>
      </c>
      <c r="AX258" s="113">
        <v>0</v>
      </c>
      <c r="AY258" s="113">
        <v>0</v>
      </c>
      <c r="AZ258" s="113">
        <v>0</v>
      </c>
      <c r="BA258" s="113">
        <v>0</v>
      </c>
      <c r="BB258" s="113">
        <v>0</v>
      </c>
      <c r="BC258" s="113">
        <v>0</v>
      </c>
      <c r="BD258" s="113">
        <v>0</v>
      </c>
      <c r="BF258" s="113">
        <f t="shared" si="12"/>
        <v>615832</v>
      </c>
      <c r="BG258" s="113">
        <f t="shared" si="13"/>
        <v>6432</v>
      </c>
      <c r="BH258" s="113">
        <f t="shared" si="14"/>
        <v>0</v>
      </c>
      <c r="BI258" s="113">
        <f t="shared" si="15"/>
        <v>0</v>
      </c>
    </row>
    <row r="259" spans="1:61">
      <c r="A259" s="102" t="s">
        <v>364</v>
      </c>
      <c r="B259" s="24" t="s">
        <v>659</v>
      </c>
      <c r="C259" s="103" t="s">
        <v>325</v>
      </c>
      <c r="D259" s="113">
        <v>0</v>
      </c>
      <c r="E259" s="113">
        <v>23941</v>
      </c>
      <c r="F259" s="113">
        <v>859</v>
      </c>
      <c r="G259" s="113">
        <v>0</v>
      </c>
      <c r="H259" s="113">
        <v>0</v>
      </c>
      <c r="I259" s="113">
        <v>0</v>
      </c>
      <c r="J259" s="113">
        <v>0</v>
      </c>
      <c r="K259" s="113">
        <v>0</v>
      </c>
      <c r="L259" s="113">
        <v>0</v>
      </c>
      <c r="M259" s="113">
        <v>0</v>
      </c>
      <c r="N259" s="113">
        <v>0</v>
      </c>
      <c r="O259" s="113">
        <v>0</v>
      </c>
      <c r="P259" s="113">
        <v>0</v>
      </c>
      <c r="Q259" s="113">
        <v>0</v>
      </c>
      <c r="R259" s="113">
        <v>0</v>
      </c>
      <c r="S259" s="113">
        <v>0</v>
      </c>
      <c r="T259" s="113">
        <v>0</v>
      </c>
      <c r="U259" s="113">
        <v>0</v>
      </c>
      <c r="V259" s="113">
        <v>0</v>
      </c>
      <c r="W259" s="113">
        <v>0</v>
      </c>
      <c r="X259" s="113">
        <v>0</v>
      </c>
      <c r="Y259" s="113">
        <v>0</v>
      </c>
      <c r="Z259" s="113">
        <v>0</v>
      </c>
      <c r="AA259" s="113">
        <v>0</v>
      </c>
      <c r="AB259" s="113">
        <v>0</v>
      </c>
      <c r="AC259" s="113">
        <v>0</v>
      </c>
      <c r="AD259" s="113">
        <v>20518</v>
      </c>
      <c r="AE259" s="113">
        <v>739</v>
      </c>
      <c r="AF259" s="113">
        <v>0</v>
      </c>
      <c r="AG259" s="113">
        <v>0</v>
      </c>
      <c r="AH259" s="113">
        <v>0</v>
      </c>
      <c r="AI259" s="113">
        <v>0</v>
      </c>
      <c r="AJ259" s="113">
        <v>0</v>
      </c>
      <c r="AK259" s="113">
        <v>0</v>
      </c>
      <c r="AL259" s="113">
        <v>0</v>
      </c>
      <c r="AM259" s="113">
        <v>0</v>
      </c>
      <c r="AN259" s="113">
        <v>0</v>
      </c>
      <c r="AO259" s="113">
        <v>0</v>
      </c>
      <c r="AP259" s="113">
        <v>0</v>
      </c>
      <c r="AQ259" s="113">
        <v>0</v>
      </c>
      <c r="AR259" s="113">
        <v>0</v>
      </c>
      <c r="AS259" s="113">
        <v>0</v>
      </c>
      <c r="AT259" s="113">
        <v>0</v>
      </c>
      <c r="AU259" s="113">
        <v>0</v>
      </c>
      <c r="AV259" s="113">
        <v>0</v>
      </c>
      <c r="AW259" s="113">
        <v>0</v>
      </c>
      <c r="AX259" s="113">
        <v>0</v>
      </c>
      <c r="AY259" s="113">
        <v>3190</v>
      </c>
      <c r="AZ259" s="113">
        <v>114</v>
      </c>
      <c r="BA259" s="113">
        <v>0</v>
      </c>
      <c r="BB259" s="113">
        <v>0</v>
      </c>
      <c r="BC259" s="113">
        <v>0</v>
      </c>
      <c r="BD259" s="113">
        <v>0</v>
      </c>
      <c r="BF259" s="113">
        <f t="shared" si="12"/>
        <v>44459</v>
      </c>
      <c r="BG259" s="113">
        <f t="shared" si="13"/>
        <v>1598</v>
      </c>
      <c r="BH259" s="113">
        <f t="shared" si="14"/>
        <v>0</v>
      </c>
      <c r="BI259" s="113">
        <f t="shared" si="15"/>
        <v>0</v>
      </c>
    </row>
    <row r="260" spans="1:61">
      <c r="A260" s="102" t="s">
        <v>365</v>
      </c>
      <c r="B260" s="25" t="s">
        <v>660</v>
      </c>
      <c r="C260" s="103" t="s">
        <v>30</v>
      </c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  <c r="AR260" s="113"/>
      <c r="AS260" s="113"/>
      <c r="AT260" s="113"/>
      <c r="AU260" s="113"/>
      <c r="AV260" s="113"/>
      <c r="AW260" s="113"/>
      <c r="AX260" s="113"/>
      <c r="AY260" s="113"/>
      <c r="AZ260" s="113"/>
      <c r="BA260" s="113"/>
      <c r="BB260" s="113"/>
      <c r="BC260" s="113"/>
      <c r="BD260" s="113"/>
      <c r="BF260" s="113">
        <f t="shared" si="12"/>
        <v>0</v>
      </c>
      <c r="BG260" s="113">
        <f t="shared" si="13"/>
        <v>0</v>
      </c>
      <c r="BH260" s="113">
        <f t="shared" si="14"/>
        <v>0</v>
      </c>
      <c r="BI260" s="113">
        <f t="shared" si="15"/>
        <v>0</v>
      </c>
    </row>
    <row r="261" spans="1:61">
      <c r="A261" s="102" t="s">
        <v>366</v>
      </c>
      <c r="B261" s="24" t="s">
        <v>661</v>
      </c>
      <c r="C261" s="103" t="s">
        <v>325</v>
      </c>
      <c r="D261" s="113">
        <v>0</v>
      </c>
      <c r="E261" s="113">
        <v>18071</v>
      </c>
      <c r="F261" s="113">
        <v>566</v>
      </c>
      <c r="G261" s="113">
        <v>0</v>
      </c>
      <c r="H261" s="113">
        <v>0</v>
      </c>
      <c r="I261" s="113">
        <v>0</v>
      </c>
      <c r="J261" s="113">
        <v>0</v>
      </c>
      <c r="K261" s="113">
        <v>6324</v>
      </c>
      <c r="L261" s="113">
        <v>198</v>
      </c>
      <c r="M261" s="113">
        <v>0</v>
      </c>
      <c r="N261" s="113">
        <v>0</v>
      </c>
      <c r="O261" s="113">
        <v>0</v>
      </c>
      <c r="P261" s="113">
        <v>0</v>
      </c>
      <c r="Q261" s="113">
        <v>0</v>
      </c>
      <c r="R261" s="113">
        <v>0</v>
      </c>
      <c r="S261" s="113">
        <v>0</v>
      </c>
      <c r="T261" s="113">
        <v>0</v>
      </c>
      <c r="U261" s="113">
        <v>0</v>
      </c>
      <c r="V261" s="113">
        <v>0</v>
      </c>
      <c r="W261" s="113">
        <v>0</v>
      </c>
      <c r="X261" s="113">
        <v>0</v>
      </c>
      <c r="Y261" s="113">
        <v>0</v>
      </c>
      <c r="Z261" s="113">
        <v>0</v>
      </c>
      <c r="AA261" s="113">
        <v>0</v>
      </c>
      <c r="AB261" s="113">
        <v>0</v>
      </c>
      <c r="AC261" s="113">
        <v>0</v>
      </c>
      <c r="AD261" s="113">
        <v>0</v>
      </c>
      <c r="AE261" s="113">
        <v>0</v>
      </c>
      <c r="AF261" s="113">
        <v>0</v>
      </c>
      <c r="AG261" s="113">
        <v>0</v>
      </c>
      <c r="AH261" s="113">
        <v>0</v>
      </c>
      <c r="AI261" s="113">
        <v>0</v>
      </c>
      <c r="AJ261" s="113">
        <v>0</v>
      </c>
      <c r="AK261" s="113">
        <v>0</v>
      </c>
      <c r="AL261" s="113">
        <v>0</v>
      </c>
      <c r="AM261" s="113">
        <v>0</v>
      </c>
      <c r="AN261" s="113">
        <v>0</v>
      </c>
      <c r="AO261" s="113">
        <v>0</v>
      </c>
      <c r="AP261" s="113">
        <v>0</v>
      </c>
      <c r="AQ261" s="113">
        <v>0</v>
      </c>
      <c r="AR261" s="113">
        <v>0</v>
      </c>
      <c r="AS261" s="113">
        <v>0</v>
      </c>
      <c r="AT261" s="113">
        <v>0</v>
      </c>
      <c r="AU261" s="113">
        <v>0</v>
      </c>
      <c r="AV261" s="113">
        <v>0</v>
      </c>
      <c r="AW261" s="113">
        <v>0</v>
      </c>
      <c r="AX261" s="113">
        <v>0</v>
      </c>
      <c r="AY261" s="113">
        <v>0</v>
      </c>
      <c r="AZ261" s="113">
        <v>0</v>
      </c>
      <c r="BA261" s="113">
        <v>0</v>
      </c>
      <c r="BB261" s="113">
        <v>0</v>
      </c>
      <c r="BC261" s="113">
        <v>0</v>
      </c>
      <c r="BD261" s="113">
        <v>0</v>
      </c>
      <c r="BF261" s="113">
        <f t="shared" si="12"/>
        <v>24395</v>
      </c>
      <c r="BG261" s="113">
        <f t="shared" si="13"/>
        <v>764</v>
      </c>
      <c r="BH261" s="113">
        <f t="shared" si="14"/>
        <v>0</v>
      </c>
      <c r="BI261" s="113">
        <f t="shared" si="15"/>
        <v>0</v>
      </c>
    </row>
    <row r="262" spans="1:61">
      <c r="A262" s="102" t="s">
        <v>367</v>
      </c>
      <c r="B262" s="24" t="s">
        <v>662</v>
      </c>
      <c r="C262" s="103" t="s">
        <v>245</v>
      </c>
      <c r="D262" s="113">
        <v>18844</v>
      </c>
      <c r="E262" s="113">
        <v>393632</v>
      </c>
      <c r="F262" s="113">
        <v>8014</v>
      </c>
      <c r="G262" s="113">
        <v>10571</v>
      </c>
      <c r="H262" s="113">
        <v>0</v>
      </c>
      <c r="I262" s="113">
        <v>0</v>
      </c>
      <c r="J262" s="113">
        <v>0</v>
      </c>
      <c r="K262" s="113">
        <v>135419</v>
      </c>
      <c r="L262" s="113">
        <v>2751</v>
      </c>
      <c r="M262" s="113">
        <v>0</v>
      </c>
      <c r="N262" s="113">
        <v>3823</v>
      </c>
      <c r="O262" s="113">
        <v>0</v>
      </c>
      <c r="P262" s="113">
        <v>0</v>
      </c>
      <c r="Q262" s="113">
        <v>0</v>
      </c>
      <c r="R262" s="113">
        <v>0</v>
      </c>
      <c r="S262" s="113">
        <v>0</v>
      </c>
      <c r="T262" s="113">
        <v>0</v>
      </c>
      <c r="U262" s="113">
        <v>0</v>
      </c>
      <c r="V262" s="113">
        <v>0</v>
      </c>
      <c r="W262" s="113">
        <v>0</v>
      </c>
      <c r="X262" s="113">
        <v>0</v>
      </c>
      <c r="Y262" s="113">
        <v>0</v>
      </c>
      <c r="Z262" s="113">
        <v>0</v>
      </c>
      <c r="AA262" s="113">
        <v>0</v>
      </c>
      <c r="AB262" s="113">
        <v>0</v>
      </c>
      <c r="AC262" s="113">
        <v>0</v>
      </c>
      <c r="AD262" s="113">
        <v>50914</v>
      </c>
      <c r="AE262" s="113">
        <v>1075</v>
      </c>
      <c r="AF262" s="113">
        <v>1094</v>
      </c>
      <c r="AG262" s="113">
        <v>0</v>
      </c>
      <c r="AH262" s="113">
        <v>0</v>
      </c>
      <c r="AI262" s="113">
        <v>0</v>
      </c>
      <c r="AJ262" s="113">
        <v>0</v>
      </c>
      <c r="AK262" s="113">
        <v>0</v>
      </c>
      <c r="AL262" s="113">
        <v>0</v>
      </c>
      <c r="AM262" s="113">
        <v>0</v>
      </c>
      <c r="AN262" s="113">
        <v>0</v>
      </c>
      <c r="AO262" s="113">
        <v>0</v>
      </c>
      <c r="AP262" s="113">
        <v>0</v>
      </c>
      <c r="AQ262" s="113">
        <v>0</v>
      </c>
      <c r="AR262" s="113">
        <v>0</v>
      </c>
      <c r="AS262" s="113">
        <v>0</v>
      </c>
      <c r="AT262" s="113">
        <v>0</v>
      </c>
      <c r="AU262" s="113">
        <v>0</v>
      </c>
      <c r="AV262" s="113">
        <v>0</v>
      </c>
      <c r="AW262" s="113">
        <v>0</v>
      </c>
      <c r="AX262" s="113">
        <v>0</v>
      </c>
      <c r="AY262" s="113">
        <v>0</v>
      </c>
      <c r="AZ262" s="113">
        <v>0</v>
      </c>
      <c r="BA262" s="113">
        <v>0</v>
      </c>
      <c r="BB262" s="113">
        <v>0</v>
      </c>
      <c r="BC262" s="113">
        <v>0</v>
      </c>
      <c r="BD262" s="113">
        <v>0</v>
      </c>
      <c r="BF262" s="113">
        <f t="shared" si="12"/>
        <v>579965</v>
      </c>
      <c r="BG262" s="113">
        <f t="shared" si="13"/>
        <v>11840</v>
      </c>
      <c r="BH262" s="113">
        <f t="shared" si="14"/>
        <v>0</v>
      </c>
      <c r="BI262" s="113">
        <f t="shared" si="15"/>
        <v>34332</v>
      </c>
    </row>
    <row r="263" spans="1:61">
      <c r="A263" s="102" t="s">
        <v>368</v>
      </c>
      <c r="B263" s="24" t="s">
        <v>663</v>
      </c>
      <c r="C263" s="103" t="s">
        <v>45</v>
      </c>
      <c r="D263" s="113">
        <v>0</v>
      </c>
      <c r="E263" s="113">
        <v>320967</v>
      </c>
      <c r="F263" s="113">
        <v>6175</v>
      </c>
      <c r="G263" s="113">
        <v>0</v>
      </c>
      <c r="H263" s="113">
        <v>0</v>
      </c>
      <c r="I263" s="113">
        <v>0</v>
      </c>
      <c r="J263" s="113">
        <v>0</v>
      </c>
      <c r="K263" s="113">
        <v>80481</v>
      </c>
      <c r="L263" s="113">
        <v>1546</v>
      </c>
      <c r="M263" s="113">
        <v>0</v>
      </c>
      <c r="N263" s="113">
        <v>0</v>
      </c>
      <c r="O263" s="113">
        <v>0</v>
      </c>
      <c r="P263" s="113">
        <v>0</v>
      </c>
      <c r="Q263" s="113">
        <v>0</v>
      </c>
      <c r="R263" s="113">
        <v>0</v>
      </c>
      <c r="S263" s="113">
        <v>0</v>
      </c>
      <c r="T263" s="113">
        <v>0</v>
      </c>
      <c r="U263" s="113">
        <v>0</v>
      </c>
      <c r="V263" s="113">
        <v>0</v>
      </c>
      <c r="W263" s="113">
        <v>0</v>
      </c>
      <c r="X263" s="113">
        <v>0</v>
      </c>
      <c r="Y263" s="113">
        <v>0</v>
      </c>
      <c r="Z263" s="113">
        <v>0</v>
      </c>
      <c r="AA263" s="113">
        <v>0</v>
      </c>
      <c r="AB263" s="113">
        <v>0</v>
      </c>
      <c r="AC263" s="113">
        <v>0</v>
      </c>
      <c r="AD263" s="113">
        <v>154344</v>
      </c>
      <c r="AE263" s="113">
        <v>2961</v>
      </c>
      <c r="AF263" s="113">
        <v>0</v>
      </c>
      <c r="AG263" s="113">
        <v>0</v>
      </c>
      <c r="AH263" s="113">
        <v>0</v>
      </c>
      <c r="AI263" s="113">
        <v>0</v>
      </c>
      <c r="AJ263" s="113">
        <v>0</v>
      </c>
      <c r="AK263" s="113">
        <v>0</v>
      </c>
      <c r="AL263" s="113">
        <v>0</v>
      </c>
      <c r="AM263" s="113">
        <v>0</v>
      </c>
      <c r="AN263" s="113">
        <v>0</v>
      </c>
      <c r="AO263" s="113">
        <v>0</v>
      </c>
      <c r="AP263" s="113">
        <v>0</v>
      </c>
      <c r="AQ263" s="113">
        <v>0</v>
      </c>
      <c r="AR263" s="113">
        <v>0</v>
      </c>
      <c r="AS263" s="113">
        <v>0</v>
      </c>
      <c r="AT263" s="113">
        <v>0</v>
      </c>
      <c r="AU263" s="113">
        <v>0</v>
      </c>
      <c r="AV263" s="113">
        <v>0</v>
      </c>
      <c r="AW263" s="113">
        <v>0</v>
      </c>
      <c r="AX263" s="113">
        <v>0</v>
      </c>
      <c r="AY263" s="113">
        <v>0</v>
      </c>
      <c r="AZ263" s="113">
        <v>0</v>
      </c>
      <c r="BA263" s="113">
        <v>0</v>
      </c>
      <c r="BB263" s="113">
        <v>0</v>
      </c>
      <c r="BC263" s="113">
        <v>0</v>
      </c>
      <c r="BD263" s="113">
        <v>0</v>
      </c>
      <c r="BF263" s="113">
        <f t="shared" ref="BF263:BF313" si="16">E263+H263+K263+O263+R263+U263+X263+AA263+AD263+AG263+AJ263+AM263</f>
        <v>555792</v>
      </c>
      <c r="BG263" s="113">
        <f t="shared" ref="BG263:BG313" si="17">F263+I263+L263+P263+S263+V263+Y263+AB263+AE263+AH263+AK263+AN263</f>
        <v>10682</v>
      </c>
      <c r="BH263" s="113">
        <f t="shared" ref="BH263:BH313" si="18">M263</f>
        <v>0</v>
      </c>
      <c r="BI263" s="113">
        <f t="shared" ref="BI263:BI313" si="19">D263+G263+J263+N263+Q263+T263+W263+Z263+AC263+AF263+AI263+AL263+AO263</f>
        <v>0</v>
      </c>
    </row>
    <row r="264" spans="1:61">
      <c r="A264" s="102" t="s">
        <v>369</v>
      </c>
      <c r="B264" s="24" t="s">
        <v>664</v>
      </c>
      <c r="C264" s="103" t="s">
        <v>273</v>
      </c>
      <c r="D264" s="113">
        <v>0</v>
      </c>
      <c r="E264" s="113">
        <v>22050</v>
      </c>
      <c r="F264" s="113">
        <v>176</v>
      </c>
      <c r="G264" s="113">
        <v>0</v>
      </c>
      <c r="H264" s="113">
        <v>0</v>
      </c>
      <c r="I264" s="113">
        <v>0</v>
      </c>
      <c r="J264" s="113">
        <v>0</v>
      </c>
      <c r="K264" s="113">
        <v>7412</v>
      </c>
      <c r="L264" s="113">
        <v>59</v>
      </c>
      <c r="M264" s="113">
        <v>0</v>
      </c>
      <c r="N264" s="113">
        <v>0</v>
      </c>
      <c r="O264" s="113">
        <v>0</v>
      </c>
      <c r="P264" s="113">
        <v>0</v>
      </c>
      <c r="Q264" s="113">
        <v>0</v>
      </c>
      <c r="R264" s="113">
        <v>0</v>
      </c>
      <c r="S264" s="113">
        <v>0</v>
      </c>
      <c r="T264" s="113">
        <v>0</v>
      </c>
      <c r="U264" s="113">
        <v>0</v>
      </c>
      <c r="V264" s="113">
        <v>0</v>
      </c>
      <c r="W264" s="113">
        <v>0</v>
      </c>
      <c r="X264" s="113">
        <v>0</v>
      </c>
      <c r="Y264" s="113">
        <v>0</v>
      </c>
      <c r="Z264" s="113">
        <v>0</v>
      </c>
      <c r="AA264" s="113">
        <v>0</v>
      </c>
      <c r="AB264" s="113">
        <v>0</v>
      </c>
      <c r="AC264" s="113">
        <v>0</v>
      </c>
      <c r="AD264" s="113">
        <v>0</v>
      </c>
      <c r="AE264" s="113">
        <v>0</v>
      </c>
      <c r="AF264" s="113">
        <v>0</v>
      </c>
      <c r="AG264" s="113">
        <v>0</v>
      </c>
      <c r="AH264" s="113">
        <v>0</v>
      </c>
      <c r="AI264" s="113">
        <v>0</v>
      </c>
      <c r="AJ264" s="113">
        <v>0</v>
      </c>
      <c r="AK264" s="113">
        <v>0</v>
      </c>
      <c r="AL264" s="113">
        <v>0</v>
      </c>
      <c r="AM264" s="113">
        <v>0</v>
      </c>
      <c r="AN264" s="113">
        <v>0</v>
      </c>
      <c r="AO264" s="113">
        <v>0</v>
      </c>
      <c r="AP264" s="113">
        <v>0</v>
      </c>
      <c r="AQ264" s="113">
        <v>0</v>
      </c>
      <c r="AR264" s="113">
        <v>0</v>
      </c>
      <c r="AS264" s="113">
        <v>0</v>
      </c>
      <c r="AT264" s="113">
        <v>0</v>
      </c>
      <c r="AU264" s="113">
        <v>0</v>
      </c>
      <c r="AV264" s="113">
        <v>0</v>
      </c>
      <c r="AW264" s="113">
        <v>0</v>
      </c>
      <c r="AX264" s="113">
        <v>0</v>
      </c>
      <c r="AY264" s="113">
        <v>2228</v>
      </c>
      <c r="AZ264" s="113">
        <v>24</v>
      </c>
      <c r="BA264" s="113">
        <v>0</v>
      </c>
      <c r="BB264" s="113">
        <v>0</v>
      </c>
      <c r="BC264" s="113">
        <v>0</v>
      </c>
      <c r="BD264" s="113">
        <v>0</v>
      </c>
      <c r="BF264" s="113">
        <f t="shared" si="16"/>
        <v>29462</v>
      </c>
      <c r="BG264" s="113">
        <f t="shared" si="17"/>
        <v>235</v>
      </c>
      <c r="BH264" s="113">
        <f t="shared" si="18"/>
        <v>0</v>
      </c>
      <c r="BI264" s="113">
        <f t="shared" si="19"/>
        <v>0</v>
      </c>
    </row>
    <row r="265" spans="1:61">
      <c r="A265" s="102" t="s">
        <v>370</v>
      </c>
      <c r="B265" s="24" t="s">
        <v>665</v>
      </c>
      <c r="C265" s="103" t="s">
        <v>256</v>
      </c>
      <c r="D265" s="113">
        <v>0</v>
      </c>
      <c r="E265" s="113">
        <v>86632</v>
      </c>
      <c r="F265" s="113">
        <v>1251</v>
      </c>
      <c r="G265" s="113">
        <v>0</v>
      </c>
      <c r="H265" s="113">
        <v>0</v>
      </c>
      <c r="I265" s="113">
        <v>0</v>
      </c>
      <c r="J265" s="113">
        <v>0</v>
      </c>
      <c r="K265" s="113">
        <v>21409</v>
      </c>
      <c r="L265" s="113">
        <v>313</v>
      </c>
      <c r="M265" s="113">
        <v>0</v>
      </c>
      <c r="N265" s="113">
        <v>0</v>
      </c>
      <c r="O265" s="113">
        <v>0</v>
      </c>
      <c r="P265" s="113">
        <v>0</v>
      </c>
      <c r="Q265" s="113">
        <v>0</v>
      </c>
      <c r="R265" s="113">
        <v>0</v>
      </c>
      <c r="S265" s="113">
        <v>0</v>
      </c>
      <c r="T265" s="113">
        <v>0</v>
      </c>
      <c r="U265" s="113">
        <v>0</v>
      </c>
      <c r="V265" s="113">
        <v>0</v>
      </c>
      <c r="W265" s="113">
        <v>0</v>
      </c>
      <c r="X265" s="113">
        <v>0</v>
      </c>
      <c r="Y265" s="113">
        <v>0</v>
      </c>
      <c r="Z265" s="113">
        <v>0</v>
      </c>
      <c r="AA265" s="113">
        <v>0</v>
      </c>
      <c r="AB265" s="113">
        <v>0</v>
      </c>
      <c r="AC265" s="113">
        <v>0</v>
      </c>
      <c r="AD265" s="113">
        <v>90894</v>
      </c>
      <c r="AE265" s="113">
        <v>1335</v>
      </c>
      <c r="AF265" s="113">
        <v>0</v>
      </c>
      <c r="AG265" s="113">
        <v>0</v>
      </c>
      <c r="AH265" s="113">
        <v>0</v>
      </c>
      <c r="AI265" s="113">
        <v>0</v>
      </c>
      <c r="AJ265" s="113">
        <v>0</v>
      </c>
      <c r="AK265" s="113">
        <v>0</v>
      </c>
      <c r="AL265" s="113">
        <v>0</v>
      </c>
      <c r="AM265" s="113">
        <v>0</v>
      </c>
      <c r="AN265" s="113">
        <v>0</v>
      </c>
      <c r="AO265" s="113">
        <v>0</v>
      </c>
      <c r="AP265" s="113">
        <v>0</v>
      </c>
      <c r="AQ265" s="113">
        <v>0</v>
      </c>
      <c r="AR265" s="113">
        <v>0</v>
      </c>
      <c r="AS265" s="113">
        <v>0</v>
      </c>
      <c r="AT265" s="113">
        <v>0</v>
      </c>
      <c r="AU265" s="113">
        <v>0</v>
      </c>
      <c r="AV265" s="113">
        <v>0</v>
      </c>
      <c r="AW265" s="113">
        <v>0</v>
      </c>
      <c r="AX265" s="113">
        <v>0</v>
      </c>
      <c r="AY265" s="113">
        <v>14429</v>
      </c>
      <c r="AZ265" s="113">
        <v>211</v>
      </c>
      <c r="BA265" s="113">
        <v>0</v>
      </c>
      <c r="BB265" s="113">
        <v>2661</v>
      </c>
      <c r="BC265" s="113">
        <v>39</v>
      </c>
      <c r="BD265" s="113">
        <v>0</v>
      </c>
      <c r="BF265" s="113">
        <f t="shared" si="16"/>
        <v>198935</v>
      </c>
      <c r="BG265" s="113">
        <f t="shared" si="17"/>
        <v>2899</v>
      </c>
      <c r="BH265" s="113">
        <f t="shared" si="18"/>
        <v>0</v>
      </c>
      <c r="BI265" s="113">
        <f t="shared" si="19"/>
        <v>0</v>
      </c>
    </row>
    <row r="266" spans="1:61">
      <c r="A266" s="102" t="s">
        <v>371</v>
      </c>
      <c r="B266" s="24" t="s">
        <v>666</v>
      </c>
      <c r="C266" s="103" t="s">
        <v>282</v>
      </c>
      <c r="D266" s="113">
        <v>771</v>
      </c>
      <c r="E266" s="113">
        <v>63663</v>
      </c>
      <c r="F266" s="113">
        <v>1022</v>
      </c>
      <c r="G266" s="113">
        <v>780</v>
      </c>
      <c r="H266" s="113">
        <v>0</v>
      </c>
      <c r="I266" s="113">
        <v>0</v>
      </c>
      <c r="J266" s="113">
        <v>0</v>
      </c>
      <c r="K266" s="113">
        <v>1059</v>
      </c>
      <c r="L266" s="113">
        <v>26</v>
      </c>
      <c r="M266" s="113">
        <v>0</v>
      </c>
      <c r="N266" s="113">
        <v>62</v>
      </c>
      <c r="O266" s="113">
        <v>0</v>
      </c>
      <c r="P266" s="113">
        <v>0</v>
      </c>
      <c r="Q266" s="113">
        <v>0</v>
      </c>
      <c r="R266" s="113">
        <v>0</v>
      </c>
      <c r="S266" s="113">
        <v>0</v>
      </c>
      <c r="T266" s="113">
        <v>0</v>
      </c>
      <c r="U266" s="113">
        <v>0</v>
      </c>
      <c r="V266" s="113">
        <v>0</v>
      </c>
      <c r="W266" s="113">
        <v>0</v>
      </c>
      <c r="X266" s="113">
        <v>0</v>
      </c>
      <c r="Y266" s="113">
        <v>0</v>
      </c>
      <c r="Z266" s="113">
        <v>0</v>
      </c>
      <c r="AA266" s="113">
        <v>0</v>
      </c>
      <c r="AB266" s="113">
        <v>0</v>
      </c>
      <c r="AC266" s="113">
        <v>0</v>
      </c>
      <c r="AD266" s="113">
        <v>21415</v>
      </c>
      <c r="AE266" s="113">
        <v>637</v>
      </c>
      <c r="AF266" s="113">
        <v>256</v>
      </c>
      <c r="AG266" s="113">
        <v>0</v>
      </c>
      <c r="AH266" s="113">
        <v>0</v>
      </c>
      <c r="AI266" s="113">
        <v>0</v>
      </c>
      <c r="AJ266" s="113">
        <v>0</v>
      </c>
      <c r="AK266" s="113">
        <v>0</v>
      </c>
      <c r="AL266" s="113">
        <v>0</v>
      </c>
      <c r="AM266" s="113">
        <v>0</v>
      </c>
      <c r="AN266" s="113">
        <v>0</v>
      </c>
      <c r="AO266" s="113">
        <v>0</v>
      </c>
      <c r="AP266" s="113">
        <v>0</v>
      </c>
      <c r="AQ266" s="113">
        <v>0</v>
      </c>
      <c r="AR266" s="113">
        <v>0</v>
      </c>
      <c r="AS266" s="113">
        <v>0</v>
      </c>
      <c r="AT266" s="113">
        <v>0</v>
      </c>
      <c r="AU266" s="113">
        <v>0</v>
      </c>
      <c r="AV266" s="113">
        <v>0</v>
      </c>
      <c r="AW266" s="113">
        <v>0</v>
      </c>
      <c r="AX266" s="113">
        <v>0</v>
      </c>
      <c r="AY266" s="113">
        <v>1048</v>
      </c>
      <c r="AZ266" s="113">
        <v>26</v>
      </c>
      <c r="BA266" s="113">
        <v>41</v>
      </c>
      <c r="BB266" s="113">
        <v>0</v>
      </c>
      <c r="BC266" s="113">
        <v>0</v>
      </c>
      <c r="BD266" s="113">
        <v>0</v>
      </c>
      <c r="BF266" s="113">
        <f t="shared" si="16"/>
        <v>86137</v>
      </c>
      <c r="BG266" s="113">
        <f t="shared" si="17"/>
        <v>1685</v>
      </c>
      <c r="BH266" s="113">
        <f t="shared" si="18"/>
        <v>0</v>
      </c>
      <c r="BI266" s="113">
        <f t="shared" si="19"/>
        <v>1869</v>
      </c>
    </row>
    <row r="267" spans="1:61">
      <c r="A267" s="102" t="s">
        <v>372</v>
      </c>
      <c r="B267" s="24" t="s">
        <v>667</v>
      </c>
      <c r="C267" s="103" t="s">
        <v>373</v>
      </c>
      <c r="D267" s="113">
        <v>0</v>
      </c>
      <c r="E267" s="113">
        <v>41544</v>
      </c>
      <c r="F267" s="113">
        <v>802</v>
      </c>
      <c r="G267" s="113">
        <v>0</v>
      </c>
      <c r="H267" s="113">
        <v>0</v>
      </c>
      <c r="I267" s="113">
        <v>0</v>
      </c>
      <c r="J267" s="113">
        <v>0</v>
      </c>
      <c r="K267" s="113">
        <v>8855</v>
      </c>
      <c r="L267" s="113">
        <v>188</v>
      </c>
      <c r="M267" s="113">
        <v>0</v>
      </c>
      <c r="N267" s="113">
        <v>0</v>
      </c>
      <c r="O267" s="113">
        <v>0</v>
      </c>
      <c r="P267" s="113">
        <v>0</v>
      </c>
      <c r="Q267" s="113">
        <v>0</v>
      </c>
      <c r="R267" s="113">
        <v>0</v>
      </c>
      <c r="S267" s="113">
        <v>0</v>
      </c>
      <c r="T267" s="113">
        <v>0</v>
      </c>
      <c r="U267" s="113">
        <v>0</v>
      </c>
      <c r="V267" s="113">
        <v>0</v>
      </c>
      <c r="W267" s="113">
        <v>0</v>
      </c>
      <c r="X267" s="113">
        <v>0</v>
      </c>
      <c r="Y267" s="113">
        <v>0</v>
      </c>
      <c r="Z267" s="113">
        <v>0</v>
      </c>
      <c r="AA267" s="113">
        <v>0</v>
      </c>
      <c r="AB267" s="113">
        <v>0</v>
      </c>
      <c r="AC267" s="113">
        <v>0</v>
      </c>
      <c r="AD267" s="113">
        <v>21518</v>
      </c>
      <c r="AE267" s="113">
        <v>456</v>
      </c>
      <c r="AF267" s="113">
        <v>0</v>
      </c>
      <c r="AG267" s="113">
        <v>0</v>
      </c>
      <c r="AH267" s="113">
        <v>0</v>
      </c>
      <c r="AI267" s="113">
        <v>0</v>
      </c>
      <c r="AJ267" s="113">
        <v>0</v>
      </c>
      <c r="AK267" s="113">
        <v>0</v>
      </c>
      <c r="AL267" s="113">
        <v>0</v>
      </c>
      <c r="AM267" s="113">
        <v>0</v>
      </c>
      <c r="AN267" s="113">
        <v>0</v>
      </c>
      <c r="AO267" s="113">
        <v>0</v>
      </c>
      <c r="AP267" s="113">
        <v>0</v>
      </c>
      <c r="AQ267" s="113">
        <v>0</v>
      </c>
      <c r="AR267" s="113">
        <v>0</v>
      </c>
      <c r="AS267" s="113">
        <v>0</v>
      </c>
      <c r="AT267" s="113">
        <v>0</v>
      </c>
      <c r="AU267" s="113">
        <v>0</v>
      </c>
      <c r="AV267" s="113">
        <v>0</v>
      </c>
      <c r="AW267" s="113">
        <v>0</v>
      </c>
      <c r="AX267" s="113">
        <v>0</v>
      </c>
      <c r="AY267" s="113">
        <v>2504</v>
      </c>
      <c r="AZ267" s="113">
        <v>53</v>
      </c>
      <c r="BA267" s="113">
        <v>0</v>
      </c>
      <c r="BB267" s="113">
        <v>0</v>
      </c>
      <c r="BC267" s="113">
        <v>0</v>
      </c>
      <c r="BD267" s="113">
        <v>0</v>
      </c>
      <c r="BF267" s="113">
        <f t="shared" si="16"/>
        <v>71917</v>
      </c>
      <c r="BG267" s="113">
        <f t="shared" si="17"/>
        <v>1446</v>
      </c>
      <c r="BH267" s="113">
        <f t="shared" si="18"/>
        <v>0</v>
      </c>
      <c r="BI267" s="113">
        <f t="shared" si="19"/>
        <v>0</v>
      </c>
    </row>
    <row r="268" spans="1:61">
      <c r="A268" s="102" t="s">
        <v>374</v>
      </c>
      <c r="B268" s="24" t="s">
        <v>668</v>
      </c>
      <c r="C268" s="103" t="s">
        <v>373</v>
      </c>
      <c r="D268" s="113">
        <v>0</v>
      </c>
      <c r="E268" s="113">
        <v>50728</v>
      </c>
      <c r="F268" s="113">
        <v>1234</v>
      </c>
      <c r="G268" s="113">
        <v>0</v>
      </c>
      <c r="H268" s="113">
        <v>0</v>
      </c>
      <c r="I268" s="113">
        <v>0</v>
      </c>
      <c r="J268" s="113">
        <v>0</v>
      </c>
      <c r="K268" s="113">
        <v>0</v>
      </c>
      <c r="L268" s="113">
        <v>0</v>
      </c>
      <c r="M268" s="113">
        <v>0</v>
      </c>
      <c r="N268" s="113">
        <v>0</v>
      </c>
      <c r="O268" s="113">
        <v>0</v>
      </c>
      <c r="P268" s="113">
        <v>0</v>
      </c>
      <c r="Q268" s="113">
        <v>0</v>
      </c>
      <c r="R268" s="113">
        <v>0</v>
      </c>
      <c r="S268" s="113">
        <v>0</v>
      </c>
      <c r="T268" s="113">
        <v>0</v>
      </c>
      <c r="U268" s="113">
        <v>0</v>
      </c>
      <c r="V268" s="113">
        <v>0</v>
      </c>
      <c r="W268" s="113">
        <v>0</v>
      </c>
      <c r="X268" s="113">
        <v>0</v>
      </c>
      <c r="Y268" s="113">
        <v>0</v>
      </c>
      <c r="Z268" s="113">
        <v>0</v>
      </c>
      <c r="AA268" s="113">
        <v>0</v>
      </c>
      <c r="AB268" s="113">
        <v>0</v>
      </c>
      <c r="AC268" s="113">
        <v>0</v>
      </c>
      <c r="AD268" s="113">
        <v>20174</v>
      </c>
      <c r="AE268" s="113">
        <v>479</v>
      </c>
      <c r="AF268" s="113">
        <v>0</v>
      </c>
      <c r="AG268" s="113">
        <v>0</v>
      </c>
      <c r="AH268" s="113">
        <v>0</v>
      </c>
      <c r="AI268" s="113">
        <v>0</v>
      </c>
      <c r="AJ268" s="113">
        <v>0</v>
      </c>
      <c r="AK268" s="113">
        <v>0</v>
      </c>
      <c r="AL268" s="113">
        <v>0</v>
      </c>
      <c r="AM268" s="113">
        <v>0</v>
      </c>
      <c r="AN268" s="113">
        <v>0</v>
      </c>
      <c r="AO268" s="113">
        <v>0</v>
      </c>
      <c r="AP268" s="113">
        <v>0</v>
      </c>
      <c r="AQ268" s="113">
        <v>0</v>
      </c>
      <c r="AR268" s="113">
        <v>0</v>
      </c>
      <c r="AS268" s="113">
        <v>0</v>
      </c>
      <c r="AT268" s="113">
        <v>0</v>
      </c>
      <c r="AU268" s="113">
        <v>0</v>
      </c>
      <c r="AV268" s="113">
        <v>0</v>
      </c>
      <c r="AW268" s="113">
        <v>0</v>
      </c>
      <c r="AX268" s="113">
        <v>0</v>
      </c>
      <c r="AY268" s="113">
        <v>5269</v>
      </c>
      <c r="AZ268" s="113">
        <v>140</v>
      </c>
      <c r="BA268" s="113">
        <v>0</v>
      </c>
      <c r="BB268" s="113">
        <v>0</v>
      </c>
      <c r="BC268" s="113">
        <v>0</v>
      </c>
      <c r="BD268" s="113">
        <v>0</v>
      </c>
      <c r="BF268" s="113">
        <f t="shared" si="16"/>
        <v>70902</v>
      </c>
      <c r="BG268" s="113">
        <f t="shared" si="17"/>
        <v>1713</v>
      </c>
      <c r="BH268" s="113">
        <f t="shared" si="18"/>
        <v>0</v>
      </c>
      <c r="BI268" s="113">
        <f t="shared" si="19"/>
        <v>0</v>
      </c>
    </row>
    <row r="269" spans="1:61">
      <c r="A269" s="102" t="s">
        <v>375</v>
      </c>
      <c r="B269" s="24" t="s">
        <v>669</v>
      </c>
      <c r="C269" s="103" t="s">
        <v>45</v>
      </c>
      <c r="D269" s="113">
        <v>0</v>
      </c>
      <c r="E269" s="113">
        <v>190674</v>
      </c>
      <c r="F269" s="113">
        <v>3244</v>
      </c>
      <c r="G269" s="113">
        <v>0</v>
      </c>
      <c r="H269" s="113">
        <v>0</v>
      </c>
      <c r="I269" s="113">
        <v>0</v>
      </c>
      <c r="J269" s="113">
        <v>0</v>
      </c>
      <c r="K269" s="113">
        <v>53330</v>
      </c>
      <c r="L269" s="113">
        <v>907</v>
      </c>
      <c r="M269" s="113">
        <v>0</v>
      </c>
      <c r="N269" s="113">
        <v>0</v>
      </c>
      <c r="O269" s="113">
        <v>0</v>
      </c>
      <c r="P269" s="113">
        <v>0</v>
      </c>
      <c r="Q269" s="113">
        <v>0</v>
      </c>
      <c r="R269" s="113">
        <v>0</v>
      </c>
      <c r="S269" s="113">
        <v>0</v>
      </c>
      <c r="T269" s="113">
        <v>0</v>
      </c>
      <c r="U269" s="113">
        <v>0</v>
      </c>
      <c r="V269" s="113">
        <v>0</v>
      </c>
      <c r="W269" s="113">
        <v>0</v>
      </c>
      <c r="X269" s="113">
        <v>0</v>
      </c>
      <c r="Y269" s="113">
        <v>0</v>
      </c>
      <c r="Z269" s="113">
        <v>0</v>
      </c>
      <c r="AA269" s="113">
        <v>0</v>
      </c>
      <c r="AB269" s="113">
        <v>0</v>
      </c>
      <c r="AC269" s="113">
        <v>0</v>
      </c>
      <c r="AD269" s="113">
        <v>178744</v>
      </c>
      <c r="AE269" s="113">
        <v>3044</v>
      </c>
      <c r="AF269" s="113">
        <v>0</v>
      </c>
      <c r="AG269" s="113">
        <v>0</v>
      </c>
      <c r="AH269" s="113">
        <v>0</v>
      </c>
      <c r="AI269" s="113">
        <v>0</v>
      </c>
      <c r="AJ269" s="113">
        <v>0</v>
      </c>
      <c r="AK269" s="113">
        <v>0</v>
      </c>
      <c r="AL269" s="113">
        <v>0</v>
      </c>
      <c r="AM269" s="113">
        <v>0</v>
      </c>
      <c r="AN269" s="113">
        <v>0</v>
      </c>
      <c r="AO269" s="113">
        <v>0</v>
      </c>
      <c r="AP269" s="113">
        <v>0</v>
      </c>
      <c r="AQ269" s="113">
        <v>0</v>
      </c>
      <c r="AR269" s="113">
        <v>0</v>
      </c>
      <c r="AS269" s="113">
        <v>0</v>
      </c>
      <c r="AT269" s="113">
        <v>0</v>
      </c>
      <c r="AU269" s="113">
        <v>0</v>
      </c>
      <c r="AV269" s="113">
        <v>0</v>
      </c>
      <c r="AW269" s="113">
        <v>0</v>
      </c>
      <c r="AX269" s="113">
        <v>0</v>
      </c>
      <c r="AY269" s="113">
        <v>46669</v>
      </c>
      <c r="AZ269" s="113">
        <v>793</v>
      </c>
      <c r="BA269" s="113">
        <v>0</v>
      </c>
      <c r="BB269" s="113">
        <v>6682</v>
      </c>
      <c r="BC269" s="113">
        <v>114</v>
      </c>
      <c r="BD269" s="113">
        <v>0</v>
      </c>
      <c r="BF269" s="113">
        <f t="shared" si="16"/>
        <v>422748</v>
      </c>
      <c r="BG269" s="113">
        <f t="shared" si="17"/>
        <v>7195</v>
      </c>
      <c r="BH269" s="113">
        <f t="shared" si="18"/>
        <v>0</v>
      </c>
      <c r="BI269" s="113">
        <f t="shared" si="19"/>
        <v>0</v>
      </c>
    </row>
    <row r="270" spans="1:61">
      <c r="A270" s="102" t="s">
        <v>376</v>
      </c>
      <c r="B270" s="24" t="s">
        <v>670</v>
      </c>
      <c r="C270" s="103" t="s">
        <v>373</v>
      </c>
      <c r="D270" s="113">
        <v>6428</v>
      </c>
      <c r="E270" s="113">
        <v>230541</v>
      </c>
      <c r="F270" s="113">
        <v>5130</v>
      </c>
      <c r="G270" s="113">
        <v>3277</v>
      </c>
      <c r="H270" s="113">
        <v>0</v>
      </c>
      <c r="I270" s="113">
        <v>0</v>
      </c>
      <c r="J270" s="113">
        <v>0</v>
      </c>
      <c r="K270" s="113">
        <v>67646</v>
      </c>
      <c r="L270" s="113">
        <v>1505</v>
      </c>
      <c r="M270" s="113">
        <v>0</v>
      </c>
      <c r="N270" s="113">
        <v>970</v>
      </c>
      <c r="O270" s="113">
        <v>0</v>
      </c>
      <c r="P270" s="113">
        <v>0</v>
      </c>
      <c r="Q270" s="113">
        <v>0</v>
      </c>
      <c r="R270" s="113">
        <v>0</v>
      </c>
      <c r="S270" s="113">
        <v>0</v>
      </c>
      <c r="T270" s="113">
        <v>0</v>
      </c>
      <c r="U270" s="113">
        <v>0</v>
      </c>
      <c r="V270" s="113">
        <v>0</v>
      </c>
      <c r="W270" s="113">
        <v>0</v>
      </c>
      <c r="X270" s="113">
        <v>0</v>
      </c>
      <c r="Y270" s="113">
        <v>0</v>
      </c>
      <c r="Z270" s="113">
        <v>0</v>
      </c>
      <c r="AA270" s="113">
        <v>0</v>
      </c>
      <c r="AB270" s="113">
        <v>0</v>
      </c>
      <c r="AC270" s="113">
        <v>0</v>
      </c>
      <c r="AD270" s="113">
        <v>150724</v>
      </c>
      <c r="AE270" s="113">
        <v>3358</v>
      </c>
      <c r="AF270" s="113">
        <v>2005</v>
      </c>
      <c r="AG270" s="113">
        <v>0</v>
      </c>
      <c r="AH270" s="113">
        <v>0</v>
      </c>
      <c r="AI270" s="113">
        <v>0</v>
      </c>
      <c r="AJ270" s="113">
        <v>0</v>
      </c>
      <c r="AK270" s="113">
        <v>0</v>
      </c>
      <c r="AL270" s="113">
        <v>0</v>
      </c>
      <c r="AM270" s="113">
        <v>0</v>
      </c>
      <c r="AN270" s="113">
        <v>0</v>
      </c>
      <c r="AO270" s="113">
        <v>0</v>
      </c>
      <c r="AP270" s="113">
        <v>0</v>
      </c>
      <c r="AQ270" s="113">
        <v>0</v>
      </c>
      <c r="AR270" s="113">
        <v>0</v>
      </c>
      <c r="AS270" s="113">
        <v>0</v>
      </c>
      <c r="AT270" s="113">
        <v>0</v>
      </c>
      <c r="AU270" s="113">
        <v>0</v>
      </c>
      <c r="AV270" s="113">
        <v>0</v>
      </c>
      <c r="AW270" s="113">
        <v>0</v>
      </c>
      <c r="AX270" s="113">
        <v>0</v>
      </c>
      <c r="AY270" s="113">
        <v>52955</v>
      </c>
      <c r="AZ270" s="113">
        <v>1180</v>
      </c>
      <c r="BA270" s="113">
        <v>710</v>
      </c>
      <c r="BB270" s="113">
        <v>10212</v>
      </c>
      <c r="BC270" s="113">
        <v>228</v>
      </c>
      <c r="BD270" s="113">
        <v>107</v>
      </c>
      <c r="BF270" s="113">
        <f t="shared" si="16"/>
        <v>448911</v>
      </c>
      <c r="BG270" s="113">
        <f t="shared" si="17"/>
        <v>9993</v>
      </c>
      <c r="BH270" s="113">
        <f t="shared" si="18"/>
        <v>0</v>
      </c>
      <c r="BI270" s="113">
        <f t="shared" si="19"/>
        <v>12680</v>
      </c>
    </row>
    <row r="271" spans="1:61">
      <c r="A271" s="102" t="s">
        <v>377</v>
      </c>
      <c r="B271" s="24" t="s">
        <v>671</v>
      </c>
      <c r="C271" s="103" t="s">
        <v>378</v>
      </c>
      <c r="D271" s="113">
        <v>0</v>
      </c>
      <c r="E271" s="113">
        <v>127099</v>
      </c>
      <c r="F271" s="113">
        <v>1943</v>
      </c>
      <c r="G271" s="113">
        <v>0</v>
      </c>
      <c r="H271" s="113">
        <v>0</v>
      </c>
      <c r="I271" s="113">
        <v>0</v>
      </c>
      <c r="J271" s="113">
        <v>0</v>
      </c>
      <c r="K271" s="113">
        <v>30797</v>
      </c>
      <c r="L271" s="113">
        <v>496</v>
      </c>
      <c r="M271" s="113">
        <v>0</v>
      </c>
      <c r="N271" s="113">
        <v>0</v>
      </c>
      <c r="O271" s="113">
        <v>0</v>
      </c>
      <c r="P271" s="113">
        <v>0</v>
      </c>
      <c r="Q271" s="113">
        <v>0</v>
      </c>
      <c r="R271" s="113">
        <v>0</v>
      </c>
      <c r="S271" s="113">
        <v>0</v>
      </c>
      <c r="T271" s="113">
        <v>0</v>
      </c>
      <c r="U271" s="113">
        <v>0</v>
      </c>
      <c r="V271" s="113">
        <v>0</v>
      </c>
      <c r="W271" s="113">
        <v>0</v>
      </c>
      <c r="X271" s="113">
        <v>0</v>
      </c>
      <c r="Y271" s="113">
        <v>0</v>
      </c>
      <c r="Z271" s="113">
        <v>0</v>
      </c>
      <c r="AA271" s="113">
        <v>0</v>
      </c>
      <c r="AB271" s="113">
        <v>0</v>
      </c>
      <c r="AC271" s="113">
        <v>0</v>
      </c>
      <c r="AD271" s="113">
        <v>101397</v>
      </c>
      <c r="AE271" s="113">
        <v>1528</v>
      </c>
      <c r="AF271" s="113">
        <v>0</v>
      </c>
      <c r="AG271" s="113">
        <v>0</v>
      </c>
      <c r="AH271" s="113">
        <v>0</v>
      </c>
      <c r="AI271" s="113">
        <v>0</v>
      </c>
      <c r="AJ271" s="113">
        <v>0</v>
      </c>
      <c r="AK271" s="113">
        <v>0</v>
      </c>
      <c r="AL271" s="113">
        <v>0</v>
      </c>
      <c r="AM271" s="113">
        <v>0</v>
      </c>
      <c r="AN271" s="113">
        <v>0</v>
      </c>
      <c r="AO271" s="113">
        <v>0</v>
      </c>
      <c r="AP271" s="113">
        <v>0</v>
      </c>
      <c r="AQ271" s="113">
        <v>0</v>
      </c>
      <c r="AR271" s="113">
        <v>0</v>
      </c>
      <c r="AS271" s="113">
        <v>0</v>
      </c>
      <c r="AT271" s="113">
        <v>0</v>
      </c>
      <c r="AU271" s="113">
        <v>0</v>
      </c>
      <c r="AV271" s="113">
        <v>0</v>
      </c>
      <c r="AW271" s="113">
        <v>0</v>
      </c>
      <c r="AX271" s="113">
        <v>0</v>
      </c>
      <c r="AY271" s="113">
        <v>13195</v>
      </c>
      <c r="AZ271" s="113">
        <v>204</v>
      </c>
      <c r="BA271" s="113">
        <v>0</v>
      </c>
      <c r="BB271" s="113">
        <v>778</v>
      </c>
      <c r="BC271" s="113">
        <v>26</v>
      </c>
      <c r="BD271" s="113">
        <v>0</v>
      </c>
      <c r="BF271" s="113">
        <f t="shared" si="16"/>
        <v>259293</v>
      </c>
      <c r="BG271" s="113">
        <f t="shared" si="17"/>
        <v>3967</v>
      </c>
      <c r="BH271" s="113">
        <f t="shared" si="18"/>
        <v>0</v>
      </c>
      <c r="BI271" s="113">
        <f t="shared" si="19"/>
        <v>0</v>
      </c>
    </row>
    <row r="272" spans="1:61">
      <c r="A272" s="102" t="s">
        <v>379</v>
      </c>
      <c r="B272" s="24" t="s">
        <v>672</v>
      </c>
      <c r="C272" s="103" t="s">
        <v>380</v>
      </c>
      <c r="D272" s="113">
        <v>0</v>
      </c>
      <c r="E272" s="113">
        <v>67775</v>
      </c>
      <c r="F272" s="113">
        <v>517</v>
      </c>
      <c r="G272" s="113">
        <v>0</v>
      </c>
      <c r="H272" s="113">
        <v>0</v>
      </c>
      <c r="I272" s="113">
        <v>0</v>
      </c>
      <c r="J272" s="113">
        <v>0</v>
      </c>
      <c r="K272" s="113">
        <v>12947</v>
      </c>
      <c r="L272" s="113">
        <v>99</v>
      </c>
      <c r="M272" s="113">
        <v>0</v>
      </c>
      <c r="N272" s="113">
        <v>0</v>
      </c>
      <c r="O272" s="113">
        <v>0</v>
      </c>
      <c r="P272" s="113">
        <v>0</v>
      </c>
      <c r="Q272" s="113">
        <v>0</v>
      </c>
      <c r="R272" s="113">
        <v>0</v>
      </c>
      <c r="S272" s="113">
        <v>0</v>
      </c>
      <c r="T272" s="113">
        <v>0</v>
      </c>
      <c r="U272" s="113">
        <v>0</v>
      </c>
      <c r="V272" s="113">
        <v>0</v>
      </c>
      <c r="W272" s="113">
        <v>0</v>
      </c>
      <c r="X272" s="113">
        <v>0</v>
      </c>
      <c r="Y272" s="113">
        <v>0</v>
      </c>
      <c r="Z272" s="113">
        <v>0</v>
      </c>
      <c r="AA272" s="113">
        <v>0</v>
      </c>
      <c r="AB272" s="113">
        <v>0</v>
      </c>
      <c r="AC272" s="113">
        <v>0</v>
      </c>
      <c r="AD272" s="113">
        <v>0</v>
      </c>
      <c r="AE272" s="113">
        <v>0</v>
      </c>
      <c r="AF272" s="113">
        <v>0</v>
      </c>
      <c r="AG272" s="113">
        <v>0</v>
      </c>
      <c r="AH272" s="113">
        <v>0</v>
      </c>
      <c r="AI272" s="113">
        <v>0</v>
      </c>
      <c r="AJ272" s="113">
        <v>0</v>
      </c>
      <c r="AK272" s="113">
        <v>0</v>
      </c>
      <c r="AL272" s="113">
        <v>0</v>
      </c>
      <c r="AM272" s="113">
        <v>0</v>
      </c>
      <c r="AN272" s="113">
        <v>0</v>
      </c>
      <c r="AO272" s="113">
        <v>0</v>
      </c>
      <c r="AP272" s="113">
        <v>0</v>
      </c>
      <c r="AQ272" s="113">
        <v>0</v>
      </c>
      <c r="AR272" s="113">
        <v>0</v>
      </c>
      <c r="AS272" s="113">
        <v>0</v>
      </c>
      <c r="AT272" s="113">
        <v>0</v>
      </c>
      <c r="AU272" s="113">
        <v>0</v>
      </c>
      <c r="AV272" s="113">
        <v>0</v>
      </c>
      <c r="AW272" s="113">
        <v>0</v>
      </c>
      <c r="AX272" s="113">
        <v>0</v>
      </c>
      <c r="AY272" s="113">
        <v>0</v>
      </c>
      <c r="AZ272" s="113">
        <v>0</v>
      </c>
      <c r="BA272" s="113">
        <v>0</v>
      </c>
      <c r="BB272" s="113">
        <v>0</v>
      </c>
      <c r="BC272" s="113">
        <v>0</v>
      </c>
      <c r="BD272" s="113">
        <v>0</v>
      </c>
      <c r="BF272" s="113">
        <f t="shared" si="16"/>
        <v>80722</v>
      </c>
      <c r="BG272" s="113">
        <f t="shared" si="17"/>
        <v>616</v>
      </c>
      <c r="BH272" s="113">
        <f t="shared" si="18"/>
        <v>0</v>
      </c>
      <c r="BI272" s="113">
        <f t="shared" si="19"/>
        <v>0</v>
      </c>
    </row>
    <row r="273" spans="1:61">
      <c r="A273" s="102" t="s">
        <v>381</v>
      </c>
      <c r="B273" s="24" t="s">
        <v>673</v>
      </c>
      <c r="C273" s="103" t="s">
        <v>382</v>
      </c>
      <c r="D273" s="113">
        <v>0</v>
      </c>
      <c r="E273" s="113">
        <v>18342</v>
      </c>
      <c r="F273" s="113">
        <v>507</v>
      </c>
      <c r="G273" s="113">
        <v>0</v>
      </c>
      <c r="H273" s="113">
        <v>0</v>
      </c>
      <c r="I273" s="113">
        <v>0</v>
      </c>
      <c r="J273" s="113">
        <v>0</v>
      </c>
      <c r="K273" s="113">
        <v>2006</v>
      </c>
      <c r="L273" s="113">
        <v>55</v>
      </c>
      <c r="M273" s="113">
        <v>0</v>
      </c>
      <c r="N273" s="113">
        <v>0</v>
      </c>
      <c r="O273" s="113">
        <v>1245</v>
      </c>
      <c r="P273" s="113">
        <v>40</v>
      </c>
      <c r="Q273" s="113">
        <v>0</v>
      </c>
      <c r="R273" s="113">
        <v>0</v>
      </c>
      <c r="S273" s="113">
        <v>0</v>
      </c>
      <c r="T273" s="113">
        <v>0</v>
      </c>
      <c r="U273" s="113">
        <v>0</v>
      </c>
      <c r="V273" s="113">
        <v>0</v>
      </c>
      <c r="W273" s="113">
        <v>0</v>
      </c>
      <c r="X273" s="113">
        <v>0</v>
      </c>
      <c r="Y273" s="113">
        <v>0</v>
      </c>
      <c r="Z273" s="113">
        <v>0</v>
      </c>
      <c r="AA273" s="113">
        <v>0</v>
      </c>
      <c r="AB273" s="113">
        <v>0</v>
      </c>
      <c r="AC273" s="113">
        <v>0</v>
      </c>
      <c r="AD273" s="113">
        <v>0</v>
      </c>
      <c r="AE273" s="113">
        <v>0</v>
      </c>
      <c r="AF273" s="113">
        <v>0</v>
      </c>
      <c r="AG273" s="113">
        <v>0</v>
      </c>
      <c r="AH273" s="113">
        <v>0</v>
      </c>
      <c r="AI273" s="113">
        <v>0</v>
      </c>
      <c r="AJ273" s="113">
        <v>0</v>
      </c>
      <c r="AK273" s="113">
        <v>0</v>
      </c>
      <c r="AL273" s="113">
        <v>0</v>
      </c>
      <c r="AM273" s="113">
        <v>0</v>
      </c>
      <c r="AN273" s="113">
        <v>0</v>
      </c>
      <c r="AO273" s="113">
        <v>0</v>
      </c>
      <c r="AP273" s="113">
        <v>0</v>
      </c>
      <c r="AQ273" s="113">
        <v>0</v>
      </c>
      <c r="AR273" s="113">
        <v>0</v>
      </c>
      <c r="AS273" s="113">
        <v>0</v>
      </c>
      <c r="AT273" s="113">
        <v>0</v>
      </c>
      <c r="AU273" s="113">
        <v>0</v>
      </c>
      <c r="AV273" s="113">
        <v>0</v>
      </c>
      <c r="AW273" s="113">
        <v>0</v>
      </c>
      <c r="AX273" s="113">
        <v>0</v>
      </c>
      <c r="AY273" s="113">
        <v>537</v>
      </c>
      <c r="AZ273" s="113">
        <v>15</v>
      </c>
      <c r="BA273" s="113">
        <v>0</v>
      </c>
      <c r="BB273" s="113">
        <v>0</v>
      </c>
      <c r="BC273" s="113">
        <v>0</v>
      </c>
      <c r="BD273" s="113">
        <v>0</v>
      </c>
      <c r="BF273" s="113">
        <f t="shared" si="16"/>
        <v>21593</v>
      </c>
      <c r="BG273" s="113">
        <f t="shared" si="17"/>
        <v>602</v>
      </c>
      <c r="BH273" s="113">
        <f t="shared" si="18"/>
        <v>0</v>
      </c>
      <c r="BI273" s="113">
        <f t="shared" si="19"/>
        <v>0</v>
      </c>
    </row>
    <row r="274" spans="1:61">
      <c r="A274" s="102" t="s">
        <v>383</v>
      </c>
      <c r="B274" s="24" t="s">
        <v>674</v>
      </c>
      <c r="C274" s="103" t="s">
        <v>45</v>
      </c>
      <c r="D274" s="113">
        <v>11453</v>
      </c>
      <c r="E274" s="113">
        <v>199336</v>
      </c>
      <c r="F274" s="113">
        <v>3574</v>
      </c>
      <c r="G274" s="113">
        <v>9327</v>
      </c>
      <c r="H274" s="113">
        <v>0</v>
      </c>
      <c r="I274" s="113">
        <v>0</v>
      </c>
      <c r="J274" s="113">
        <v>0</v>
      </c>
      <c r="K274" s="113">
        <v>57042</v>
      </c>
      <c r="L274" s="113">
        <v>1006</v>
      </c>
      <c r="M274" s="113">
        <v>0</v>
      </c>
      <c r="N274" s="113">
        <v>1444</v>
      </c>
      <c r="O274" s="113">
        <v>0</v>
      </c>
      <c r="P274" s="113">
        <v>0</v>
      </c>
      <c r="Q274" s="113">
        <v>0</v>
      </c>
      <c r="R274" s="113">
        <v>0</v>
      </c>
      <c r="S274" s="113">
        <v>0</v>
      </c>
      <c r="T274" s="113">
        <v>0</v>
      </c>
      <c r="U274" s="113">
        <v>0</v>
      </c>
      <c r="V274" s="113">
        <v>0</v>
      </c>
      <c r="W274" s="113">
        <v>0</v>
      </c>
      <c r="X274" s="113">
        <v>0</v>
      </c>
      <c r="Y274" s="113">
        <v>0</v>
      </c>
      <c r="Z274" s="113">
        <v>0</v>
      </c>
      <c r="AA274" s="113">
        <v>0</v>
      </c>
      <c r="AB274" s="113">
        <v>0</v>
      </c>
      <c r="AC274" s="113">
        <v>0</v>
      </c>
      <c r="AD274" s="113">
        <v>172655</v>
      </c>
      <c r="AE274" s="113">
        <v>3033</v>
      </c>
      <c r="AF274" s="113">
        <v>3795</v>
      </c>
      <c r="AG274" s="113">
        <v>0</v>
      </c>
      <c r="AH274" s="113">
        <v>0</v>
      </c>
      <c r="AI274" s="113">
        <v>0</v>
      </c>
      <c r="AJ274" s="113">
        <v>0</v>
      </c>
      <c r="AK274" s="113">
        <v>0</v>
      </c>
      <c r="AL274" s="113">
        <v>0</v>
      </c>
      <c r="AM274" s="113">
        <v>0</v>
      </c>
      <c r="AN274" s="113">
        <v>0</v>
      </c>
      <c r="AO274" s="113">
        <v>0</v>
      </c>
      <c r="AP274" s="113">
        <v>0</v>
      </c>
      <c r="AQ274" s="113">
        <v>0</v>
      </c>
      <c r="AR274" s="113">
        <v>0</v>
      </c>
      <c r="AS274" s="113">
        <v>0</v>
      </c>
      <c r="AT274" s="113">
        <v>0</v>
      </c>
      <c r="AU274" s="113">
        <v>0</v>
      </c>
      <c r="AV274" s="113">
        <v>0</v>
      </c>
      <c r="AW274" s="113">
        <v>0</v>
      </c>
      <c r="AX274" s="113">
        <v>0</v>
      </c>
      <c r="AY274" s="113">
        <v>0</v>
      </c>
      <c r="AZ274" s="113">
        <v>0</v>
      </c>
      <c r="BA274" s="113">
        <v>0</v>
      </c>
      <c r="BB274" s="113">
        <v>0</v>
      </c>
      <c r="BC274" s="113">
        <v>0</v>
      </c>
      <c r="BD274" s="113">
        <v>0</v>
      </c>
      <c r="BF274" s="113">
        <f t="shared" si="16"/>
        <v>429033</v>
      </c>
      <c r="BG274" s="113">
        <f t="shared" si="17"/>
        <v>7613</v>
      </c>
      <c r="BH274" s="113">
        <f t="shared" si="18"/>
        <v>0</v>
      </c>
      <c r="BI274" s="113">
        <f t="shared" si="19"/>
        <v>26019</v>
      </c>
    </row>
    <row r="275" spans="1:61">
      <c r="A275" s="102" t="s">
        <v>384</v>
      </c>
      <c r="B275" s="24" t="s">
        <v>675</v>
      </c>
      <c r="C275" s="103" t="s">
        <v>373</v>
      </c>
      <c r="D275" s="113">
        <v>34454</v>
      </c>
      <c r="E275" s="113">
        <v>276838</v>
      </c>
      <c r="F275" s="113">
        <v>4617</v>
      </c>
      <c r="G275" s="113">
        <v>3925</v>
      </c>
      <c r="H275" s="113">
        <v>0</v>
      </c>
      <c r="I275" s="113">
        <v>0</v>
      </c>
      <c r="J275" s="113">
        <v>0</v>
      </c>
      <c r="K275" s="113">
        <v>49</v>
      </c>
      <c r="L275" s="113">
        <v>0</v>
      </c>
      <c r="M275" s="113">
        <v>0</v>
      </c>
      <c r="N275" s="113">
        <v>0</v>
      </c>
      <c r="O275" s="113">
        <v>0</v>
      </c>
      <c r="P275" s="113">
        <v>0</v>
      </c>
      <c r="Q275" s="113">
        <v>0</v>
      </c>
      <c r="R275" s="113">
        <v>0</v>
      </c>
      <c r="S275" s="113">
        <v>0</v>
      </c>
      <c r="T275" s="113">
        <v>0</v>
      </c>
      <c r="U275" s="113">
        <v>0</v>
      </c>
      <c r="V275" s="113">
        <v>0</v>
      </c>
      <c r="W275" s="113">
        <v>0</v>
      </c>
      <c r="X275" s="113">
        <v>0</v>
      </c>
      <c r="Y275" s="113">
        <v>0</v>
      </c>
      <c r="Z275" s="113">
        <v>0</v>
      </c>
      <c r="AA275" s="113">
        <v>0</v>
      </c>
      <c r="AB275" s="113">
        <v>0</v>
      </c>
      <c r="AC275" s="113">
        <v>0</v>
      </c>
      <c r="AD275" s="113">
        <v>77230</v>
      </c>
      <c r="AE275" s="113">
        <v>1285</v>
      </c>
      <c r="AF275" s="113">
        <v>1149</v>
      </c>
      <c r="AG275" s="113">
        <v>0</v>
      </c>
      <c r="AH275" s="113">
        <v>0</v>
      </c>
      <c r="AI275" s="113">
        <v>0</v>
      </c>
      <c r="AJ275" s="113">
        <v>0</v>
      </c>
      <c r="AK275" s="113">
        <v>0</v>
      </c>
      <c r="AL275" s="113">
        <v>0</v>
      </c>
      <c r="AM275" s="113">
        <v>0</v>
      </c>
      <c r="AN275" s="113">
        <v>0</v>
      </c>
      <c r="AO275" s="113">
        <v>0</v>
      </c>
      <c r="AP275" s="113">
        <v>0</v>
      </c>
      <c r="AQ275" s="113">
        <v>0</v>
      </c>
      <c r="AR275" s="113">
        <v>0</v>
      </c>
      <c r="AS275" s="113">
        <v>0</v>
      </c>
      <c r="AT275" s="113">
        <v>0</v>
      </c>
      <c r="AU275" s="113">
        <v>0</v>
      </c>
      <c r="AV275" s="113">
        <v>0</v>
      </c>
      <c r="AW275" s="113">
        <v>0</v>
      </c>
      <c r="AX275" s="113">
        <v>0</v>
      </c>
      <c r="AY275" s="113">
        <v>73412</v>
      </c>
      <c r="AZ275" s="113">
        <v>1221</v>
      </c>
      <c r="BA275" s="113">
        <v>1114</v>
      </c>
      <c r="BB275" s="113">
        <v>21241</v>
      </c>
      <c r="BC275" s="113">
        <v>353</v>
      </c>
      <c r="BD275" s="113">
        <v>330</v>
      </c>
      <c r="BF275" s="113">
        <f t="shared" si="16"/>
        <v>354117</v>
      </c>
      <c r="BG275" s="113">
        <f t="shared" si="17"/>
        <v>5902</v>
      </c>
      <c r="BH275" s="113">
        <f t="shared" si="18"/>
        <v>0</v>
      </c>
      <c r="BI275" s="113">
        <f t="shared" si="19"/>
        <v>39528</v>
      </c>
    </row>
    <row r="276" spans="1:61">
      <c r="A276" s="102" t="s">
        <v>385</v>
      </c>
      <c r="B276" s="24" t="s">
        <v>676</v>
      </c>
      <c r="C276" s="103" t="s">
        <v>373</v>
      </c>
      <c r="D276" s="113">
        <v>0</v>
      </c>
      <c r="E276" s="113">
        <v>3871</v>
      </c>
      <c r="F276" s="113">
        <v>70</v>
      </c>
      <c r="G276" s="113">
        <v>0</v>
      </c>
      <c r="H276" s="113">
        <v>0</v>
      </c>
      <c r="I276" s="113">
        <v>0</v>
      </c>
      <c r="J276" s="113">
        <v>0</v>
      </c>
      <c r="K276" s="113">
        <v>0</v>
      </c>
      <c r="L276" s="113">
        <v>0</v>
      </c>
      <c r="M276" s="113">
        <v>0</v>
      </c>
      <c r="N276" s="113">
        <v>0</v>
      </c>
      <c r="O276" s="113">
        <v>0</v>
      </c>
      <c r="P276" s="113">
        <v>0</v>
      </c>
      <c r="Q276" s="113">
        <v>0</v>
      </c>
      <c r="R276" s="113">
        <v>0</v>
      </c>
      <c r="S276" s="113">
        <v>0</v>
      </c>
      <c r="T276" s="113">
        <v>0</v>
      </c>
      <c r="U276" s="113">
        <v>0</v>
      </c>
      <c r="V276" s="113">
        <v>0</v>
      </c>
      <c r="W276" s="113">
        <v>0</v>
      </c>
      <c r="X276" s="113">
        <v>0</v>
      </c>
      <c r="Y276" s="113">
        <v>0</v>
      </c>
      <c r="Z276" s="113">
        <v>0</v>
      </c>
      <c r="AA276" s="113">
        <v>0</v>
      </c>
      <c r="AB276" s="113">
        <v>0</v>
      </c>
      <c r="AC276" s="113">
        <v>0</v>
      </c>
      <c r="AD276" s="113">
        <v>0</v>
      </c>
      <c r="AE276" s="113">
        <v>0</v>
      </c>
      <c r="AF276" s="113">
        <v>0</v>
      </c>
      <c r="AG276" s="113">
        <v>0</v>
      </c>
      <c r="AH276" s="113">
        <v>0</v>
      </c>
      <c r="AI276" s="113">
        <v>0</v>
      </c>
      <c r="AJ276" s="113">
        <v>0</v>
      </c>
      <c r="AK276" s="113">
        <v>0</v>
      </c>
      <c r="AL276" s="113">
        <v>0</v>
      </c>
      <c r="AM276" s="113">
        <v>0</v>
      </c>
      <c r="AN276" s="113">
        <v>0</v>
      </c>
      <c r="AO276" s="113">
        <v>0</v>
      </c>
      <c r="AP276" s="113">
        <v>0</v>
      </c>
      <c r="AQ276" s="113">
        <v>0</v>
      </c>
      <c r="AR276" s="113">
        <v>0</v>
      </c>
      <c r="AS276" s="113">
        <v>0</v>
      </c>
      <c r="AT276" s="113">
        <v>0</v>
      </c>
      <c r="AU276" s="113">
        <v>0</v>
      </c>
      <c r="AV276" s="113">
        <v>0</v>
      </c>
      <c r="AW276" s="113">
        <v>0</v>
      </c>
      <c r="AX276" s="113">
        <v>0</v>
      </c>
      <c r="AY276" s="113">
        <v>1789</v>
      </c>
      <c r="AZ276" s="113">
        <v>32</v>
      </c>
      <c r="BA276" s="113">
        <v>0</v>
      </c>
      <c r="BB276" s="113">
        <v>0</v>
      </c>
      <c r="BC276" s="113">
        <v>0</v>
      </c>
      <c r="BD276" s="113">
        <v>0</v>
      </c>
      <c r="BF276" s="113">
        <f t="shared" si="16"/>
        <v>3871</v>
      </c>
      <c r="BG276" s="113">
        <f t="shared" si="17"/>
        <v>70</v>
      </c>
      <c r="BH276" s="113">
        <f t="shared" si="18"/>
        <v>0</v>
      </c>
      <c r="BI276" s="113">
        <f t="shared" si="19"/>
        <v>0</v>
      </c>
    </row>
    <row r="277" spans="1:61">
      <c r="A277" s="102" t="s">
        <v>386</v>
      </c>
      <c r="B277" s="24" t="s">
        <v>677</v>
      </c>
      <c r="C277" s="103" t="s">
        <v>290</v>
      </c>
      <c r="D277" s="113">
        <v>0</v>
      </c>
      <c r="E277" s="113">
        <v>138080</v>
      </c>
      <c r="F277" s="113">
        <v>3060</v>
      </c>
      <c r="G277" s="113">
        <v>0</v>
      </c>
      <c r="H277" s="113">
        <v>0</v>
      </c>
      <c r="I277" s="113">
        <v>0</v>
      </c>
      <c r="J277" s="113">
        <v>0</v>
      </c>
      <c r="K277" s="113">
        <v>24854</v>
      </c>
      <c r="L277" s="113">
        <v>550</v>
      </c>
      <c r="M277" s="113">
        <v>22537</v>
      </c>
      <c r="N277" s="113">
        <v>0</v>
      </c>
      <c r="O277" s="113">
        <v>0</v>
      </c>
      <c r="P277" s="113">
        <v>0</v>
      </c>
      <c r="Q277" s="113">
        <v>0</v>
      </c>
      <c r="R277" s="113">
        <v>0</v>
      </c>
      <c r="S277" s="113">
        <v>0</v>
      </c>
      <c r="T277" s="113">
        <v>0</v>
      </c>
      <c r="U277" s="113">
        <v>0</v>
      </c>
      <c r="V277" s="113">
        <v>0</v>
      </c>
      <c r="W277" s="113">
        <v>0</v>
      </c>
      <c r="X277" s="113">
        <v>0</v>
      </c>
      <c r="Y277" s="113">
        <v>0</v>
      </c>
      <c r="Z277" s="113">
        <v>0</v>
      </c>
      <c r="AA277" s="113">
        <v>0</v>
      </c>
      <c r="AB277" s="113">
        <v>0</v>
      </c>
      <c r="AC277" s="113">
        <v>0</v>
      </c>
      <c r="AD277" s="113">
        <v>0</v>
      </c>
      <c r="AE277" s="113">
        <v>0</v>
      </c>
      <c r="AF277" s="113">
        <v>0</v>
      </c>
      <c r="AG277" s="113">
        <v>38</v>
      </c>
      <c r="AH277" s="113">
        <v>0</v>
      </c>
      <c r="AI277" s="113">
        <v>0</v>
      </c>
      <c r="AJ277" s="113">
        <v>0</v>
      </c>
      <c r="AK277" s="113">
        <v>0</v>
      </c>
      <c r="AL277" s="113">
        <v>0</v>
      </c>
      <c r="AM277" s="113">
        <v>0</v>
      </c>
      <c r="AN277" s="113">
        <v>0</v>
      </c>
      <c r="AO277" s="113">
        <v>0</v>
      </c>
      <c r="AP277" s="113">
        <v>0</v>
      </c>
      <c r="AQ277" s="113">
        <v>0</v>
      </c>
      <c r="AR277" s="113">
        <v>0</v>
      </c>
      <c r="AS277" s="113">
        <v>0</v>
      </c>
      <c r="AT277" s="113">
        <v>0</v>
      </c>
      <c r="AU277" s="113">
        <v>0</v>
      </c>
      <c r="AV277" s="113">
        <v>0</v>
      </c>
      <c r="AW277" s="113">
        <v>0</v>
      </c>
      <c r="AX277" s="113">
        <v>0</v>
      </c>
      <c r="AY277" s="113">
        <v>0</v>
      </c>
      <c r="AZ277" s="113">
        <v>0</v>
      </c>
      <c r="BA277" s="113">
        <v>0</v>
      </c>
      <c r="BB277" s="113">
        <v>0</v>
      </c>
      <c r="BC277" s="113">
        <v>0</v>
      </c>
      <c r="BD277" s="113">
        <v>0</v>
      </c>
      <c r="BF277" s="113">
        <f t="shared" si="16"/>
        <v>162972</v>
      </c>
      <c r="BG277" s="113">
        <f t="shared" si="17"/>
        <v>3610</v>
      </c>
      <c r="BH277" s="113">
        <f t="shared" si="18"/>
        <v>22537</v>
      </c>
      <c r="BI277" s="113">
        <f t="shared" si="19"/>
        <v>0</v>
      </c>
    </row>
    <row r="278" spans="1:61">
      <c r="A278" s="102" t="s">
        <v>387</v>
      </c>
      <c r="B278" s="24" t="s">
        <v>678</v>
      </c>
      <c r="C278" s="103" t="s">
        <v>328</v>
      </c>
      <c r="D278" s="113">
        <v>0</v>
      </c>
      <c r="E278" s="113">
        <v>15933</v>
      </c>
      <c r="F278" s="113">
        <v>0</v>
      </c>
      <c r="G278" s="113">
        <v>203</v>
      </c>
      <c r="H278" s="113">
        <v>0</v>
      </c>
      <c r="I278" s="113">
        <v>0</v>
      </c>
      <c r="J278" s="113">
        <v>0</v>
      </c>
      <c r="K278" s="113">
        <v>3467</v>
      </c>
      <c r="L278" s="113">
        <v>44</v>
      </c>
      <c r="M278" s="113">
        <v>0</v>
      </c>
      <c r="N278" s="113">
        <v>0</v>
      </c>
      <c r="O278" s="113">
        <v>0</v>
      </c>
      <c r="P278" s="113">
        <v>0</v>
      </c>
      <c r="Q278" s="113">
        <v>0</v>
      </c>
      <c r="R278" s="113">
        <v>0</v>
      </c>
      <c r="S278" s="113">
        <v>0</v>
      </c>
      <c r="T278" s="113">
        <v>0</v>
      </c>
      <c r="U278" s="113">
        <v>0</v>
      </c>
      <c r="V278" s="113">
        <v>0</v>
      </c>
      <c r="W278" s="113">
        <v>0</v>
      </c>
      <c r="X278" s="113">
        <v>0</v>
      </c>
      <c r="Y278" s="113">
        <v>0</v>
      </c>
      <c r="Z278" s="113">
        <v>0</v>
      </c>
      <c r="AA278" s="113">
        <v>0</v>
      </c>
      <c r="AB278" s="113">
        <v>0</v>
      </c>
      <c r="AC278" s="113">
        <v>0</v>
      </c>
      <c r="AD278" s="113">
        <v>0</v>
      </c>
      <c r="AE278" s="113">
        <v>0</v>
      </c>
      <c r="AF278" s="113">
        <v>0</v>
      </c>
      <c r="AG278" s="113">
        <v>0</v>
      </c>
      <c r="AH278" s="113">
        <v>0</v>
      </c>
      <c r="AI278" s="113">
        <v>0</v>
      </c>
      <c r="AJ278" s="113">
        <v>0</v>
      </c>
      <c r="AK278" s="113">
        <v>0</v>
      </c>
      <c r="AL278" s="113">
        <v>0</v>
      </c>
      <c r="AM278" s="113">
        <v>0</v>
      </c>
      <c r="AN278" s="113">
        <v>0</v>
      </c>
      <c r="AO278" s="113">
        <v>0</v>
      </c>
      <c r="AP278" s="113">
        <v>0</v>
      </c>
      <c r="AQ278" s="113">
        <v>0</v>
      </c>
      <c r="AR278" s="113">
        <v>0</v>
      </c>
      <c r="AS278" s="113">
        <v>0</v>
      </c>
      <c r="AT278" s="113">
        <v>0</v>
      </c>
      <c r="AU278" s="113">
        <v>0</v>
      </c>
      <c r="AV278" s="113">
        <v>0</v>
      </c>
      <c r="AW278" s="113">
        <v>0</v>
      </c>
      <c r="AX278" s="113">
        <v>0</v>
      </c>
      <c r="AY278" s="113">
        <v>1734</v>
      </c>
      <c r="AZ278" s="113">
        <v>22</v>
      </c>
      <c r="BA278" s="113">
        <v>0</v>
      </c>
      <c r="BB278" s="113">
        <v>0</v>
      </c>
      <c r="BC278" s="113">
        <v>0</v>
      </c>
      <c r="BD278" s="113">
        <v>0</v>
      </c>
      <c r="BF278" s="113">
        <f t="shared" si="16"/>
        <v>19400</v>
      </c>
      <c r="BG278" s="113">
        <f t="shared" si="17"/>
        <v>44</v>
      </c>
      <c r="BH278" s="113">
        <f t="shared" si="18"/>
        <v>0</v>
      </c>
      <c r="BI278" s="113">
        <f t="shared" si="19"/>
        <v>203</v>
      </c>
    </row>
    <row r="279" spans="1:61">
      <c r="A279" s="102" t="s">
        <v>388</v>
      </c>
      <c r="B279" s="24" t="s">
        <v>679</v>
      </c>
      <c r="C279" s="103" t="s">
        <v>389</v>
      </c>
      <c r="D279" s="113">
        <v>2328</v>
      </c>
      <c r="E279" s="113">
        <v>328418</v>
      </c>
      <c r="F279" s="113">
        <v>8586</v>
      </c>
      <c r="G279" s="113">
        <v>1723</v>
      </c>
      <c r="H279" s="113">
        <v>0</v>
      </c>
      <c r="I279" s="113">
        <v>0</v>
      </c>
      <c r="J279" s="113">
        <v>0</v>
      </c>
      <c r="K279" s="113">
        <v>84956</v>
      </c>
      <c r="L279" s="113">
        <v>891</v>
      </c>
      <c r="M279" s="113">
        <v>25505</v>
      </c>
      <c r="N279" s="113">
        <v>464</v>
      </c>
      <c r="O279" s="113">
        <v>0</v>
      </c>
      <c r="P279" s="113">
        <v>0</v>
      </c>
      <c r="Q279" s="113">
        <v>0</v>
      </c>
      <c r="R279" s="113">
        <v>0</v>
      </c>
      <c r="S279" s="113">
        <v>0</v>
      </c>
      <c r="T279" s="113">
        <v>0</v>
      </c>
      <c r="U279" s="113">
        <v>0</v>
      </c>
      <c r="V279" s="113">
        <v>0</v>
      </c>
      <c r="W279" s="113">
        <v>0</v>
      </c>
      <c r="X279" s="113">
        <v>0</v>
      </c>
      <c r="Y279" s="113">
        <v>0</v>
      </c>
      <c r="Z279" s="113">
        <v>0</v>
      </c>
      <c r="AA279" s="113">
        <v>0</v>
      </c>
      <c r="AB279" s="113">
        <v>0</v>
      </c>
      <c r="AC279" s="113">
        <v>0</v>
      </c>
      <c r="AD279" s="113">
        <v>142321</v>
      </c>
      <c r="AE279" s="113">
        <v>1482</v>
      </c>
      <c r="AF279" s="113">
        <v>600</v>
      </c>
      <c r="AG279" s="113">
        <v>0</v>
      </c>
      <c r="AH279" s="113">
        <v>0</v>
      </c>
      <c r="AI279" s="113">
        <v>0</v>
      </c>
      <c r="AJ279" s="113">
        <v>0</v>
      </c>
      <c r="AK279" s="113">
        <v>0</v>
      </c>
      <c r="AL279" s="113">
        <v>0</v>
      </c>
      <c r="AM279" s="113">
        <v>0</v>
      </c>
      <c r="AN279" s="113">
        <v>0</v>
      </c>
      <c r="AO279" s="113">
        <v>0</v>
      </c>
      <c r="AP279" s="113">
        <v>0</v>
      </c>
      <c r="AQ279" s="113">
        <v>0</v>
      </c>
      <c r="AR279" s="113">
        <v>0</v>
      </c>
      <c r="AS279" s="113">
        <v>0</v>
      </c>
      <c r="AT279" s="113">
        <v>0</v>
      </c>
      <c r="AU279" s="113">
        <v>0</v>
      </c>
      <c r="AV279" s="113">
        <v>0</v>
      </c>
      <c r="AW279" s="113">
        <v>0</v>
      </c>
      <c r="AX279" s="113">
        <v>0</v>
      </c>
      <c r="AY279" s="113">
        <v>0</v>
      </c>
      <c r="AZ279" s="113">
        <v>0</v>
      </c>
      <c r="BA279" s="113">
        <v>0</v>
      </c>
      <c r="BB279" s="113">
        <v>0</v>
      </c>
      <c r="BC279" s="113">
        <v>0</v>
      </c>
      <c r="BD279" s="113">
        <v>0</v>
      </c>
      <c r="BF279" s="113">
        <f t="shared" si="16"/>
        <v>555695</v>
      </c>
      <c r="BG279" s="113">
        <f t="shared" si="17"/>
        <v>10959</v>
      </c>
      <c r="BH279" s="113">
        <f t="shared" si="18"/>
        <v>25505</v>
      </c>
      <c r="BI279" s="113">
        <f t="shared" si="19"/>
        <v>5115</v>
      </c>
    </row>
    <row r="280" spans="1:61">
      <c r="A280" s="102" t="s">
        <v>390</v>
      </c>
      <c r="B280" s="24" t="s">
        <v>680</v>
      </c>
      <c r="C280" s="103" t="s">
        <v>16</v>
      </c>
      <c r="D280" s="113">
        <v>0</v>
      </c>
      <c r="E280" s="113">
        <v>19754</v>
      </c>
      <c r="F280" s="113">
        <v>518</v>
      </c>
      <c r="G280" s="113">
        <v>0</v>
      </c>
      <c r="H280" s="113">
        <v>0</v>
      </c>
      <c r="I280" s="113">
        <v>0</v>
      </c>
      <c r="J280" s="113">
        <v>0</v>
      </c>
      <c r="K280" s="113">
        <v>5146</v>
      </c>
      <c r="L280" s="113">
        <v>130</v>
      </c>
      <c r="M280" s="113">
        <v>0</v>
      </c>
      <c r="N280" s="113">
        <v>0</v>
      </c>
      <c r="O280" s="113">
        <v>0</v>
      </c>
      <c r="P280" s="113">
        <v>0</v>
      </c>
      <c r="Q280" s="113">
        <v>0</v>
      </c>
      <c r="R280" s="113">
        <v>0</v>
      </c>
      <c r="S280" s="113">
        <v>0</v>
      </c>
      <c r="T280" s="113">
        <v>0</v>
      </c>
      <c r="U280" s="113">
        <v>0</v>
      </c>
      <c r="V280" s="113">
        <v>0</v>
      </c>
      <c r="W280" s="113">
        <v>0</v>
      </c>
      <c r="X280" s="113">
        <v>0</v>
      </c>
      <c r="Y280" s="113">
        <v>0</v>
      </c>
      <c r="Z280" s="113">
        <v>0</v>
      </c>
      <c r="AA280" s="113">
        <v>0</v>
      </c>
      <c r="AB280" s="113">
        <v>0</v>
      </c>
      <c r="AC280" s="113">
        <v>0</v>
      </c>
      <c r="AD280" s="113">
        <v>0</v>
      </c>
      <c r="AE280" s="113">
        <v>0</v>
      </c>
      <c r="AF280" s="113">
        <v>0</v>
      </c>
      <c r="AG280" s="113">
        <v>0</v>
      </c>
      <c r="AH280" s="113">
        <v>0</v>
      </c>
      <c r="AI280" s="113">
        <v>0</v>
      </c>
      <c r="AJ280" s="113">
        <v>0</v>
      </c>
      <c r="AK280" s="113">
        <v>0</v>
      </c>
      <c r="AL280" s="113">
        <v>0</v>
      </c>
      <c r="AM280" s="113">
        <v>0</v>
      </c>
      <c r="AN280" s="113">
        <v>0</v>
      </c>
      <c r="AO280" s="113">
        <v>0</v>
      </c>
      <c r="AP280" s="113">
        <v>0</v>
      </c>
      <c r="AQ280" s="113">
        <v>0</v>
      </c>
      <c r="AR280" s="113">
        <v>0</v>
      </c>
      <c r="AS280" s="113">
        <v>0</v>
      </c>
      <c r="AT280" s="113">
        <v>0</v>
      </c>
      <c r="AU280" s="113">
        <v>0</v>
      </c>
      <c r="AV280" s="113">
        <v>0</v>
      </c>
      <c r="AW280" s="113">
        <v>0</v>
      </c>
      <c r="AX280" s="113">
        <v>0</v>
      </c>
      <c r="AY280" s="113">
        <v>4130</v>
      </c>
      <c r="AZ280" s="113">
        <v>195</v>
      </c>
      <c r="BA280" s="113">
        <v>0</v>
      </c>
      <c r="BB280" s="113">
        <v>0</v>
      </c>
      <c r="BC280" s="113">
        <v>0</v>
      </c>
      <c r="BD280" s="113">
        <v>0</v>
      </c>
      <c r="BF280" s="113">
        <f t="shared" si="16"/>
        <v>24900</v>
      </c>
      <c r="BG280" s="113">
        <f t="shared" si="17"/>
        <v>648</v>
      </c>
      <c r="BH280" s="113">
        <f t="shared" si="18"/>
        <v>0</v>
      </c>
      <c r="BI280" s="113">
        <f t="shared" si="19"/>
        <v>0</v>
      </c>
    </row>
    <row r="281" spans="1:61">
      <c r="A281" s="102" t="s">
        <v>391</v>
      </c>
      <c r="B281" s="24" t="s">
        <v>681</v>
      </c>
      <c r="C281" s="103" t="s">
        <v>16</v>
      </c>
      <c r="D281" s="113">
        <v>0</v>
      </c>
      <c r="E281" s="113">
        <v>21679</v>
      </c>
      <c r="F281" s="113">
        <v>389</v>
      </c>
      <c r="G281" s="113">
        <v>0</v>
      </c>
      <c r="H281" s="113">
        <v>0</v>
      </c>
      <c r="I281" s="113">
        <v>0</v>
      </c>
      <c r="J281" s="113">
        <v>0</v>
      </c>
      <c r="K281" s="113">
        <v>6317</v>
      </c>
      <c r="L281" s="113">
        <v>104</v>
      </c>
      <c r="M281" s="113">
        <v>0</v>
      </c>
      <c r="N281" s="113">
        <v>0</v>
      </c>
      <c r="O281" s="113">
        <v>0</v>
      </c>
      <c r="P281" s="113">
        <v>0</v>
      </c>
      <c r="Q281" s="113">
        <v>0</v>
      </c>
      <c r="R281" s="113">
        <v>0</v>
      </c>
      <c r="S281" s="113">
        <v>0</v>
      </c>
      <c r="T281" s="113">
        <v>0</v>
      </c>
      <c r="U281" s="113">
        <v>0</v>
      </c>
      <c r="V281" s="113">
        <v>0</v>
      </c>
      <c r="W281" s="113">
        <v>0</v>
      </c>
      <c r="X281" s="113">
        <v>0</v>
      </c>
      <c r="Y281" s="113">
        <v>0</v>
      </c>
      <c r="Z281" s="113">
        <v>0</v>
      </c>
      <c r="AA281" s="113">
        <v>0</v>
      </c>
      <c r="AB281" s="113">
        <v>0</v>
      </c>
      <c r="AC281" s="113">
        <v>0</v>
      </c>
      <c r="AD281" s="113">
        <v>0</v>
      </c>
      <c r="AE281" s="113">
        <v>0</v>
      </c>
      <c r="AF281" s="113">
        <v>0</v>
      </c>
      <c r="AG281" s="113">
        <v>0</v>
      </c>
      <c r="AH281" s="113">
        <v>0</v>
      </c>
      <c r="AI281" s="113">
        <v>0</v>
      </c>
      <c r="AJ281" s="113">
        <v>0</v>
      </c>
      <c r="AK281" s="113">
        <v>0</v>
      </c>
      <c r="AL281" s="113">
        <v>0</v>
      </c>
      <c r="AM281" s="113">
        <v>0</v>
      </c>
      <c r="AN281" s="113">
        <v>0</v>
      </c>
      <c r="AO281" s="113">
        <v>0</v>
      </c>
      <c r="AP281" s="113">
        <v>0</v>
      </c>
      <c r="AQ281" s="113">
        <v>0</v>
      </c>
      <c r="AR281" s="113">
        <v>0</v>
      </c>
      <c r="AS281" s="113">
        <v>0</v>
      </c>
      <c r="AT281" s="113">
        <v>0</v>
      </c>
      <c r="AU281" s="113">
        <v>0</v>
      </c>
      <c r="AV281" s="113">
        <v>0</v>
      </c>
      <c r="AW281" s="113">
        <v>0</v>
      </c>
      <c r="AX281" s="113">
        <v>0</v>
      </c>
      <c r="AY281" s="113">
        <v>3947</v>
      </c>
      <c r="AZ281" s="113">
        <v>65</v>
      </c>
      <c r="BA281" s="113">
        <v>0</v>
      </c>
      <c r="BB281" s="113">
        <v>513</v>
      </c>
      <c r="BC281" s="113">
        <v>8</v>
      </c>
      <c r="BD281" s="113">
        <v>0</v>
      </c>
      <c r="BF281" s="113">
        <f t="shared" si="16"/>
        <v>27996</v>
      </c>
      <c r="BG281" s="113">
        <f t="shared" si="17"/>
        <v>493</v>
      </c>
      <c r="BH281" s="113">
        <f t="shared" si="18"/>
        <v>0</v>
      </c>
      <c r="BI281" s="113">
        <f t="shared" si="19"/>
        <v>0</v>
      </c>
    </row>
    <row r="282" spans="1:61">
      <c r="A282" s="102" t="s">
        <v>392</v>
      </c>
      <c r="B282" s="24" t="s">
        <v>682</v>
      </c>
      <c r="C282" s="103" t="s">
        <v>249</v>
      </c>
      <c r="D282" s="113">
        <v>0</v>
      </c>
      <c r="E282" s="113">
        <v>22831</v>
      </c>
      <c r="F282" s="113">
        <v>458</v>
      </c>
      <c r="G282" s="113">
        <v>0</v>
      </c>
      <c r="H282" s="113">
        <v>0</v>
      </c>
      <c r="I282" s="113">
        <v>0</v>
      </c>
      <c r="J282" s="113">
        <v>0</v>
      </c>
      <c r="K282" s="113">
        <v>0</v>
      </c>
      <c r="L282" s="113">
        <v>0</v>
      </c>
      <c r="M282" s="113">
        <v>0</v>
      </c>
      <c r="N282" s="113">
        <v>0</v>
      </c>
      <c r="O282" s="113">
        <v>0</v>
      </c>
      <c r="P282" s="113">
        <v>0</v>
      </c>
      <c r="Q282" s="113">
        <v>0</v>
      </c>
      <c r="R282" s="113">
        <v>0</v>
      </c>
      <c r="S282" s="113">
        <v>0</v>
      </c>
      <c r="T282" s="113">
        <v>0</v>
      </c>
      <c r="U282" s="113">
        <v>0</v>
      </c>
      <c r="V282" s="113">
        <v>0</v>
      </c>
      <c r="W282" s="113">
        <v>0</v>
      </c>
      <c r="X282" s="113">
        <v>0</v>
      </c>
      <c r="Y282" s="113">
        <v>0</v>
      </c>
      <c r="Z282" s="113">
        <v>0</v>
      </c>
      <c r="AA282" s="113">
        <v>0</v>
      </c>
      <c r="AB282" s="113">
        <v>0</v>
      </c>
      <c r="AC282" s="113">
        <v>0</v>
      </c>
      <c r="AD282" s="113">
        <v>0</v>
      </c>
      <c r="AE282" s="113">
        <v>0</v>
      </c>
      <c r="AF282" s="113">
        <v>0</v>
      </c>
      <c r="AG282" s="113">
        <v>0</v>
      </c>
      <c r="AH282" s="113">
        <v>0</v>
      </c>
      <c r="AI282" s="113">
        <v>0</v>
      </c>
      <c r="AJ282" s="113">
        <v>0</v>
      </c>
      <c r="AK282" s="113">
        <v>0</v>
      </c>
      <c r="AL282" s="113">
        <v>0</v>
      </c>
      <c r="AM282" s="113">
        <v>0</v>
      </c>
      <c r="AN282" s="113">
        <v>0</v>
      </c>
      <c r="AO282" s="113">
        <v>0</v>
      </c>
      <c r="AP282" s="113">
        <v>0</v>
      </c>
      <c r="AQ282" s="113">
        <v>0</v>
      </c>
      <c r="AR282" s="113">
        <v>0</v>
      </c>
      <c r="AS282" s="113">
        <v>0</v>
      </c>
      <c r="AT282" s="113">
        <v>0</v>
      </c>
      <c r="AU282" s="113">
        <v>0</v>
      </c>
      <c r="AV282" s="113">
        <v>0</v>
      </c>
      <c r="AW282" s="113">
        <v>0</v>
      </c>
      <c r="AX282" s="113">
        <v>0</v>
      </c>
      <c r="AY282" s="113">
        <v>0</v>
      </c>
      <c r="AZ282" s="113">
        <v>0</v>
      </c>
      <c r="BA282" s="113">
        <v>0</v>
      </c>
      <c r="BB282" s="113">
        <v>0</v>
      </c>
      <c r="BC282" s="113">
        <v>0</v>
      </c>
      <c r="BD282" s="113">
        <v>0</v>
      </c>
      <c r="BF282" s="113">
        <f t="shared" si="16"/>
        <v>22831</v>
      </c>
      <c r="BG282" s="113">
        <f t="shared" si="17"/>
        <v>458</v>
      </c>
      <c r="BH282" s="113">
        <f t="shared" si="18"/>
        <v>0</v>
      </c>
      <c r="BI282" s="113">
        <f t="shared" si="19"/>
        <v>0</v>
      </c>
    </row>
    <row r="283" spans="1:61">
      <c r="A283" s="102" t="s">
        <v>393</v>
      </c>
      <c r="B283" s="24" t="s">
        <v>683</v>
      </c>
      <c r="C283" s="103" t="s">
        <v>394</v>
      </c>
      <c r="D283" s="113">
        <v>0</v>
      </c>
      <c r="E283" s="113">
        <v>189636</v>
      </c>
      <c r="F283" s="113">
        <v>2089</v>
      </c>
      <c r="G283" s="113">
        <v>0</v>
      </c>
      <c r="H283" s="113">
        <v>0</v>
      </c>
      <c r="I283" s="113">
        <v>0</v>
      </c>
      <c r="J283" s="113">
        <v>0</v>
      </c>
      <c r="K283" s="113">
        <v>52201</v>
      </c>
      <c r="L283" s="113">
        <v>575</v>
      </c>
      <c r="M283" s="113">
        <v>7752</v>
      </c>
      <c r="N283" s="113">
        <v>0</v>
      </c>
      <c r="O283" s="113">
        <v>0</v>
      </c>
      <c r="P283" s="113">
        <v>0</v>
      </c>
      <c r="Q283" s="113">
        <v>0</v>
      </c>
      <c r="R283" s="113">
        <v>0</v>
      </c>
      <c r="S283" s="113">
        <v>0</v>
      </c>
      <c r="T283" s="113">
        <v>0</v>
      </c>
      <c r="U283" s="113">
        <v>0</v>
      </c>
      <c r="V283" s="113">
        <v>0</v>
      </c>
      <c r="W283" s="113">
        <v>0</v>
      </c>
      <c r="X283" s="113">
        <v>0</v>
      </c>
      <c r="Y283" s="113">
        <v>0</v>
      </c>
      <c r="Z283" s="113">
        <v>0</v>
      </c>
      <c r="AA283" s="113">
        <v>0</v>
      </c>
      <c r="AB283" s="113">
        <v>0</v>
      </c>
      <c r="AC283" s="113">
        <v>0</v>
      </c>
      <c r="AD283" s="113">
        <v>116841</v>
      </c>
      <c r="AE283" s="113">
        <v>1253</v>
      </c>
      <c r="AF283" s="113">
        <v>0</v>
      </c>
      <c r="AG283" s="113">
        <v>0</v>
      </c>
      <c r="AH283" s="113">
        <v>0</v>
      </c>
      <c r="AI283" s="113">
        <v>0</v>
      </c>
      <c r="AJ283" s="113">
        <v>0</v>
      </c>
      <c r="AK283" s="113">
        <v>0</v>
      </c>
      <c r="AL283" s="113">
        <v>0</v>
      </c>
      <c r="AM283" s="113">
        <v>0</v>
      </c>
      <c r="AN283" s="113">
        <v>0</v>
      </c>
      <c r="AO283" s="113">
        <v>0</v>
      </c>
      <c r="AP283" s="113">
        <v>0</v>
      </c>
      <c r="AQ283" s="113">
        <v>0</v>
      </c>
      <c r="AR283" s="113">
        <v>0</v>
      </c>
      <c r="AS283" s="113">
        <v>0</v>
      </c>
      <c r="AT283" s="113">
        <v>0</v>
      </c>
      <c r="AU283" s="113">
        <v>0</v>
      </c>
      <c r="AV283" s="113">
        <v>0</v>
      </c>
      <c r="AW283" s="113">
        <v>0</v>
      </c>
      <c r="AX283" s="113">
        <v>0</v>
      </c>
      <c r="AY283" s="113">
        <v>0</v>
      </c>
      <c r="AZ283" s="113">
        <v>0</v>
      </c>
      <c r="BA283" s="113">
        <v>0</v>
      </c>
      <c r="BB283" s="113">
        <v>0</v>
      </c>
      <c r="BC283" s="113">
        <v>0</v>
      </c>
      <c r="BD283" s="113">
        <v>0</v>
      </c>
      <c r="BF283" s="113">
        <f t="shared" si="16"/>
        <v>358678</v>
      </c>
      <c r="BG283" s="113">
        <f t="shared" si="17"/>
        <v>3917</v>
      </c>
      <c r="BH283" s="113">
        <f t="shared" si="18"/>
        <v>7752</v>
      </c>
      <c r="BI283" s="113">
        <f t="shared" si="19"/>
        <v>0</v>
      </c>
    </row>
    <row r="284" spans="1:61">
      <c r="A284" s="102" t="s">
        <v>395</v>
      </c>
      <c r="B284" s="24" t="s">
        <v>684</v>
      </c>
      <c r="C284" s="103" t="s">
        <v>290</v>
      </c>
      <c r="D284" s="113">
        <v>0</v>
      </c>
      <c r="E284" s="113">
        <v>38035</v>
      </c>
      <c r="F284" s="113">
        <v>737</v>
      </c>
      <c r="G284" s="113">
        <v>0</v>
      </c>
      <c r="H284" s="113">
        <v>0</v>
      </c>
      <c r="I284" s="113">
        <v>0</v>
      </c>
      <c r="J284" s="113">
        <v>0</v>
      </c>
      <c r="K284" s="113">
        <v>8420</v>
      </c>
      <c r="L284" s="113">
        <v>161</v>
      </c>
      <c r="M284" s="113">
        <v>0</v>
      </c>
      <c r="N284" s="113">
        <v>0</v>
      </c>
      <c r="O284" s="113">
        <v>0</v>
      </c>
      <c r="P284" s="113">
        <v>0</v>
      </c>
      <c r="Q284" s="113">
        <v>0</v>
      </c>
      <c r="R284" s="113">
        <v>0</v>
      </c>
      <c r="S284" s="113">
        <v>0</v>
      </c>
      <c r="T284" s="113">
        <v>0</v>
      </c>
      <c r="U284" s="113">
        <v>0</v>
      </c>
      <c r="V284" s="113">
        <v>0</v>
      </c>
      <c r="W284" s="113">
        <v>0</v>
      </c>
      <c r="X284" s="113">
        <v>0</v>
      </c>
      <c r="Y284" s="113">
        <v>0</v>
      </c>
      <c r="Z284" s="113">
        <v>0</v>
      </c>
      <c r="AA284" s="113">
        <v>0</v>
      </c>
      <c r="AB284" s="113">
        <v>0</v>
      </c>
      <c r="AC284" s="113">
        <v>0</v>
      </c>
      <c r="AD284" s="113">
        <v>21447</v>
      </c>
      <c r="AE284" s="113">
        <v>424</v>
      </c>
      <c r="AF284" s="113">
        <v>0</v>
      </c>
      <c r="AG284" s="113">
        <v>0</v>
      </c>
      <c r="AH284" s="113">
        <v>0</v>
      </c>
      <c r="AI284" s="113">
        <v>0</v>
      </c>
      <c r="AJ284" s="113">
        <v>0</v>
      </c>
      <c r="AK284" s="113">
        <v>0</v>
      </c>
      <c r="AL284" s="113">
        <v>0</v>
      </c>
      <c r="AM284" s="113">
        <v>0</v>
      </c>
      <c r="AN284" s="113">
        <v>0</v>
      </c>
      <c r="AO284" s="113">
        <v>0</v>
      </c>
      <c r="AP284" s="113">
        <v>0</v>
      </c>
      <c r="AQ284" s="113">
        <v>0</v>
      </c>
      <c r="AR284" s="113">
        <v>0</v>
      </c>
      <c r="AS284" s="113">
        <v>0</v>
      </c>
      <c r="AT284" s="113">
        <v>0</v>
      </c>
      <c r="AU284" s="113">
        <v>0</v>
      </c>
      <c r="AV284" s="113">
        <v>0</v>
      </c>
      <c r="AW284" s="113">
        <v>0</v>
      </c>
      <c r="AX284" s="113">
        <v>0</v>
      </c>
      <c r="AY284" s="113">
        <v>0</v>
      </c>
      <c r="AZ284" s="113">
        <v>0</v>
      </c>
      <c r="BA284" s="113">
        <v>0</v>
      </c>
      <c r="BB284" s="113">
        <v>0</v>
      </c>
      <c r="BC284" s="113">
        <v>0</v>
      </c>
      <c r="BD284" s="113">
        <v>0</v>
      </c>
      <c r="BF284" s="113">
        <f t="shared" si="16"/>
        <v>67902</v>
      </c>
      <c r="BG284" s="113">
        <f t="shared" si="17"/>
        <v>1322</v>
      </c>
      <c r="BH284" s="113">
        <f t="shared" si="18"/>
        <v>0</v>
      </c>
      <c r="BI284" s="113">
        <f t="shared" si="19"/>
        <v>0</v>
      </c>
    </row>
    <row r="285" spans="1:61">
      <c r="A285" s="102" t="s">
        <v>396</v>
      </c>
      <c r="B285" s="24" t="s">
        <v>685</v>
      </c>
      <c r="C285" s="103" t="s">
        <v>382</v>
      </c>
      <c r="D285" s="113">
        <v>0</v>
      </c>
      <c r="E285" s="113">
        <v>32138</v>
      </c>
      <c r="F285" s="113">
        <v>560</v>
      </c>
      <c r="G285" s="113">
        <v>0</v>
      </c>
      <c r="H285" s="113">
        <v>0</v>
      </c>
      <c r="I285" s="113">
        <v>0</v>
      </c>
      <c r="J285" s="113">
        <v>0</v>
      </c>
      <c r="K285" s="113">
        <v>8444</v>
      </c>
      <c r="L285" s="113">
        <v>143</v>
      </c>
      <c r="M285" s="113">
        <v>4779</v>
      </c>
      <c r="N285" s="113">
        <v>0</v>
      </c>
      <c r="O285" s="113">
        <v>0</v>
      </c>
      <c r="P285" s="113">
        <v>0</v>
      </c>
      <c r="Q285" s="113">
        <v>0</v>
      </c>
      <c r="R285" s="113">
        <v>0</v>
      </c>
      <c r="S285" s="113">
        <v>0</v>
      </c>
      <c r="T285" s="113">
        <v>0</v>
      </c>
      <c r="U285" s="113">
        <v>0</v>
      </c>
      <c r="V285" s="113">
        <v>0</v>
      </c>
      <c r="W285" s="113">
        <v>0</v>
      </c>
      <c r="X285" s="113">
        <v>0</v>
      </c>
      <c r="Y285" s="113">
        <v>0</v>
      </c>
      <c r="Z285" s="113">
        <v>0</v>
      </c>
      <c r="AA285" s="113">
        <v>0</v>
      </c>
      <c r="AB285" s="113">
        <v>0</v>
      </c>
      <c r="AC285" s="113">
        <v>0</v>
      </c>
      <c r="AD285" s="113">
        <v>0</v>
      </c>
      <c r="AE285" s="113">
        <v>0</v>
      </c>
      <c r="AF285" s="113">
        <v>0</v>
      </c>
      <c r="AG285" s="113">
        <v>0</v>
      </c>
      <c r="AH285" s="113">
        <v>0</v>
      </c>
      <c r="AI285" s="113">
        <v>0</v>
      </c>
      <c r="AJ285" s="113">
        <v>0</v>
      </c>
      <c r="AK285" s="113">
        <v>0</v>
      </c>
      <c r="AL285" s="113">
        <v>0</v>
      </c>
      <c r="AM285" s="113">
        <v>0</v>
      </c>
      <c r="AN285" s="113">
        <v>0</v>
      </c>
      <c r="AO285" s="113">
        <v>0</v>
      </c>
      <c r="AP285" s="113">
        <v>0</v>
      </c>
      <c r="AQ285" s="113">
        <v>0</v>
      </c>
      <c r="AR285" s="113">
        <v>0</v>
      </c>
      <c r="AS285" s="113">
        <v>0</v>
      </c>
      <c r="AT285" s="113">
        <v>0</v>
      </c>
      <c r="AU285" s="113">
        <v>0</v>
      </c>
      <c r="AV285" s="113">
        <v>0</v>
      </c>
      <c r="AW285" s="113">
        <v>0</v>
      </c>
      <c r="AX285" s="113">
        <v>0</v>
      </c>
      <c r="AY285" s="113">
        <v>2110</v>
      </c>
      <c r="AZ285" s="113">
        <v>36</v>
      </c>
      <c r="BA285" s="113">
        <v>0</v>
      </c>
      <c r="BB285" s="113">
        <v>0</v>
      </c>
      <c r="BC285" s="113">
        <v>0</v>
      </c>
      <c r="BD285" s="113">
        <v>0</v>
      </c>
      <c r="BF285" s="113">
        <f t="shared" si="16"/>
        <v>40582</v>
      </c>
      <c r="BG285" s="113">
        <f t="shared" si="17"/>
        <v>703</v>
      </c>
      <c r="BH285" s="113">
        <f t="shared" si="18"/>
        <v>4779</v>
      </c>
      <c r="BI285" s="113">
        <f t="shared" si="19"/>
        <v>0</v>
      </c>
    </row>
    <row r="286" spans="1:61">
      <c r="A286" s="102" t="s">
        <v>397</v>
      </c>
      <c r="B286" s="24" t="s">
        <v>686</v>
      </c>
      <c r="C286" s="103" t="s">
        <v>394</v>
      </c>
      <c r="D286" s="113">
        <v>0</v>
      </c>
      <c r="E286" s="113">
        <v>14686</v>
      </c>
      <c r="F286" s="113">
        <v>339</v>
      </c>
      <c r="G286" s="113">
        <v>0</v>
      </c>
      <c r="H286" s="113">
        <v>0</v>
      </c>
      <c r="I286" s="113">
        <v>0</v>
      </c>
      <c r="J286" s="113">
        <v>0</v>
      </c>
      <c r="K286" s="113">
        <v>17280</v>
      </c>
      <c r="L286" s="113">
        <v>289</v>
      </c>
      <c r="M286" s="113">
        <v>0</v>
      </c>
      <c r="N286" s="113">
        <v>0</v>
      </c>
      <c r="O286" s="113">
        <v>0</v>
      </c>
      <c r="P286" s="113">
        <v>0</v>
      </c>
      <c r="Q286" s="113">
        <v>0</v>
      </c>
      <c r="R286" s="113">
        <v>0</v>
      </c>
      <c r="S286" s="113">
        <v>0</v>
      </c>
      <c r="T286" s="113">
        <v>0</v>
      </c>
      <c r="U286" s="113">
        <v>0</v>
      </c>
      <c r="V286" s="113">
        <v>0</v>
      </c>
      <c r="W286" s="113">
        <v>0</v>
      </c>
      <c r="X286" s="113">
        <v>0</v>
      </c>
      <c r="Y286" s="113">
        <v>0</v>
      </c>
      <c r="Z286" s="113">
        <v>0</v>
      </c>
      <c r="AA286" s="113">
        <v>0</v>
      </c>
      <c r="AB286" s="113">
        <v>0</v>
      </c>
      <c r="AC286" s="113">
        <v>0</v>
      </c>
      <c r="AD286" s="113">
        <v>29257</v>
      </c>
      <c r="AE286" s="113">
        <v>643</v>
      </c>
      <c r="AF286" s="113">
        <v>0</v>
      </c>
      <c r="AG286" s="113">
        <v>0</v>
      </c>
      <c r="AH286" s="113">
        <v>0</v>
      </c>
      <c r="AI286" s="113">
        <v>0</v>
      </c>
      <c r="AJ286" s="113">
        <v>0</v>
      </c>
      <c r="AK286" s="113">
        <v>0</v>
      </c>
      <c r="AL286" s="113">
        <v>0</v>
      </c>
      <c r="AM286" s="113">
        <v>0</v>
      </c>
      <c r="AN286" s="113">
        <v>0</v>
      </c>
      <c r="AO286" s="113">
        <v>0</v>
      </c>
      <c r="AP286" s="113">
        <v>0</v>
      </c>
      <c r="AQ286" s="113">
        <v>0</v>
      </c>
      <c r="AR286" s="113">
        <v>0</v>
      </c>
      <c r="AS286" s="113">
        <v>0</v>
      </c>
      <c r="AT286" s="113">
        <v>0</v>
      </c>
      <c r="AU286" s="113">
        <v>0</v>
      </c>
      <c r="AV286" s="113">
        <v>0</v>
      </c>
      <c r="AW286" s="113">
        <v>0</v>
      </c>
      <c r="AX286" s="113">
        <v>0</v>
      </c>
      <c r="AY286" s="113">
        <v>6476</v>
      </c>
      <c r="AZ286" s="113">
        <v>143</v>
      </c>
      <c r="BA286" s="113">
        <v>0</v>
      </c>
      <c r="BB286" s="113">
        <v>0</v>
      </c>
      <c r="BC286" s="113">
        <v>0</v>
      </c>
      <c r="BD286" s="113">
        <v>0</v>
      </c>
      <c r="BF286" s="113">
        <f t="shared" si="16"/>
        <v>61223</v>
      </c>
      <c r="BG286" s="113">
        <f t="shared" si="17"/>
        <v>1271</v>
      </c>
      <c r="BH286" s="113">
        <f t="shared" si="18"/>
        <v>0</v>
      </c>
      <c r="BI286" s="113">
        <f t="shared" si="19"/>
        <v>0</v>
      </c>
    </row>
    <row r="287" spans="1:61">
      <c r="A287" s="102" t="s">
        <v>398</v>
      </c>
      <c r="B287" s="24" t="s">
        <v>687</v>
      </c>
      <c r="C287" s="103" t="s">
        <v>282</v>
      </c>
      <c r="D287" s="113">
        <v>664</v>
      </c>
      <c r="E287" s="113">
        <v>94383</v>
      </c>
      <c r="F287" s="113">
        <v>1717</v>
      </c>
      <c r="G287" s="113">
        <v>135</v>
      </c>
      <c r="H287" s="113">
        <v>0</v>
      </c>
      <c r="I287" s="113">
        <v>0</v>
      </c>
      <c r="J287" s="113">
        <v>0</v>
      </c>
      <c r="K287" s="113">
        <v>19715</v>
      </c>
      <c r="L287" s="113">
        <v>357</v>
      </c>
      <c r="M287" s="113">
        <v>0</v>
      </c>
      <c r="N287" s="113">
        <v>24</v>
      </c>
      <c r="O287" s="113">
        <v>0</v>
      </c>
      <c r="P287" s="113">
        <v>0</v>
      </c>
      <c r="Q287" s="113">
        <v>0</v>
      </c>
      <c r="R287" s="113">
        <v>0</v>
      </c>
      <c r="S287" s="113">
        <v>0</v>
      </c>
      <c r="T287" s="113">
        <v>0</v>
      </c>
      <c r="U287" s="113">
        <v>0</v>
      </c>
      <c r="V287" s="113">
        <v>0</v>
      </c>
      <c r="W287" s="113">
        <v>0</v>
      </c>
      <c r="X287" s="113">
        <v>0</v>
      </c>
      <c r="Y287" s="113">
        <v>0</v>
      </c>
      <c r="Z287" s="113">
        <v>0</v>
      </c>
      <c r="AA287" s="113">
        <v>0</v>
      </c>
      <c r="AB287" s="113">
        <v>0</v>
      </c>
      <c r="AC287" s="113">
        <v>0</v>
      </c>
      <c r="AD287" s="113">
        <v>0</v>
      </c>
      <c r="AE287" s="113">
        <v>0</v>
      </c>
      <c r="AF287" s="113">
        <v>0</v>
      </c>
      <c r="AG287" s="113">
        <v>0</v>
      </c>
      <c r="AH287" s="113">
        <v>0</v>
      </c>
      <c r="AI287" s="113">
        <v>0</v>
      </c>
      <c r="AJ287" s="113">
        <v>0</v>
      </c>
      <c r="AK287" s="113">
        <v>0</v>
      </c>
      <c r="AL287" s="113">
        <v>0</v>
      </c>
      <c r="AM287" s="113">
        <v>0</v>
      </c>
      <c r="AN287" s="113">
        <v>0</v>
      </c>
      <c r="AO287" s="113">
        <v>0</v>
      </c>
      <c r="AP287" s="113">
        <v>0</v>
      </c>
      <c r="AQ287" s="113">
        <v>0</v>
      </c>
      <c r="AR287" s="113">
        <v>0</v>
      </c>
      <c r="AS287" s="113">
        <v>0</v>
      </c>
      <c r="AT287" s="113">
        <v>0</v>
      </c>
      <c r="AU287" s="113">
        <v>0</v>
      </c>
      <c r="AV287" s="113">
        <v>0</v>
      </c>
      <c r="AW287" s="113">
        <v>0</v>
      </c>
      <c r="AX287" s="113">
        <v>0</v>
      </c>
      <c r="AY287" s="113">
        <v>5952</v>
      </c>
      <c r="AZ287" s="113">
        <v>110</v>
      </c>
      <c r="BA287" s="113">
        <v>9</v>
      </c>
      <c r="BB287" s="113">
        <v>0</v>
      </c>
      <c r="BC287" s="113">
        <v>0</v>
      </c>
      <c r="BD287" s="113">
        <v>0</v>
      </c>
      <c r="BF287" s="113">
        <f t="shared" si="16"/>
        <v>114098</v>
      </c>
      <c r="BG287" s="113">
        <f t="shared" si="17"/>
        <v>2074</v>
      </c>
      <c r="BH287" s="113">
        <f t="shared" si="18"/>
        <v>0</v>
      </c>
      <c r="BI287" s="113">
        <f t="shared" si="19"/>
        <v>823</v>
      </c>
    </row>
    <row r="288" spans="1:61">
      <c r="A288" s="102" t="s">
        <v>399</v>
      </c>
      <c r="B288" s="24" t="s">
        <v>688</v>
      </c>
      <c r="C288" s="103" t="s">
        <v>34</v>
      </c>
      <c r="D288" s="113">
        <v>284</v>
      </c>
      <c r="E288" s="113">
        <v>10095</v>
      </c>
      <c r="F288" s="113">
        <v>114</v>
      </c>
      <c r="G288" s="113">
        <v>177</v>
      </c>
      <c r="H288" s="113">
        <v>0</v>
      </c>
      <c r="I288" s="113">
        <v>0</v>
      </c>
      <c r="J288" s="113">
        <v>0</v>
      </c>
      <c r="K288" s="113">
        <v>0</v>
      </c>
      <c r="L288" s="113">
        <v>0</v>
      </c>
      <c r="M288" s="113">
        <v>0</v>
      </c>
      <c r="N288" s="113">
        <v>0</v>
      </c>
      <c r="O288" s="113">
        <v>0</v>
      </c>
      <c r="P288" s="113">
        <v>0</v>
      </c>
      <c r="Q288" s="113">
        <v>0</v>
      </c>
      <c r="R288" s="113">
        <v>0</v>
      </c>
      <c r="S288" s="113">
        <v>0</v>
      </c>
      <c r="T288" s="113">
        <v>0</v>
      </c>
      <c r="U288" s="113">
        <v>0</v>
      </c>
      <c r="V288" s="113">
        <v>0</v>
      </c>
      <c r="W288" s="113">
        <v>0</v>
      </c>
      <c r="X288" s="113">
        <v>0</v>
      </c>
      <c r="Y288" s="113">
        <v>0</v>
      </c>
      <c r="Z288" s="113">
        <v>0</v>
      </c>
      <c r="AA288" s="113">
        <v>0</v>
      </c>
      <c r="AB288" s="113">
        <v>0</v>
      </c>
      <c r="AC288" s="113">
        <v>0</v>
      </c>
      <c r="AD288" s="113">
        <v>6122</v>
      </c>
      <c r="AE288" s="113">
        <v>69</v>
      </c>
      <c r="AF288" s="113">
        <v>108</v>
      </c>
      <c r="AG288" s="113">
        <v>0</v>
      </c>
      <c r="AH288" s="113">
        <v>0</v>
      </c>
      <c r="AI288" s="113">
        <v>0</v>
      </c>
      <c r="AJ288" s="113">
        <v>0</v>
      </c>
      <c r="AK288" s="113">
        <v>0</v>
      </c>
      <c r="AL288" s="113">
        <v>0</v>
      </c>
      <c r="AM288" s="113">
        <v>0</v>
      </c>
      <c r="AN288" s="113">
        <v>0</v>
      </c>
      <c r="AO288" s="113">
        <v>0</v>
      </c>
      <c r="AP288" s="113">
        <v>0</v>
      </c>
      <c r="AQ288" s="113">
        <v>0</v>
      </c>
      <c r="AR288" s="113">
        <v>0</v>
      </c>
      <c r="AS288" s="113">
        <v>0</v>
      </c>
      <c r="AT288" s="113">
        <v>0</v>
      </c>
      <c r="AU288" s="113">
        <v>0</v>
      </c>
      <c r="AV288" s="113">
        <v>0</v>
      </c>
      <c r="AW288" s="113">
        <v>0</v>
      </c>
      <c r="AX288" s="113">
        <v>0</v>
      </c>
      <c r="AY288" s="113">
        <v>814</v>
      </c>
      <c r="AZ288" s="113">
        <v>10</v>
      </c>
      <c r="BA288" s="113">
        <v>2</v>
      </c>
      <c r="BB288" s="113">
        <v>0</v>
      </c>
      <c r="BC288" s="113">
        <v>0</v>
      </c>
      <c r="BD288" s="113">
        <v>0</v>
      </c>
      <c r="BF288" s="113">
        <f t="shared" si="16"/>
        <v>16217</v>
      </c>
      <c r="BG288" s="113">
        <f t="shared" si="17"/>
        <v>183</v>
      </c>
      <c r="BH288" s="113">
        <f t="shared" si="18"/>
        <v>0</v>
      </c>
      <c r="BI288" s="113">
        <f t="shared" si="19"/>
        <v>569</v>
      </c>
    </row>
    <row r="289" spans="1:61">
      <c r="A289" s="102" t="s">
        <v>400</v>
      </c>
      <c r="B289" s="24" t="s">
        <v>689</v>
      </c>
      <c r="C289" s="103" t="s">
        <v>290</v>
      </c>
      <c r="D289" s="113">
        <v>0</v>
      </c>
      <c r="E289" s="113">
        <v>45740</v>
      </c>
      <c r="F289" s="113">
        <v>1241</v>
      </c>
      <c r="G289" s="113">
        <v>0</v>
      </c>
      <c r="H289" s="113">
        <v>0</v>
      </c>
      <c r="I289" s="113">
        <v>0</v>
      </c>
      <c r="J289" s="113">
        <v>0</v>
      </c>
      <c r="K289" s="113">
        <v>0</v>
      </c>
      <c r="L289" s="113">
        <v>0</v>
      </c>
      <c r="M289" s="113">
        <v>0</v>
      </c>
      <c r="N289" s="113">
        <v>0</v>
      </c>
      <c r="O289" s="113">
        <v>0</v>
      </c>
      <c r="P289" s="113">
        <v>0</v>
      </c>
      <c r="Q289" s="113">
        <v>0</v>
      </c>
      <c r="R289" s="113">
        <v>0</v>
      </c>
      <c r="S289" s="113">
        <v>0</v>
      </c>
      <c r="T289" s="113">
        <v>0</v>
      </c>
      <c r="U289" s="113">
        <v>0</v>
      </c>
      <c r="V289" s="113">
        <v>0</v>
      </c>
      <c r="W289" s="113">
        <v>0</v>
      </c>
      <c r="X289" s="113">
        <v>0</v>
      </c>
      <c r="Y289" s="113">
        <v>0</v>
      </c>
      <c r="Z289" s="113">
        <v>0</v>
      </c>
      <c r="AA289" s="113">
        <v>0</v>
      </c>
      <c r="AB289" s="113">
        <v>0</v>
      </c>
      <c r="AC289" s="113">
        <v>0</v>
      </c>
      <c r="AD289" s="113">
        <v>0</v>
      </c>
      <c r="AE289" s="113">
        <v>0</v>
      </c>
      <c r="AF289" s="113">
        <v>0</v>
      </c>
      <c r="AG289" s="113">
        <v>0</v>
      </c>
      <c r="AH289" s="113">
        <v>0</v>
      </c>
      <c r="AI289" s="113">
        <v>0</v>
      </c>
      <c r="AJ289" s="113">
        <v>0</v>
      </c>
      <c r="AK289" s="113">
        <v>0</v>
      </c>
      <c r="AL289" s="113">
        <v>0</v>
      </c>
      <c r="AM289" s="113">
        <v>0</v>
      </c>
      <c r="AN289" s="113">
        <v>0</v>
      </c>
      <c r="AO289" s="113">
        <v>0</v>
      </c>
      <c r="AP289" s="113">
        <v>0</v>
      </c>
      <c r="AQ289" s="113">
        <v>0</v>
      </c>
      <c r="AR289" s="113">
        <v>0</v>
      </c>
      <c r="AS289" s="113">
        <v>0</v>
      </c>
      <c r="AT289" s="113">
        <v>0</v>
      </c>
      <c r="AU289" s="113">
        <v>0</v>
      </c>
      <c r="AV289" s="113">
        <v>0</v>
      </c>
      <c r="AW289" s="113">
        <v>0</v>
      </c>
      <c r="AX289" s="113">
        <v>0</v>
      </c>
      <c r="AY289" s="113">
        <v>7860</v>
      </c>
      <c r="AZ289" s="113">
        <v>219</v>
      </c>
      <c r="BA289" s="113">
        <v>0</v>
      </c>
      <c r="BB289" s="113">
        <v>0</v>
      </c>
      <c r="BC289" s="113">
        <v>0</v>
      </c>
      <c r="BD289" s="113">
        <v>0</v>
      </c>
      <c r="BF289" s="113">
        <f t="shared" si="16"/>
        <v>45740</v>
      </c>
      <c r="BG289" s="113">
        <f t="shared" si="17"/>
        <v>1241</v>
      </c>
      <c r="BH289" s="113">
        <f t="shared" si="18"/>
        <v>0</v>
      </c>
      <c r="BI289" s="113">
        <f t="shared" si="19"/>
        <v>0</v>
      </c>
    </row>
    <row r="290" spans="1:61">
      <c r="A290" s="102" t="s">
        <v>401</v>
      </c>
      <c r="B290" s="24" t="s">
        <v>690</v>
      </c>
      <c r="C290" s="103" t="s">
        <v>247</v>
      </c>
      <c r="D290" s="113">
        <v>0</v>
      </c>
      <c r="E290" s="113">
        <v>45531</v>
      </c>
      <c r="F290" s="113">
        <v>788</v>
      </c>
      <c r="G290" s="113">
        <v>0</v>
      </c>
      <c r="H290" s="113">
        <v>0</v>
      </c>
      <c r="I290" s="113">
        <v>0</v>
      </c>
      <c r="J290" s="113">
        <v>0</v>
      </c>
      <c r="K290" s="113">
        <v>3753</v>
      </c>
      <c r="L290" s="113">
        <v>58</v>
      </c>
      <c r="M290" s="113">
        <v>0</v>
      </c>
      <c r="N290" s="113">
        <v>0</v>
      </c>
      <c r="O290" s="113">
        <v>0</v>
      </c>
      <c r="P290" s="113">
        <v>0</v>
      </c>
      <c r="Q290" s="113">
        <v>0</v>
      </c>
      <c r="R290" s="113">
        <v>0</v>
      </c>
      <c r="S290" s="113">
        <v>0</v>
      </c>
      <c r="T290" s="113">
        <v>0</v>
      </c>
      <c r="U290" s="113">
        <v>0</v>
      </c>
      <c r="V290" s="113">
        <v>0</v>
      </c>
      <c r="W290" s="113">
        <v>0</v>
      </c>
      <c r="X290" s="113">
        <v>0</v>
      </c>
      <c r="Y290" s="113">
        <v>0</v>
      </c>
      <c r="Z290" s="113">
        <v>0</v>
      </c>
      <c r="AA290" s="113">
        <v>0</v>
      </c>
      <c r="AB290" s="113">
        <v>0</v>
      </c>
      <c r="AC290" s="113">
        <v>0</v>
      </c>
      <c r="AD290" s="113">
        <v>19152</v>
      </c>
      <c r="AE290" s="113">
        <v>5691</v>
      </c>
      <c r="AF290" s="113">
        <v>0</v>
      </c>
      <c r="AG290" s="113">
        <v>0</v>
      </c>
      <c r="AH290" s="113">
        <v>0</v>
      </c>
      <c r="AI290" s="113">
        <v>0</v>
      </c>
      <c r="AJ290" s="113">
        <v>0</v>
      </c>
      <c r="AK290" s="113">
        <v>0</v>
      </c>
      <c r="AL290" s="113">
        <v>0</v>
      </c>
      <c r="AM290" s="113">
        <v>0</v>
      </c>
      <c r="AN290" s="113">
        <v>0</v>
      </c>
      <c r="AO290" s="113">
        <v>0</v>
      </c>
      <c r="AP290" s="113">
        <v>0</v>
      </c>
      <c r="AQ290" s="113">
        <v>0</v>
      </c>
      <c r="AR290" s="113">
        <v>0</v>
      </c>
      <c r="AS290" s="113">
        <v>0</v>
      </c>
      <c r="AT290" s="113">
        <v>0</v>
      </c>
      <c r="AU290" s="113">
        <v>0</v>
      </c>
      <c r="AV290" s="113">
        <v>0</v>
      </c>
      <c r="AW290" s="113">
        <v>0</v>
      </c>
      <c r="AX290" s="113">
        <v>0</v>
      </c>
      <c r="AY290" s="113">
        <v>0</v>
      </c>
      <c r="AZ290" s="113">
        <v>0</v>
      </c>
      <c r="BA290" s="113">
        <v>0</v>
      </c>
      <c r="BB290" s="113">
        <v>0</v>
      </c>
      <c r="BC290" s="113">
        <v>0</v>
      </c>
      <c r="BD290" s="113">
        <v>0</v>
      </c>
      <c r="BF290" s="113">
        <f t="shared" si="16"/>
        <v>68436</v>
      </c>
      <c r="BG290" s="113">
        <f t="shared" si="17"/>
        <v>6537</v>
      </c>
      <c r="BH290" s="113">
        <f t="shared" si="18"/>
        <v>0</v>
      </c>
      <c r="BI290" s="113">
        <f t="shared" si="19"/>
        <v>0</v>
      </c>
    </row>
    <row r="291" spans="1:61">
      <c r="A291" s="102" t="s">
        <v>402</v>
      </c>
      <c r="B291" s="24" t="s">
        <v>691</v>
      </c>
      <c r="C291" s="103" t="s">
        <v>284</v>
      </c>
      <c r="D291" s="113">
        <v>0</v>
      </c>
      <c r="E291" s="113">
        <v>520899</v>
      </c>
      <c r="F291" s="113">
        <v>7649</v>
      </c>
      <c r="G291" s="113">
        <v>0</v>
      </c>
      <c r="H291" s="113">
        <v>0</v>
      </c>
      <c r="I291" s="113">
        <v>0</v>
      </c>
      <c r="J291" s="113">
        <v>0</v>
      </c>
      <c r="K291" s="113">
        <v>217671</v>
      </c>
      <c r="L291" s="113">
        <v>3195</v>
      </c>
      <c r="M291" s="113">
        <v>0</v>
      </c>
      <c r="N291" s="113">
        <v>0</v>
      </c>
      <c r="O291" s="113">
        <v>59234</v>
      </c>
      <c r="P291" s="113">
        <v>869</v>
      </c>
      <c r="Q291" s="113">
        <v>0</v>
      </c>
      <c r="R291" s="113">
        <v>0</v>
      </c>
      <c r="S291" s="113">
        <v>0</v>
      </c>
      <c r="T291" s="113">
        <v>0</v>
      </c>
      <c r="U291" s="113">
        <v>0</v>
      </c>
      <c r="V291" s="113">
        <v>0</v>
      </c>
      <c r="W291" s="113">
        <v>0</v>
      </c>
      <c r="X291" s="113">
        <v>0</v>
      </c>
      <c r="Y291" s="113">
        <v>0</v>
      </c>
      <c r="Z291" s="113">
        <v>0</v>
      </c>
      <c r="AA291" s="113">
        <v>0</v>
      </c>
      <c r="AB291" s="113">
        <v>0</v>
      </c>
      <c r="AC291" s="113">
        <v>0</v>
      </c>
      <c r="AD291" s="113">
        <v>87725</v>
      </c>
      <c r="AE291" s="113">
        <v>1288</v>
      </c>
      <c r="AF291" s="113">
        <v>0</v>
      </c>
      <c r="AG291" s="113">
        <v>0</v>
      </c>
      <c r="AH291" s="113">
        <v>0</v>
      </c>
      <c r="AI291" s="113">
        <v>0</v>
      </c>
      <c r="AJ291" s="113">
        <v>13251</v>
      </c>
      <c r="AK291" s="113">
        <v>195</v>
      </c>
      <c r="AL291" s="113">
        <v>0</v>
      </c>
      <c r="AM291" s="113">
        <v>0</v>
      </c>
      <c r="AN291" s="113">
        <v>0</v>
      </c>
      <c r="AO291" s="113">
        <v>0</v>
      </c>
      <c r="AP291" s="113">
        <v>0</v>
      </c>
      <c r="AQ291" s="113">
        <v>0</v>
      </c>
      <c r="AR291" s="113">
        <v>0</v>
      </c>
      <c r="AS291" s="113">
        <v>0</v>
      </c>
      <c r="AT291" s="113">
        <v>0</v>
      </c>
      <c r="AU291" s="113">
        <v>0</v>
      </c>
      <c r="AV291" s="113">
        <v>0</v>
      </c>
      <c r="AW291" s="113">
        <v>0</v>
      </c>
      <c r="AX291" s="113">
        <v>0</v>
      </c>
      <c r="AY291" s="113">
        <v>81629</v>
      </c>
      <c r="AZ291" s="113">
        <v>1198</v>
      </c>
      <c r="BA291" s="113">
        <v>0</v>
      </c>
      <c r="BB291" s="113">
        <v>10892</v>
      </c>
      <c r="BC291" s="113">
        <v>159</v>
      </c>
      <c r="BD291" s="113">
        <v>0</v>
      </c>
      <c r="BF291" s="113">
        <f t="shared" si="16"/>
        <v>898780</v>
      </c>
      <c r="BG291" s="113">
        <f t="shared" si="17"/>
        <v>13196</v>
      </c>
      <c r="BH291" s="113">
        <f t="shared" si="18"/>
        <v>0</v>
      </c>
      <c r="BI291" s="113">
        <f t="shared" si="19"/>
        <v>0</v>
      </c>
    </row>
    <row r="292" spans="1:61">
      <c r="A292" s="102" t="s">
        <v>403</v>
      </c>
      <c r="B292" s="24" t="s">
        <v>692</v>
      </c>
      <c r="C292" s="103" t="s">
        <v>42</v>
      </c>
      <c r="D292" s="113">
        <v>5027</v>
      </c>
      <c r="E292" s="113">
        <v>196667</v>
      </c>
      <c r="F292" s="113">
        <v>3007</v>
      </c>
      <c r="G292" s="113">
        <v>4982</v>
      </c>
      <c r="H292" s="113">
        <v>0</v>
      </c>
      <c r="I292" s="113">
        <v>0</v>
      </c>
      <c r="J292" s="113">
        <v>0</v>
      </c>
      <c r="K292" s="113">
        <v>64431</v>
      </c>
      <c r="L292" s="113">
        <v>978</v>
      </c>
      <c r="M292" s="113">
        <v>255</v>
      </c>
      <c r="N292" s="113">
        <v>1106</v>
      </c>
      <c r="O292" s="113">
        <v>0</v>
      </c>
      <c r="P292" s="113">
        <v>0</v>
      </c>
      <c r="Q292" s="113">
        <v>0</v>
      </c>
      <c r="R292" s="113">
        <v>0</v>
      </c>
      <c r="S292" s="113">
        <v>0</v>
      </c>
      <c r="T292" s="113">
        <v>0</v>
      </c>
      <c r="U292" s="113">
        <v>0</v>
      </c>
      <c r="V292" s="113">
        <v>0</v>
      </c>
      <c r="W292" s="113">
        <v>0</v>
      </c>
      <c r="X292" s="113">
        <v>0</v>
      </c>
      <c r="Y292" s="113">
        <v>0</v>
      </c>
      <c r="Z292" s="113">
        <v>0</v>
      </c>
      <c r="AA292" s="113">
        <v>0</v>
      </c>
      <c r="AB292" s="113">
        <v>0</v>
      </c>
      <c r="AC292" s="113">
        <v>0</v>
      </c>
      <c r="AD292" s="113">
        <v>104491</v>
      </c>
      <c r="AE292" s="113">
        <v>1572</v>
      </c>
      <c r="AF292" s="113">
        <v>1699</v>
      </c>
      <c r="AG292" s="113">
        <v>0</v>
      </c>
      <c r="AH292" s="113">
        <v>0</v>
      </c>
      <c r="AI292" s="113">
        <v>0</v>
      </c>
      <c r="AJ292" s="113">
        <v>0</v>
      </c>
      <c r="AK292" s="113">
        <v>0</v>
      </c>
      <c r="AL292" s="113">
        <v>0</v>
      </c>
      <c r="AM292" s="113">
        <v>0</v>
      </c>
      <c r="AN292" s="113">
        <v>0</v>
      </c>
      <c r="AO292" s="113">
        <v>0</v>
      </c>
      <c r="AP292" s="113">
        <v>0</v>
      </c>
      <c r="AQ292" s="113">
        <v>0</v>
      </c>
      <c r="AR292" s="113">
        <v>0</v>
      </c>
      <c r="AS292" s="113">
        <v>0</v>
      </c>
      <c r="AT292" s="113">
        <v>0</v>
      </c>
      <c r="AU292" s="113">
        <v>0</v>
      </c>
      <c r="AV292" s="113">
        <v>0</v>
      </c>
      <c r="AW292" s="113">
        <v>0</v>
      </c>
      <c r="AX292" s="113">
        <v>0</v>
      </c>
      <c r="AY292" s="113">
        <v>0</v>
      </c>
      <c r="AZ292" s="113">
        <v>0</v>
      </c>
      <c r="BA292" s="113">
        <v>0</v>
      </c>
      <c r="BB292" s="113">
        <v>0</v>
      </c>
      <c r="BC292" s="113">
        <v>0</v>
      </c>
      <c r="BD292" s="113">
        <v>0</v>
      </c>
      <c r="BF292" s="113">
        <f t="shared" si="16"/>
        <v>365589</v>
      </c>
      <c r="BG292" s="113">
        <f t="shared" si="17"/>
        <v>5557</v>
      </c>
      <c r="BH292" s="113">
        <f t="shared" si="18"/>
        <v>255</v>
      </c>
      <c r="BI292" s="113">
        <f t="shared" si="19"/>
        <v>12814</v>
      </c>
    </row>
    <row r="293" spans="1:61">
      <c r="A293" s="102" t="s">
        <v>404</v>
      </c>
      <c r="B293" s="24" t="s">
        <v>693</v>
      </c>
      <c r="C293" s="103" t="s">
        <v>224</v>
      </c>
      <c r="D293" s="113">
        <v>0</v>
      </c>
      <c r="E293" s="113">
        <v>135040</v>
      </c>
      <c r="F293" s="113">
        <v>1656</v>
      </c>
      <c r="G293" s="113">
        <v>0</v>
      </c>
      <c r="H293" s="113">
        <v>0</v>
      </c>
      <c r="I293" s="113">
        <v>0</v>
      </c>
      <c r="J293" s="113">
        <v>0</v>
      </c>
      <c r="K293" s="113">
        <v>53206</v>
      </c>
      <c r="L293" s="113">
        <v>655</v>
      </c>
      <c r="M293" s="113">
        <v>0</v>
      </c>
      <c r="N293" s="113">
        <v>0</v>
      </c>
      <c r="O293" s="113">
        <v>0</v>
      </c>
      <c r="P293" s="113">
        <v>0</v>
      </c>
      <c r="Q293" s="113">
        <v>0</v>
      </c>
      <c r="R293" s="113">
        <v>0</v>
      </c>
      <c r="S293" s="113">
        <v>0</v>
      </c>
      <c r="T293" s="113">
        <v>0</v>
      </c>
      <c r="U293" s="113">
        <v>0</v>
      </c>
      <c r="V293" s="113">
        <v>0</v>
      </c>
      <c r="W293" s="113">
        <v>0</v>
      </c>
      <c r="X293" s="113">
        <v>0</v>
      </c>
      <c r="Y293" s="113">
        <v>0</v>
      </c>
      <c r="Z293" s="113">
        <v>0</v>
      </c>
      <c r="AA293" s="113">
        <v>0</v>
      </c>
      <c r="AB293" s="113">
        <v>0</v>
      </c>
      <c r="AC293" s="113">
        <v>0</v>
      </c>
      <c r="AD293" s="113">
        <v>87382</v>
      </c>
      <c r="AE293" s="113">
        <v>1075</v>
      </c>
      <c r="AF293" s="113">
        <v>0</v>
      </c>
      <c r="AG293" s="113">
        <v>60909</v>
      </c>
      <c r="AH293" s="113">
        <v>735</v>
      </c>
      <c r="AI293" s="113">
        <v>0</v>
      </c>
      <c r="AJ293" s="113">
        <v>0</v>
      </c>
      <c r="AK293" s="113">
        <v>0</v>
      </c>
      <c r="AL293" s="113">
        <v>0</v>
      </c>
      <c r="AM293" s="113">
        <v>0</v>
      </c>
      <c r="AN293" s="113">
        <v>0</v>
      </c>
      <c r="AO293" s="113">
        <v>0</v>
      </c>
      <c r="AP293" s="113">
        <v>0</v>
      </c>
      <c r="AQ293" s="113">
        <v>0</v>
      </c>
      <c r="AR293" s="113">
        <v>0</v>
      </c>
      <c r="AS293" s="113">
        <v>0</v>
      </c>
      <c r="AT293" s="113">
        <v>0</v>
      </c>
      <c r="AU293" s="113">
        <v>0</v>
      </c>
      <c r="AV293" s="113">
        <v>0</v>
      </c>
      <c r="AW293" s="113">
        <v>0</v>
      </c>
      <c r="AX293" s="113">
        <v>0</v>
      </c>
      <c r="AY293" s="113">
        <v>0</v>
      </c>
      <c r="AZ293" s="113">
        <v>0</v>
      </c>
      <c r="BA293" s="113">
        <v>0</v>
      </c>
      <c r="BB293" s="113">
        <v>0</v>
      </c>
      <c r="BC293" s="113">
        <v>0</v>
      </c>
      <c r="BD293" s="113">
        <v>0</v>
      </c>
      <c r="BF293" s="113">
        <f t="shared" si="16"/>
        <v>336537</v>
      </c>
      <c r="BG293" s="113">
        <f t="shared" si="17"/>
        <v>4121</v>
      </c>
      <c r="BH293" s="113">
        <f t="shared" si="18"/>
        <v>0</v>
      </c>
      <c r="BI293" s="113">
        <f t="shared" si="19"/>
        <v>0</v>
      </c>
    </row>
    <row r="294" spans="1:61">
      <c r="A294" s="102" t="s">
        <v>405</v>
      </c>
      <c r="B294" s="24" t="s">
        <v>694</v>
      </c>
      <c r="C294" s="103" t="s">
        <v>42</v>
      </c>
      <c r="D294" s="113">
        <v>0</v>
      </c>
      <c r="E294" s="113">
        <v>28464</v>
      </c>
      <c r="F294" s="113">
        <v>657</v>
      </c>
      <c r="G294" s="113">
        <v>0</v>
      </c>
      <c r="H294" s="113">
        <v>0</v>
      </c>
      <c r="I294" s="113">
        <v>0</v>
      </c>
      <c r="J294" s="113">
        <v>0</v>
      </c>
      <c r="K294" s="113">
        <v>5487</v>
      </c>
      <c r="L294" s="113">
        <v>0</v>
      </c>
      <c r="M294" s="113">
        <v>0</v>
      </c>
      <c r="N294" s="113">
        <v>0</v>
      </c>
      <c r="O294" s="113">
        <v>0</v>
      </c>
      <c r="P294" s="113">
        <v>0</v>
      </c>
      <c r="Q294" s="113">
        <v>0</v>
      </c>
      <c r="R294" s="113">
        <v>0</v>
      </c>
      <c r="S294" s="113">
        <v>0</v>
      </c>
      <c r="T294" s="113">
        <v>0</v>
      </c>
      <c r="U294" s="113">
        <v>0</v>
      </c>
      <c r="V294" s="113">
        <v>0</v>
      </c>
      <c r="W294" s="113">
        <v>0</v>
      </c>
      <c r="X294" s="113">
        <v>0</v>
      </c>
      <c r="Y294" s="113">
        <v>0</v>
      </c>
      <c r="Z294" s="113">
        <v>0</v>
      </c>
      <c r="AA294" s="113">
        <v>0</v>
      </c>
      <c r="AB294" s="113">
        <v>0</v>
      </c>
      <c r="AC294" s="113">
        <v>0</v>
      </c>
      <c r="AD294" s="113">
        <v>20591</v>
      </c>
      <c r="AE294" s="113">
        <v>0</v>
      </c>
      <c r="AF294" s="113">
        <v>0</v>
      </c>
      <c r="AG294" s="113">
        <v>0</v>
      </c>
      <c r="AH294" s="113">
        <v>0</v>
      </c>
      <c r="AI294" s="113">
        <v>0</v>
      </c>
      <c r="AJ294" s="113">
        <v>0</v>
      </c>
      <c r="AK294" s="113">
        <v>0</v>
      </c>
      <c r="AL294" s="113">
        <v>0</v>
      </c>
      <c r="AM294" s="113">
        <v>0</v>
      </c>
      <c r="AN294" s="113">
        <v>0</v>
      </c>
      <c r="AO294" s="113">
        <v>0</v>
      </c>
      <c r="AP294" s="113">
        <v>0</v>
      </c>
      <c r="AQ294" s="113">
        <v>0</v>
      </c>
      <c r="AR294" s="113">
        <v>0</v>
      </c>
      <c r="AS294" s="113">
        <v>0</v>
      </c>
      <c r="AT294" s="113">
        <v>0</v>
      </c>
      <c r="AU294" s="113">
        <v>0</v>
      </c>
      <c r="AV294" s="113">
        <v>0</v>
      </c>
      <c r="AW294" s="113">
        <v>0</v>
      </c>
      <c r="AX294" s="113">
        <v>0</v>
      </c>
      <c r="AY294" s="113">
        <v>0</v>
      </c>
      <c r="AZ294" s="113">
        <v>0</v>
      </c>
      <c r="BA294" s="113">
        <v>0</v>
      </c>
      <c r="BB294" s="113">
        <v>0</v>
      </c>
      <c r="BC294" s="113">
        <v>0</v>
      </c>
      <c r="BD294" s="113">
        <v>0</v>
      </c>
      <c r="BF294" s="113">
        <f t="shared" si="16"/>
        <v>54542</v>
      </c>
      <c r="BG294" s="113">
        <f t="shared" si="17"/>
        <v>657</v>
      </c>
      <c r="BH294" s="113">
        <f t="shared" si="18"/>
        <v>0</v>
      </c>
      <c r="BI294" s="113">
        <f t="shared" si="19"/>
        <v>0</v>
      </c>
    </row>
    <row r="295" spans="1:61">
      <c r="A295" s="102" t="s">
        <v>406</v>
      </c>
      <c r="B295" s="24" t="s">
        <v>695</v>
      </c>
      <c r="C295" s="103" t="s">
        <v>306</v>
      </c>
      <c r="D295" s="113">
        <v>0</v>
      </c>
      <c r="E295" s="113">
        <v>190962</v>
      </c>
      <c r="F295" s="113">
        <v>2582</v>
      </c>
      <c r="G295" s="113">
        <v>0</v>
      </c>
      <c r="H295" s="113">
        <v>0</v>
      </c>
      <c r="I295" s="113">
        <v>0</v>
      </c>
      <c r="J295" s="113">
        <v>0</v>
      </c>
      <c r="K295" s="113">
        <v>32342</v>
      </c>
      <c r="L295" s="113">
        <v>437</v>
      </c>
      <c r="M295" s="113">
        <v>0</v>
      </c>
      <c r="N295" s="113">
        <v>0</v>
      </c>
      <c r="O295" s="113">
        <v>0</v>
      </c>
      <c r="P295" s="113">
        <v>0</v>
      </c>
      <c r="Q295" s="113">
        <v>0</v>
      </c>
      <c r="R295" s="113">
        <v>0</v>
      </c>
      <c r="S295" s="113">
        <v>0</v>
      </c>
      <c r="T295" s="113">
        <v>0</v>
      </c>
      <c r="U295" s="113">
        <v>0</v>
      </c>
      <c r="V295" s="113">
        <v>0</v>
      </c>
      <c r="W295" s="113">
        <v>0</v>
      </c>
      <c r="X295" s="113">
        <v>0</v>
      </c>
      <c r="Y295" s="113">
        <v>0</v>
      </c>
      <c r="Z295" s="113">
        <v>0</v>
      </c>
      <c r="AA295" s="113">
        <v>0</v>
      </c>
      <c r="AB295" s="113">
        <v>0</v>
      </c>
      <c r="AC295" s="113">
        <v>0</v>
      </c>
      <c r="AD295" s="113">
        <v>0</v>
      </c>
      <c r="AE295" s="113">
        <v>0</v>
      </c>
      <c r="AF295" s="113">
        <v>0</v>
      </c>
      <c r="AG295" s="113">
        <v>0</v>
      </c>
      <c r="AH295" s="113">
        <v>0</v>
      </c>
      <c r="AI295" s="113">
        <v>0</v>
      </c>
      <c r="AJ295" s="113">
        <v>0</v>
      </c>
      <c r="AK295" s="113">
        <v>0</v>
      </c>
      <c r="AL295" s="113">
        <v>0</v>
      </c>
      <c r="AM295" s="113">
        <v>0</v>
      </c>
      <c r="AN295" s="113">
        <v>0</v>
      </c>
      <c r="AO295" s="113">
        <v>0</v>
      </c>
      <c r="AP295" s="113">
        <v>0</v>
      </c>
      <c r="AQ295" s="113">
        <v>0</v>
      </c>
      <c r="AR295" s="113">
        <v>0</v>
      </c>
      <c r="AS295" s="113">
        <v>0</v>
      </c>
      <c r="AT295" s="113">
        <v>0</v>
      </c>
      <c r="AU295" s="113">
        <v>0</v>
      </c>
      <c r="AV295" s="113">
        <v>0</v>
      </c>
      <c r="AW295" s="113">
        <v>0</v>
      </c>
      <c r="AX295" s="113">
        <v>0</v>
      </c>
      <c r="AY295" s="113">
        <v>0</v>
      </c>
      <c r="AZ295" s="113">
        <v>0</v>
      </c>
      <c r="BA295" s="113">
        <v>0</v>
      </c>
      <c r="BB295" s="113">
        <v>0</v>
      </c>
      <c r="BC295" s="113">
        <v>0</v>
      </c>
      <c r="BD295" s="113">
        <v>0</v>
      </c>
      <c r="BF295" s="113">
        <f t="shared" si="16"/>
        <v>223304</v>
      </c>
      <c r="BG295" s="113">
        <f t="shared" si="17"/>
        <v>3019</v>
      </c>
      <c r="BH295" s="113">
        <f t="shared" si="18"/>
        <v>0</v>
      </c>
      <c r="BI295" s="113">
        <f t="shared" si="19"/>
        <v>0</v>
      </c>
    </row>
    <row r="296" spans="1:61">
      <c r="A296" s="102" t="s">
        <v>407</v>
      </c>
      <c r="B296" s="24" t="s">
        <v>696</v>
      </c>
      <c r="C296" s="103" t="s">
        <v>408</v>
      </c>
      <c r="D296" s="113">
        <v>0</v>
      </c>
      <c r="E296" s="113">
        <v>27586</v>
      </c>
      <c r="F296" s="113">
        <v>492</v>
      </c>
      <c r="G296" s="113">
        <v>0</v>
      </c>
      <c r="H296" s="113">
        <v>0</v>
      </c>
      <c r="I296" s="113">
        <v>0</v>
      </c>
      <c r="J296" s="113">
        <v>0</v>
      </c>
      <c r="K296" s="113">
        <v>12266</v>
      </c>
      <c r="L296" s="113">
        <v>212</v>
      </c>
      <c r="M296" s="113">
        <v>0</v>
      </c>
      <c r="N296" s="113">
        <v>0</v>
      </c>
      <c r="O296" s="113">
        <v>0</v>
      </c>
      <c r="P296" s="113">
        <v>0</v>
      </c>
      <c r="Q296" s="113">
        <v>0</v>
      </c>
      <c r="R296" s="113">
        <v>0</v>
      </c>
      <c r="S296" s="113">
        <v>0</v>
      </c>
      <c r="T296" s="113">
        <v>0</v>
      </c>
      <c r="U296" s="113">
        <v>0</v>
      </c>
      <c r="V296" s="113">
        <v>0</v>
      </c>
      <c r="W296" s="113">
        <v>0</v>
      </c>
      <c r="X296" s="113">
        <v>0</v>
      </c>
      <c r="Y296" s="113">
        <v>0</v>
      </c>
      <c r="Z296" s="113">
        <v>0</v>
      </c>
      <c r="AA296" s="113">
        <v>0</v>
      </c>
      <c r="AB296" s="113">
        <v>0</v>
      </c>
      <c r="AC296" s="113">
        <v>0</v>
      </c>
      <c r="AD296" s="113">
        <v>28344</v>
      </c>
      <c r="AE296" s="113">
        <v>488</v>
      </c>
      <c r="AF296" s="113">
        <v>0</v>
      </c>
      <c r="AG296" s="113">
        <v>0</v>
      </c>
      <c r="AH296" s="113">
        <v>0</v>
      </c>
      <c r="AI296" s="113">
        <v>0</v>
      </c>
      <c r="AJ296" s="113">
        <v>0</v>
      </c>
      <c r="AK296" s="113">
        <v>0</v>
      </c>
      <c r="AL296" s="113">
        <v>0</v>
      </c>
      <c r="AM296" s="113">
        <v>0</v>
      </c>
      <c r="AN296" s="113">
        <v>0</v>
      </c>
      <c r="AO296" s="113">
        <v>0</v>
      </c>
      <c r="AP296" s="113">
        <v>0</v>
      </c>
      <c r="AQ296" s="113">
        <v>0</v>
      </c>
      <c r="AR296" s="113">
        <v>0</v>
      </c>
      <c r="AS296" s="113">
        <v>0</v>
      </c>
      <c r="AT296" s="113">
        <v>0</v>
      </c>
      <c r="AU296" s="113">
        <v>0</v>
      </c>
      <c r="AV296" s="113">
        <v>0</v>
      </c>
      <c r="AW296" s="113">
        <v>0</v>
      </c>
      <c r="AX296" s="113">
        <v>0</v>
      </c>
      <c r="AY296" s="113">
        <v>0</v>
      </c>
      <c r="AZ296" s="113">
        <v>0</v>
      </c>
      <c r="BA296" s="113">
        <v>0</v>
      </c>
      <c r="BB296" s="113">
        <v>0</v>
      </c>
      <c r="BC296" s="113">
        <v>0</v>
      </c>
      <c r="BD296" s="113">
        <v>0</v>
      </c>
      <c r="BF296" s="113">
        <f t="shared" si="16"/>
        <v>68196</v>
      </c>
      <c r="BG296" s="113">
        <f t="shared" si="17"/>
        <v>1192</v>
      </c>
      <c r="BH296" s="113">
        <f t="shared" si="18"/>
        <v>0</v>
      </c>
      <c r="BI296" s="113">
        <f t="shared" si="19"/>
        <v>0</v>
      </c>
    </row>
    <row r="297" spans="1:61">
      <c r="A297" s="102" t="s">
        <v>409</v>
      </c>
      <c r="B297" s="24" t="s">
        <v>697</v>
      </c>
      <c r="C297" s="103" t="s">
        <v>410</v>
      </c>
      <c r="D297" s="113">
        <v>0</v>
      </c>
      <c r="E297" s="113">
        <v>135060</v>
      </c>
      <c r="F297" s="113">
        <v>2072</v>
      </c>
      <c r="G297" s="113">
        <v>0</v>
      </c>
      <c r="H297" s="113">
        <v>0</v>
      </c>
      <c r="I297" s="113">
        <v>0</v>
      </c>
      <c r="J297" s="113">
        <v>0</v>
      </c>
      <c r="K297" s="113">
        <v>8406</v>
      </c>
      <c r="L297" s="113">
        <v>139</v>
      </c>
      <c r="M297" s="113">
        <v>0</v>
      </c>
      <c r="N297" s="113">
        <v>0</v>
      </c>
      <c r="O297" s="113">
        <v>0</v>
      </c>
      <c r="P297" s="113">
        <v>0</v>
      </c>
      <c r="Q297" s="113">
        <v>0</v>
      </c>
      <c r="R297" s="113">
        <v>0</v>
      </c>
      <c r="S297" s="113">
        <v>0</v>
      </c>
      <c r="T297" s="113">
        <v>0</v>
      </c>
      <c r="U297" s="113">
        <v>0</v>
      </c>
      <c r="V297" s="113">
        <v>0</v>
      </c>
      <c r="W297" s="113">
        <v>0</v>
      </c>
      <c r="X297" s="113">
        <v>0</v>
      </c>
      <c r="Y297" s="113">
        <v>0</v>
      </c>
      <c r="Z297" s="113">
        <v>0</v>
      </c>
      <c r="AA297" s="113">
        <v>0</v>
      </c>
      <c r="AB297" s="113">
        <v>0</v>
      </c>
      <c r="AC297" s="113">
        <v>0</v>
      </c>
      <c r="AD297" s="113">
        <v>40727</v>
      </c>
      <c r="AE297" s="113">
        <v>623</v>
      </c>
      <c r="AF297" s="113">
        <v>0</v>
      </c>
      <c r="AG297" s="113">
        <v>0</v>
      </c>
      <c r="AH297" s="113">
        <v>0</v>
      </c>
      <c r="AI297" s="113">
        <v>0</v>
      </c>
      <c r="AJ297" s="113">
        <v>0</v>
      </c>
      <c r="AK297" s="113">
        <v>0</v>
      </c>
      <c r="AL297" s="113">
        <v>0</v>
      </c>
      <c r="AM297" s="113">
        <v>0</v>
      </c>
      <c r="AN297" s="113">
        <v>0</v>
      </c>
      <c r="AO297" s="113">
        <v>0</v>
      </c>
      <c r="AP297" s="113">
        <v>0</v>
      </c>
      <c r="AQ297" s="113">
        <v>0</v>
      </c>
      <c r="AR297" s="113">
        <v>0</v>
      </c>
      <c r="AS297" s="113">
        <v>0</v>
      </c>
      <c r="AT297" s="113">
        <v>0</v>
      </c>
      <c r="AU297" s="113">
        <v>0</v>
      </c>
      <c r="AV297" s="113">
        <v>0</v>
      </c>
      <c r="AW297" s="113">
        <v>0</v>
      </c>
      <c r="AX297" s="113">
        <v>0</v>
      </c>
      <c r="AY297" s="113">
        <v>11224</v>
      </c>
      <c r="AZ297" s="113">
        <v>171</v>
      </c>
      <c r="BA297" s="113">
        <v>0</v>
      </c>
      <c r="BB297" s="113">
        <v>2738</v>
      </c>
      <c r="BC297" s="113">
        <v>42</v>
      </c>
      <c r="BD297" s="113">
        <v>0</v>
      </c>
      <c r="BF297" s="113">
        <f t="shared" si="16"/>
        <v>184193</v>
      </c>
      <c r="BG297" s="113">
        <f t="shared" si="17"/>
        <v>2834</v>
      </c>
      <c r="BH297" s="113">
        <f t="shared" si="18"/>
        <v>0</v>
      </c>
      <c r="BI297" s="113">
        <f t="shared" si="19"/>
        <v>0</v>
      </c>
    </row>
    <row r="298" spans="1:61">
      <c r="A298" s="102" t="s">
        <v>411</v>
      </c>
      <c r="B298" s="24" t="s">
        <v>698</v>
      </c>
      <c r="C298" s="103" t="s">
        <v>410</v>
      </c>
      <c r="D298" s="113">
        <v>0</v>
      </c>
      <c r="E298" s="113">
        <v>22469</v>
      </c>
      <c r="F298" s="113">
        <v>189</v>
      </c>
      <c r="G298" s="113">
        <v>0</v>
      </c>
      <c r="H298" s="113">
        <v>0</v>
      </c>
      <c r="I298" s="113">
        <v>0</v>
      </c>
      <c r="J298" s="113">
        <v>0</v>
      </c>
      <c r="K298" s="113">
        <v>103</v>
      </c>
      <c r="L298" s="113">
        <v>1</v>
      </c>
      <c r="M298" s="113">
        <v>0</v>
      </c>
      <c r="N298" s="113">
        <v>0</v>
      </c>
      <c r="O298" s="113">
        <v>0</v>
      </c>
      <c r="P298" s="113">
        <v>0</v>
      </c>
      <c r="Q298" s="113">
        <v>0</v>
      </c>
      <c r="R298" s="113">
        <v>0</v>
      </c>
      <c r="S298" s="113">
        <v>0</v>
      </c>
      <c r="T298" s="113">
        <v>0</v>
      </c>
      <c r="U298" s="113">
        <v>0</v>
      </c>
      <c r="V298" s="113">
        <v>0</v>
      </c>
      <c r="W298" s="113">
        <v>0</v>
      </c>
      <c r="X298" s="113">
        <v>0</v>
      </c>
      <c r="Y298" s="113">
        <v>0</v>
      </c>
      <c r="Z298" s="113">
        <v>0</v>
      </c>
      <c r="AA298" s="113">
        <v>0</v>
      </c>
      <c r="AB298" s="113">
        <v>0</v>
      </c>
      <c r="AC298" s="113">
        <v>0</v>
      </c>
      <c r="AD298" s="113">
        <v>0</v>
      </c>
      <c r="AE298" s="113">
        <v>0</v>
      </c>
      <c r="AF298" s="113">
        <v>0</v>
      </c>
      <c r="AG298" s="113">
        <v>0</v>
      </c>
      <c r="AH298" s="113">
        <v>0</v>
      </c>
      <c r="AI298" s="113">
        <v>0</v>
      </c>
      <c r="AJ298" s="113">
        <v>0</v>
      </c>
      <c r="AK298" s="113">
        <v>0</v>
      </c>
      <c r="AL298" s="113">
        <v>0</v>
      </c>
      <c r="AM298" s="113">
        <v>0</v>
      </c>
      <c r="AN298" s="113">
        <v>0</v>
      </c>
      <c r="AO298" s="113">
        <v>0</v>
      </c>
      <c r="AP298" s="113">
        <v>0</v>
      </c>
      <c r="AQ298" s="113">
        <v>0</v>
      </c>
      <c r="AR298" s="113">
        <v>0</v>
      </c>
      <c r="AS298" s="113">
        <v>0</v>
      </c>
      <c r="AT298" s="113">
        <v>0</v>
      </c>
      <c r="AU298" s="113">
        <v>0</v>
      </c>
      <c r="AV298" s="113">
        <v>0</v>
      </c>
      <c r="AW298" s="113">
        <v>0</v>
      </c>
      <c r="AX298" s="113">
        <v>0</v>
      </c>
      <c r="AY298" s="113">
        <v>0</v>
      </c>
      <c r="AZ298" s="113">
        <v>0</v>
      </c>
      <c r="BA298" s="113">
        <v>0</v>
      </c>
      <c r="BB298" s="113">
        <v>0</v>
      </c>
      <c r="BC298" s="113">
        <v>0</v>
      </c>
      <c r="BD298" s="113">
        <v>0</v>
      </c>
      <c r="BF298" s="113">
        <f t="shared" si="16"/>
        <v>22572</v>
      </c>
      <c r="BG298" s="113">
        <f t="shared" si="17"/>
        <v>190</v>
      </c>
      <c r="BH298" s="113">
        <f t="shared" si="18"/>
        <v>0</v>
      </c>
      <c r="BI298" s="113">
        <f t="shared" si="19"/>
        <v>0</v>
      </c>
    </row>
    <row r="299" spans="1:61">
      <c r="A299" s="102" t="s">
        <v>412</v>
      </c>
      <c r="B299" s="24" t="s">
        <v>699</v>
      </c>
      <c r="C299" s="103" t="s">
        <v>224</v>
      </c>
      <c r="D299" s="113">
        <v>14268</v>
      </c>
      <c r="E299" s="113">
        <v>1488604</v>
      </c>
      <c r="F299" s="113">
        <v>8323</v>
      </c>
      <c r="G299" s="113">
        <v>14341</v>
      </c>
      <c r="H299" s="113">
        <v>12140</v>
      </c>
      <c r="I299" s="113">
        <v>84</v>
      </c>
      <c r="J299" s="113">
        <v>107</v>
      </c>
      <c r="K299" s="113">
        <v>604962</v>
      </c>
      <c r="L299" s="113">
        <v>4180</v>
      </c>
      <c r="M299" s="113">
        <v>16943</v>
      </c>
      <c r="N299" s="113">
        <v>4275</v>
      </c>
      <c r="O299" s="113">
        <v>0</v>
      </c>
      <c r="P299" s="113">
        <v>0</v>
      </c>
      <c r="Q299" s="113">
        <v>0</v>
      </c>
      <c r="R299" s="113">
        <v>108809</v>
      </c>
      <c r="S299" s="113">
        <v>743</v>
      </c>
      <c r="T299" s="113">
        <v>933</v>
      </c>
      <c r="U299" s="113">
        <v>0</v>
      </c>
      <c r="V299" s="113">
        <v>0</v>
      </c>
      <c r="W299" s="113">
        <v>0</v>
      </c>
      <c r="X299" s="113">
        <v>0</v>
      </c>
      <c r="Y299" s="113">
        <v>0</v>
      </c>
      <c r="Z299" s="113">
        <v>0</v>
      </c>
      <c r="AA299" s="113">
        <v>0</v>
      </c>
      <c r="AB299" s="113">
        <v>0</v>
      </c>
      <c r="AC299" s="113">
        <v>0</v>
      </c>
      <c r="AD299" s="113">
        <v>839188</v>
      </c>
      <c r="AE299" s="113">
        <v>5752</v>
      </c>
      <c r="AF299" s="113">
        <v>7001</v>
      </c>
      <c r="AG299" s="113">
        <v>0</v>
      </c>
      <c r="AH299" s="113">
        <v>0</v>
      </c>
      <c r="AI299" s="113">
        <v>0</v>
      </c>
      <c r="AJ299" s="113">
        <v>0</v>
      </c>
      <c r="AK299" s="113">
        <v>0</v>
      </c>
      <c r="AL299" s="113">
        <v>0</v>
      </c>
      <c r="AM299" s="113">
        <v>15279</v>
      </c>
      <c r="AN299" s="113">
        <v>126</v>
      </c>
      <c r="AO299" s="113">
        <v>23</v>
      </c>
      <c r="AP299" s="113">
        <v>0</v>
      </c>
      <c r="AQ299" s="113">
        <v>0</v>
      </c>
      <c r="AR299" s="113">
        <v>0</v>
      </c>
      <c r="AS299" s="113">
        <v>0</v>
      </c>
      <c r="AT299" s="113">
        <v>0</v>
      </c>
      <c r="AU299" s="113">
        <v>0</v>
      </c>
      <c r="AV299" s="113">
        <v>0</v>
      </c>
      <c r="AW299" s="113">
        <v>0</v>
      </c>
      <c r="AX299" s="113">
        <v>0</v>
      </c>
      <c r="AY299" s="113">
        <v>0</v>
      </c>
      <c r="AZ299" s="113">
        <v>0</v>
      </c>
      <c r="BA299" s="113">
        <v>0</v>
      </c>
      <c r="BB299" s="113">
        <v>0</v>
      </c>
      <c r="BC299" s="113">
        <v>0</v>
      </c>
      <c r="BD299" s="113">
        <v>0</v>
      </c>
      <c r="BF299" s="113">
        <f t="shared" si="16"/>
        <v>3068982</v>
      </c>
      <c r="BG299" s="113">
        <f t="shared" si="17"/>
        <v>19208</v>
      </c>
      <c r="BH299" s="113">
        <f t="shared" si="18"/>
        <v>16943</v>
      </c>
      <c r="BI299" s="113">
        <f t="shared" si="19"/>
        <v>40948</v>
      </c>
    </row>
    <row r="300" spans="1:61">
      <c r="A300" s="102" t="s">
        <v>413</v>
      </c>
      <c r="B300" s="24" t="s">
        <v>700</v>
      </c>
      <c r="C300" s="103" t="s">
        <v>247</v>
      </c>
      <c r="D300" s="113">
        <v>0</v>
      </c>
      <c r="E300" s="113">
        <v>53106</v>
      </c>
      <c r="F300" s="113">
        <v>5446</v>
      </c>
      <c r="G300" s="113">
        <v>0</v>
      </c>
      <c r="H300" s="113">
        <v>0</v>
      </c>
      <c r="I300" s="113">
        <v>0</v>
      </c>
      <c r="J300" s="113">
        <v>0</v>
      </c>
      <c r="K300" s="113">
        <v>8648</v>
      </c>
      <c r="L300" s="113">
        <v>171</v>
      </c>
      <c r="M300" s="113">
        <v>0</v>
      </c>
      <c r="N300" s="113">
        <v>0</v>
      </c>
      <c r="O300" s="113">
        <v>0</v>
      </c>
      <c r="P300" s="113">
        <v>0</v>
      </c>
      <c r="Q300" s="113">
        <v>0</v>
      </c>
      <c r="R300" s="113">
        <v>0</v>
      </c>
      <c r="S300" s="113">
        <v>0</v>
      </c>
      <c r="T300" s="113">
        <v>0</v>
      </c>
      <c r="U300" s="113">
        <v>0</v>
      </c>
      <c r="V300" s="113">
        <v>0</v>
      </c>
      <c r="W300" s="113">
        <v>0</v>
      </c>
      <c r="X300" s="113">
        <v>0</v>
      </c>
      <c r="Y300" s="113">
        <v>0</v>
      </c>
      <c r="Z300" s="113">
        <v>0</v>
      </c>
      <c r="AA300" s="113">
        <v>0</v>
      </c>
      <c r="AB300" s="113">
        <v>0</v>
      </c>
      <c r="AC300" s="113">
        <v>0</v>
      </c>
      <c r="AD300" s="113">
        <v>12785</v>
      </c>
      <c r="AE300" s="113">
        <v>297</v>
      </c>
      <c r="AF300" s="113">
        <v>0</v>
      </c>
      <c r="AG300" s="113">
        <v>0</v>
      </c>
      <c r="AH300" s="113">
        <v>0</v>
      </c>
      <c r="AI300" s="113">
        <v>0</v>
      </c>
      <c r="AJ300" s="113">
        <v>0</v>
      </c>
      <c r="AK300" s="113">
        <v>0</v>
      </c>
      <c r="AL300" s="113">
        <v>0</v>
      </c>
      <c r="AM300" s="113">
        <v>0</v>
      </c>
      <c r="AN300" s="113">
        <v>0</v>
      </c>
      <c r="AO300" s="113">
        <v>0</v>
      </c>
      <c r="AP300" s="113">
        <v>0</v>
      </c>
      <c r="AQ300" s="113">
        <v>0</v>
      </c>
      <c r="AR300" s="113">
        <v>0</v>
      </c>
      <c r="AS300" s="113">
        <v>0</v>
      </c>
      <c r="AT300" s="113">
        <v>0</v>
      </c>
      <c r="AU300" s="113">
        <v>0</v>
      </c>
      <c r="AV300" s="113">
        <v>0</v>
      </c>
      <c r="AW300" s="113">
        <v>0</v>
      </c>
      <c r="AX300" s="113">
        <v>0</v>
      </c>
      <c r="AY300" s="113">
        <v>0</v>
      </c>
      <c r="AZ300" s="113">
        <v>0</v>
      </c>
      <c r="BA300" s="113">
        <v>0</v>
      </c>
      <c r="BB300" s="113">
        <v>0</v>
      </c>
      <c r="BC300" s="113">
        <v>0</v>
      </c>
      <c r="BD300" s="113">
        <v>0</v>
      </c>
      <c r="BF300" s="113">
        <f t="shared" si="16"/>
        <v>74539</v>
      </c>
      <c r="BG300" s="113">
        <f t="shared" si="17"/>
        <v>5914</v>
      </c>
      <c r="BH300" s="113">
        <f t="shared" si="18"/>
        <v>0</v>
      </c>
      <c r="BI300" s="113">
        <f t="shared" si="19"/>
        <v>0</v>
      </c>
    </row>
    <row r="301" spans="1:61">
      <c r="A301" s="102" t="s">
        <v>414</v>
      </c>
      <c r="B301" s="24" t="s">
        <v>701</v>
      </c>
      <c r="C301" s="103" t="s">
        <v>306</v>
      </c>
      <c r="D301" s="113">
        <v>0</v>
      </c>
      <c r="E301" s="113">
        <v>42153</v>
      </c>
      <c r="F301" s="113">
        <v>657</v>
      </c>
      <c r="G301" s="113">
        <v>0</v>
      </c>
      <c r="H301" s="113">
        <v>0</v>
      </c>
      <c r="I301" s="113">
        <v>0</v>
      </c>
      <c r="J301" s="113">
        <v>0</v>
      </c>
      <c r="K301" s="113">
        <v>4484</v>
      </c>
      <c r="L301" s="113">
        <v>68</v>
      </c>
      <c r="M301" s="113">
        <v>0</v>
      </c>
      <c r="N301" s="113">
        <v>0</v>
      </c>
      <c r="O301" s="113">
        <v>0</v>
      </c>
      <c r="P301" s="113">
        <v>0</v>
      </c>
      <c r="Q301" s="113">
        <v>0</v>
      </c>
      <c r="R301" s="113">
        <v>0</v>
      </c>
      <c r="S301" s="113">
        <v>0</v>
      </c>
      <c r="T301" s="113">
        <v>0</v>
      </c>
      <c r="U301" s="113">
        <v>0</v>
      </c>
      <c r="V301" s="113">
        <v>0</v>
      </c>
      <c r="W301" s="113">
        <v>0</v>
      </c>
      <c r="X301" s="113">
        <v>0</v>
      </c>
      <c r="Y301" s="113">
        <v>0</v>
      </c>
      <c r="Z301" s="113">
        <v>0</v>
      </c>
      <c r="AA301" s="113">
        <v>0</v>
      </c>
      <c r="AB301" s="113">
        <v>0</v>
      </c>
      <c r="AC301" s="113">
        <v>0</v>
      </c>
      <c r="AD301" s="113">
        <v>13371</v>
      </c>
      <c r="AE301" s="113">
        <v>208</v>
      </c>
      <c r="AF301" s="113">
        <v>0</v>
      </c>
      <c r="AG301" s="113">
        <v>0</v>
      </c>
      <c r="AH301" s="113">
        <v>0</v>
      </c>
      <c r="AI301" s="113">
        <v>0</v>
      </c>
      <c r="AJ301" s="113">
        <v>0</v>
      </c>
      <c r="AK301" s="113">
        <v>0</v>
      </c>
      <c r="AL301" s="113">
        <v>0</v>
      </c>
      <c r="AM301" s="113">
        <v>0</v>
      </c>
      <c r="AN301" s="113">
        <v>0</v>
      </c>
      <c r="AO301" s="113">
        <v>0</v>
      </c>
      <c r="AP301" s="113">
        <v>2131</v>
      </c>
      <c r="AQ301" s="113">
        <v>33</v>
      </c>
      <c r="AR301" s="113">
        <v>0</v>
      </c>
      <c r="AS301" s="113">
        <v>0</v>
      </c>
      <c r="AT301" s="113">
        <v>0</v>
      </c>
      <c r="AU301" s="113">
        <v>0</v>
      </c>
      <c r="AV301" s="113">
        <v>0</v>
      </c>
      <c r="AW301" s="113">
        <v>0</v>
      </c>
      <c r="AX301" s="113">
        <v>0</v>
      </c>
      <c r="AY301" s="113">
        <v>0</v>
      </c>
      <c r="AZ301" s="113">
        <v>0</v>
      </c>
      <c r="BA301" s="113">
        <v>0</v>
      </c>
      <c r="BB301" s="113">
        <v>0</v>
      </c>
      <c r="BC301" s="113">
        <v>0</v>
      </c>
      <c r="BD301" s="113">
        <v>0</v>
      </c>
      <c r="BF301" s="113">
        <f t="shared" si="16"/>
        <v>60008</v>
      </c>
      <c r="BG301" s="113">
        <f t="shared" si="17"/>
        <v>933</v>
      </c>
      <c r="BH301" s="113">
        <f t="shared" si="18"/>
        <v>0</v>
      </c>
      <c r="BI301" s="113">
        <f t="shared" si="19"/>
        <v>0</v>
      </c>
    </row>
    <row r="302" spans="1:61">
      <c r="A302" s="102" t="s">
        <v>415</v>
      </c>
      <c r="B302" s="24" t="s">
        <v>702</v>
      </c>
      <c r="C302" s="103" t="s">
        <v>38</v>
      </c>
      <c r="D302" s="113">
        <v>693772</v>
      </c>
      <c r="E302" s="113">
        <v>1603373</v>
      </c>
      <c r="F302" s="113">
        <v>5056</v>
      </c>
      <c r="G302" s="113">
        <v>734521</v>
      </c>
      <c r="H302" s="113">
        <v>0</v>
      </c>
      <c r="I302" s="113">
        <v>0</v>
      </c>
      <c r="J302" s="113">
        <v>0</v>
      </c>
      <c r="K302" s="113">
        <v>691573</v>
      </c>
      <c r="L302" s="113">
        <v>2080</v>
      </c>
      <c r="M302" s="113">
        <v>0</v>
      </c>
      <c r="N302" s="113">
        <v>170375</v>
      </c>
      <c r="O302" s="113">
        <v>0</v>
      </c>
      <c r="P302" s="113">
        <v>0</v>
      </c>
      <c r="Q302" s="113">
        <v>0</v>
      </c>
      <c r="R302" s="113">
        <v>0</v>
      </c>
      <c r="S302" s="113">
        <v>0</v>
      </c>
      <c r="T302" s="113">
        <v>0</v>
      </c>
      <c r="U302" s="113">
        <v>0</v>
      </c>
      <c r="V302" s="113">
        <v>0</v>
      </c>
      <c r="W302" s="113">
        <v>0</v>
      </c>
      <c r="X302" s="113">
        <v>99131</v>
      </c>
      <c r="Y302" s="113">
        <v>313</v>
      </c>
      <c r="Z302" s="113">
        <v>47933</v>
      </c>
      <c r="AA302" s="113">
        <v>0</v>
      </c>
      <c r="AB302" s="113">
        <v>0</v>
      </c>
      <c r="AC302" s="113">
        <v>0</v>
      </c>
      <c r="AD302" s="113">
        <v>523100</v>
      </c>
      <c r="AE302" s="113">
        <v>1651</v>
      </c>
      <c r="AF302" s="113">
        <v>225911</v>
      </c>
      <c r="AG302" s="113">
        <v>0</v>
      </c>
      <c r="AH302" s="113">
        <v>0</v>
      </c>
      <c r="AI302" s="113">
        <v>0</v>
      </c>
      <c r="AJ302" s="113">
        <v>0</v>
      </c>
      <c r="AK302" s="113">
        <v>0</v>
      </c>
      <c r="AL302" s="113">
        <v>0</v>
      </c>
      <c r="AM302" s="113">
        <v>0</v>
      </c>
      <c r="AN302" s="113">
        <v>0</v>
      </c>
      <c r="AO302" s="113">
        <v>0</v>
      </c>
      <c r="AP302" s="113">
        <v>0</v>
      </c>
      <c r="AQ302" s="113">
        <v>0</v>
      </c>
      <c r="AR302" s="113">
        <v>0</v>
      </c>
      <c r="AS302" s="113">
        <v>523672</v>
      </c>
      <c r="AT302" s="113">
        <v>1652</v>
      </c>
      <c r="AU302" s="113">
        <v>234738</v>
      </c>
      <c r="AV302" s="113">
        <v>92031</v>
      </c>
      <c r="AW302" s="113">
        <v>290</v>
      </c>
      <c r="AX302" s="113">
        <v>33440</v>
      </c>
      <c r="AY302" s="113">
        <v>0</v>
      </c>
      <c r="AZ302" s="113">
        <v>0</v>
      </c>
      <c r="BA302" s="113">
        <v>0</v>
      </c>
      <c r="BB302" s="113">
        <v>0</v>
      </c>
      <c r="BC302" s="113">
        <v>0</v>
      </c>
      <c r="BD302" s="113">
        <v>0</v>
      </c>
      <c r="BF302" s="113">
        <f t="shared" si="16"/>
        <v>2917177</v>
      </c>
      <c r="BG302" s="113">
        <f t="shared" si="17"/>
        <v>9100</v>
      </c>
      <c r="BH302" s="113">
        <f t="shared" si="18"/>
        <v>0</v>
      </c>
      <c r="BI302" s="113">
        <f t="shared" si="19"/>
        <v>1872512</v>
      </c>
    </row>
    <row r="303" spans="1:61">
      <c r="A303" s="102" t="s">
        <v>416</v>
      </c>
      <c r="B303" s="24" t="s">
        <v>703</v>
      </c>
      <c r="C303" s="103" t="s">
        <v>219</v>
      </c>
      <c r="D303" s="113">
        <v>68852</v>
      </c>
      <c r="E303" s="113">
        <v>1559658</v>
      </c>
      <c r="F303" s="113">
        <v>9236</v>
      </c>
      <c r="G303" s="113">
        <v>77820</v>
      </c>
      <c r="H303" s="113">
        <v>27292</v>
      </c>
      <c r="I303" s="113">
        <v>162</v>
      </c>
      <c r="J303" s="113">
        <v>1074</v>
      </c>
      <c r="K303" s="113">
        <v>461952</v>
      </c>
      <c r="L303" s="113">
        <v>2673</v>
      </c>
      <c r="M303" s="113">
        <v>0</v>
      </c>
      <c r="N303" s="113">
        <v>10540</v>
      </c>
      <c r="O303" s="113">
        <v>0</v>
      </c>
      <c r="P303" s="113">
        <v>0</v>
      </c>
      <c r="Q303" s="113">
        <v>0</v>
      </c>
      <c r="R303" s="113">
        <v>0</v>
      </c>
      <c r="S303" s="113">
        <v>0</v>
      </c>
      <c r="T303" s="113">
        <v>0</v>
      </c>
      <c r="U303" s="113">
        <v>25281</v>
      </c>
      <c r="V303" s="113">
        <v>150</v>
      </c>
      <c r="W303" s="113">
        <v>1036</v>
      </c>
      <c r="X303" s="113">
        <v>0</v>
      </c>
      <c r="Y303" s="113">
        <v>0</v>
      </c>
      <c r="Z303" s="113">
        <v>0</v>
      </c>
      <c r="AA303" s="113">
        <v>0</v>
      </c>
      <c r="AB303" s="113">
        <v>0</v>
      </c>
      <c r="AC303" s="113">
        <v>0</v>
      </c>
      <c r="AD303" s="113">
        <v>330750</v>
      </c>
      <c r="AE303" s="113">
        <v>1959</v>
      </c>
      <c r="AF303" s="113">
        <v>18587</v>
      </c>
      <c r="AG303" s="113">
        <v>0</v>
      </c>
      <c r="AH303" s="113">
        <v>0</v>
      </c>
      <c r="AI303" s="113">
        <v>0</v>
      </c>
      <c r="AJ303" s="113">
        <v>55565</v>
      </c>
      <c r="AK303" s="113">
        <v>329</v>
      </c>
      <c r="AL303" s="113">
        <v>0</v>
      </c>
      <c r="AM303" s="113">
        <v>0</v>
      </c>
      <c r="AN303" s="113">
        <v>0</v>
      </c>
      <c r="AO303" s="113">
        <v>0</v>
      </c>
      <c r="AP303" s="113">
        <v>0</v>
      </c>
      <c r="AQ303" s="113">
        <v>0</v>
      </c>
      <c r="AR303" s="113">
        <v>0</v>
      </c>
      <c r="AS303" s="113">
        <v>0</v>
      </c>
      <c r="AT303" s="113">
        <v>0</v>
      </c>
      <c r="AU303" s="113">
        <v>0</v>
      </c>
      <c r="AV303" s="113">
        <v>0</v>
      </c>
      <c r="AW303" s="113">
        <v>0</v>
      </c>
      <c r="AX303" s="113">
        <v>0</v>
      </c>
      <c r="AY303" s="113">
        <v>0</v>
      </c>
      <c r="AZ303" s="113">
        <v>0</v>
      </c>
      <c r="BA303" s="113">
        <v>0</v>
      </c>
      <c r="BB303" s="113">
        <v>0</v>
      </c>
      <c r="BC303" s="113">
        <v>0</v>
      </c>
      <c r="BD303" s="113">
        <v>0</v>
      </c>
      <c r="BF303" s="113">
        <f t="shared" si="16"/>
        <v>2460498</v>
      </c>
      <c r="BG303" s="113">
        <f t="shared" si="17"/>
        <v>14509</v>
      </c>
      <c r="BH303" s="113">
        <f t="shared" si="18"/>
        <v>0</v>
      </c>
      <c r="BI303" s="113">
        <f t="shared" si="19"/>
        <v>177909</v>
      </c>
    </row>
    <row r="304" spans="1:61">
      <c r="A304" s="102" t="s">
        <v>417</v>
      </c>
      <c r="B304" s="24" t="s">
        <v>704</v>
      </c>
      <c r="C304" s="103" t="s">
        <v>222</v>
      </c>
      <c r="D304" s="113">
        <v>0</v>
      </c>
      <c r="E304" s="113">
        <v>746</v>
      </c>
      <c r="F304" s="113">
        <v>10</v>
      </c>
      <c r="G304" s="113">
        <v>0</v>
      </c>
      <c r="H304" s="113">
        <v>0</v>
      </c>
      <c r="I304" s="113">
        <v>0</v>
      </c>
      <c r="J304" s="113">
        <v>0</v>
      </c>
      <c r="K304" s="113">
        <v>32</v>
      </c>
      <c r="L304" s="113">
        <v>0</v>
      </c>
      <c r="M304" s="113">
        <v>0</v>
      </c>
      <c r="N304" s="113">
        <v>0</v>
      </c>
      <c r="O304" s="113">
        <v>0</v>
      </c>
      <c r="P304" s="113">
        <v>0</v>
      </c>
      <c r="Q304" s="113">
        <v>0</v>
      </c>
      <c r="R304" s="113">
        <v>0</v>
      </c>
      <c r="S304" s="113">
        <v>0</v>
      </c>
      <c r="T304" s="113">
        <v>0</v>
      </c>
      <c r="U304" s="113">
        <v>0</v>
      </c>
      <c r="V304" s="113">
        <v>0</v>
      </c>
      <c r="W304" s="113">
        <v>0</v>
      </c>
      <c r="X304" s="113">
        <v>0</v>
      </c>
      <c r="Y304" s="113">
        <v>0</v>
      </c>
      <c r="Z304" s="113">
        <v>0</v>
      </c>
      <c r="AA304" s="113">
        <v>0</v>
      </c>
      <c r="AB304" s="113">
        <v>0</v>
      </c>
      <c r="AC304" s="113">
        <v>0</v>
      </c>
      <c r="AD304" s="113">
        <v>0</v>
      </c>
      <c r="AE304" s="113">
        <v>0</v>
      </c>
      <c r="AF304" s="113">
        <v>0</v>
      </c>
      <c r="AG304" s="113">
        <v>0</v>
      </c>
      <c r="AH304" s="113">
        <v>0</v>
      </c>
      <c r="AI304" s="113">
        <v>0</v>
      </c>
      <c r="AJ304" s="113">
        <v>0</v>
      </c>
      <c r="AK304" s="113">
        <v>0</v>
      </c>
      <c r="AL304" s="113">
        <v>0</v>
      </c>
      <c r="AM304" s="113">
        <v>0</v>
      </c>
      <c r="AN304" s="113">
        <v>0</v>
      </c>
      <c r="AO304" s="113">
        <v>0</v>
      </c>
      <c r="AP304" s="113">
        <v>0</v>
      </c>
      <c r="AQ304" s="113">
        <v>0</v>
      </c>
      <c r="AR304" s="113">
        <v>0</v>
      </c>
      <c r="AS304" s="113">
        <v>0</v>
      </c>
      <c r="AT304" s="113">
        <v>0</v>
      </c>
      <c r="AU304" s="113">
        <v>0</v>
      </c>
      <c r="AV304" s="113">
        <v>0</v>
      </c>
      <c r="AW304" s="113">
        <v>0</v>
      </c>
      <c r="AX304" s="113">
        <v>0</v>
      </c>
      <c r="AY304" s="113">
        <v>0</v>
      </c>
      <c r="AZ304" s="113">
        <v>0</v>
      </c>
      <c r="BA304" s="113">
        <v>0</v>
      </c>
      <c r="BB304" s="113">
        <v>0</v>
      </c>
      <c r="BC304" s="113">
        <v>0</v>
      </c>
      <c r="BD304" s="113">
        <v>0</v>
      </c>
      <c r="BF304" s="113">
        <f t="shared" si="16"/>
        <v>778</v>
      </c>
      <c r="BG304" s="113">
        <f t="shared" si="17"/>
        <v>10</v>
      </c>
      <c r="BH304" s="113">
        <f t="shared" si="18"/>
        <v>0</v>
      </c>
      <c r="BI304" s="113">
        <f t="shared" si="19"/>
        <v>0</v>
      </c>
    </row>
    <row r="305" spans="1:62">
      <c r="A305" s="102" t="s">
        <v>418</v>
      </c>
      <c r="B305" s="24" t="s">
        <v>705</v>
      </c>
      <c r="C305" s="103" t="s">
        <v>419</v>
      </c>
      <c r="D305" s="113">
        <v>1526</v>
      </c>
      <c r="E305" s="113">
        <v>135466</v>
      </c>
      <c r="F305" s="113">
        <v>1088</v>
      </c>
      <c r="G305" s="113">
        <v>1394</v>
      </c>
      <c r="H305" s="113">
        <v>0</v>
      </c>
      <c r="I305" s="113">
        <v>0</v>
      </c>
      <c r="J305" s="113">
        <v>0</v>
      </c>
      <c r="K305" s="113">
        <v>29391</v>
      </c>
      <c r="L305" s="113">
        <v>236</v>
      </c>
      <c r="M305" s="113">
        <v>0</v>
      </c>
      <c r="N305" s="113">
        <v>305</v>
      </c>
      <c r="O305" s="113">
        <v>0</v>
      </c>
      <c r="P305" s="113">
        <v>0</v>
      </c>
      <c r="Q305" s="113">
        <v>0</v>
      </c>
      <c r="R305" s="113">
        <v>0</v>
      </c>
      <c r="S305" s="113">
        <v>0</v>
      </c>
      <c r="T305" s="113">
        <v>0</v>
      </c>
      <c r="U305" s="113">
        <v>0</v>
      </c>
      <c r="V305" s="113">
        <v>0</v>
      </c>
      <c r="W305" s="113">
        <v>0</v>
      </c>
      <c r="X305" s="113">
        <v>0</v>
      </c>
      <c r="Y305" s="113">
        <v>0</v>
      </c>
      <c r="Z305" s="113">
        <v>0</v>
      </c>
      <c r="AA305" s="113">
        <v>0</v>
      </c>
      <c r="AB305" s="113">
        <v>0</v>
      </c>
      <c r="AC305" s="113">
        <v>0</v>
      </c>
      <c r="AD305" s="113">
        <v>130043</v>
      </c>
      <c r="AE305" s="113">
        <v>1044</v>
      </c>
      <c r="AF305" s="113">
        <v>1418</v>
      </c>
      <c r="AG305" s="113">
        <v>0</v>
      </c>
      <c r="AH305" s="113">
        <v>0</v>
      </c>
      <c r="AI305" s="113">
        <v>0</v>
      </c>
      <c r="AJ305" s="113">
        <v>0</v>
      </c>
      <c r="AK305" s="113">
        <v>0</v>
      </c>
      <c r="AL305" s="113">
        <v>0</v>
      </c>
      <c r="AM305" s="113">
        <v>0</v>
      </c>
      <c r="AN305" s="113">
        <v>0</v>
      </c>
      <c r="AO305" s="113">
        <v>0</v>
      </c>
      <c r="AP305" s="113">
        <v>0</v>
      </c>
      <c r="AQ305" s="113">
        <v>0</v>
      </c>
      <c r="AR305" s="113">
        <v>0</v>
      </c>
      <c r="AS305" s="113">
        <v>0</v>
      </c>
      <c r="AT305" s="113">
        <v>0</v>
      </c>
      <c r="AU305" s="113">
        <v>0</v>
      </c>
      <c r="AV305" s="113">
        <v>0</v>
      </c>
      <c r="AW305" s="113">
        <v>0</v>
      </c>
      <c r="AX305" s="113">
        <v>0</v>
      </c>
      <c r="AY305" s="113">
        <v>21927</v>
      </c>
      <c r="AZ305" s="113">
        <v>176</v>
      </c>
      <c r="BA305" s="113">
        <v>225</v>
      </c>
      <c r="BB305" s="113">
        <v>7311</v>
      </c>
      <c r="BC305" s="113">
        <v>59</v>
      </c>
      <c r="BD305" s="113">
        <v>75</v>
      </c>
      <c r="BF305" s="113">
        <f t="shared" si="16"/>
        <v>294900</v>
      </c>
      <c r="BG305" s="113">
        <f t="shared" si="17"/>
        <v>2368</v>
      </c>
      <c r="BH305" s="113">
        <f t="shared" si="18"/>
        <v>0</v>
      </c>
      <c r="BI305" s="113">
        <f t="shared" si="19"/>
        <v>4643</v>
      </c>
    </row>
    <row r="306" spans="1:62">
      <c r="A306" s="102" t="s">
        <v>420</v>
      </c>
      <c r="B306" s="24" t="s">
        <v>706</v>
      </c>
      <c r="C306" s="103" t="s">
        <v>419</v>
      </c>
      <c r="D306" s="113">
        <v>0</v>
      </c>
      <c r="E306" s="113">
        <v>33954</v>
      </c>
      <c r="F306" s="113">
        <v>336</v>
      </c>
      <c r="G306" s="113">
        <v>0</v>
      </c>
      <c r="H306" s="113">
        <v>0</v>
      </c>
      <c r="I306" s="113">
        <v>0</v>
      </c>
      <c r="J306" s="113">
        <v>0</v>
      </c>
      <c r="K306" s="113">
        <v>6290</v>
      </c>
      <c r="L306" s="113">
        <v>62</v>
      </c>
      <c r="M306" s="113">
        <v>0</v>
      </c>
      <c r="N306" s="113">
        <v>0</v>
      </c>
      <c r="O306" s="113">
        <v>0</v>
      </c>
      <c r="P306" s="113">
        <v>0</v>
      </c>
      <c r="Q306" s="113">
        <v>0</v>
      </c>
      <c r="R306" s="113">
        <v>0</v>
      </c>
      <c r="S306" s="113">
        <v>0</v>
      </c>
      <c r="T306" s="113">
        <v>0</v>
      </c>
      <c r="U306" s="113">
        <v>0</v>
      </c>
      <c r="V306" s="113">
        <v>0</v>
      </c>
      <c r="W306" s="113">
        <v>0</v>
      </c>
      <c r="X306" s="113">
        <v>0</v>
      </c>
      <c r="Y306" s="113">
        <v>0</v>
      </c>
      <c r="Z306" s="113">
        <v>0</v>
      </c>
      <c r="AA306" s="113">
        <v>0</v>
      </c>
      <c r="AB306" s="113">
        <v>0</v>
      </c>
      <c r="AC306" s="113">
        <v>0</v>
      </c>
      <c r="AD306" s="113">
        <v>15627</v>
      </c>
      <c r="AE306" s="113">
        <v>155</v>
      </c>
      <c r="AF306" s="113">
        <v>0</v>
      </c>
      <c r="AG306" s="113">
        <v>0</v>
      </c>
      <c r="AH306" s="113">
        <v>0</v>
      </c>
      <c r="AI306" s="113">
        <v>0</v>
      </c>
      <c r="AJ306" s="113">
        <v>0</v>
      </c>
      <c r="AK306" s="113">
        <v>0</v>
      </c>
      <c r="AL306" s="113">
        <v>0</v>
      </c>
      <c r="AM306" s="113">
        <v>0</v>
      </c>
      <c r="AN306" s="113">
        <v>0</v>
      </c>
      <c r="AO306" s="113">
        <v>0</v>
      </c>
      <c r="AP306" s="113">
        <v>0</v>
      </c>
      <c r="AQ306" s="113">
        <v>0</v>
      </c>
      <c r="AR306" s="113">
        <v>0</v>
      </c>
      <c r="AS306" s="113">
        <v>0</v>
      </c>
      <c r="AT306" s="113">
        <v>0</v>
      </c>
      <c r="AU306" s="113">
        <v>0</v>
      </c>
      <c r="AV306" s="113">
        <v>0</v>
      </c>
      <c r="AW306" s="113">
        <v>0</v>
      </c>
      <c r="AX306" s="113">
        <v>0</v>
      </c>
      <c r="AY306" s="113">
        <v>3194</v>
      </c>
      <c r="AZ306" s="113">
        <v>32</v>
      </c>
      <c r="BA306" s="113">
        <v>0</v>
      </c>
      <c r="BB306" s="113">
        <v>0</v>
      </c>
      <c r="BC306" s="113">
        <v>0</v>
      </c>
      <c r="BD306" s="113">
        <v>0</v>
      </c>
      <c r="BF306" s="113">
        <f t="shared" si="16"/>
        <v>55871</v>
      </c>
      <c r="BG306" s="113">
        <f t="shared" si="17"/>
        <v>553</v>
      </c>
      <c r="BH306" s="113">
        <f t="shared" si="18"/>
        <v>0</v>
      </c>
      <c r="BI306" s="113">
        <f t="shared" si="19"/>
        <v>0</v>
      </c>
    </row>
    <row r="307" spans="1:62">
      <c r="A307" s="102" t="s">
        <v>421</v>
      </c>
      <c r="B307" s="24" t="s">
        <v>707</v>
      </c>
      <c r="C307" s="103" t="s">
        <v>419</v>
      </c>
      <c r="D307" s="113">
        <v>0</v>
      </c>
      <c r="E307" s="113">
        <v>67593</v>
      </c>
      <c r="F307" s="113">
        <v>622</v>
      </c>
      <c r="G307" s="113">
        <v>0</v>
      </c>
      <c r="H307" s="113">
        <v>0</v>
      </c>
      <c r="I307" s="113">
        <v>0</v>
      </c>
      <c r="J307" s="113">
        <v>0</v>
      </c>
      <c r="K307" s="113">
        <v>11665</v>
      </c>
      <c r="L307" s="113">
        <v>105</v>
      </c>
      <c r="M307" s="113">
        <v>0</v>
      </c>
      <c r="N307" s="113">
        <v>0</v>
      </c>
      <c r="O307" s="113">
        <v>0</v>
      </c>
      <c r="P307" s="113">
        <v>0</v>
      </c>
      <c r="Q307" s="113">
        <v>0</v>
      </c>
      <c r="R307" s="113">
        <v>0</v>
      </c>
      <c r="S307" s="113">
        <v>0</v>
      </c>
      <c r="T307" s="113">
        <v>0</v>
      </c>
      <c r="U307" s="113">
        <v>0</v>
      </c>
      <c r="V307" s="113">
        <v>0</v>
      </c>
      <c r="W307" s="113">
        <v>0</v>
      </c>
      <c r="X307" s="113">
        <v>0</v>
      </c>
      <c r="Y307" s="113">
        <v>0</v>
      </c>
      <c r="Z307" s="113">
        <v>0</v>
      </c>
      <c r="AA307" s="113">
        <v>0</v>
      </c>
      <c r="AB307" s="113">
        <v>0</v>
      </c>
      <c r="AC307" s="113">
        <v>0</v>
      </c>
      <c r="AD307" s="113">
        <v>10368</v>
      </c>
      <c r="AE307" s="113">
        <v>62</v>
      </c>
      <c r="AF307" s="113">
        <v>0</v>
      </c>
      <c r="AG307" s="113">
        <v>0</v>
      </c>
      <c r="AH307" s="113">
        <v>0</v>
      </c>
      <c r="AI307" s="113">
        <v>0</v>
      </c>
      <c r="AJ307" s="113">
        <v>0</v>
      </c>
      <c r="AK307" s="113">
        <v>0</v>
      </c>
      <c r="AL307" s="113">
        <v>0</v>
      </c>
      <c r="AM307" s="113">
        <v>0</v>
      </c>
      <c r="AN307" s="113">
        <v>0</v>
      </c>
      <c r="AO307" s="113">
        <v>0</v>
      </c>
      <c r="AP307" s="113">
        <v>0</v>
      </c>
      <c r="AQ307" s="113">
        <v>0</v>
      </c>
      <c r="AR307" s="113">
        <v>0</v>
      </c>
      <c r="AS307" s="113">
        <v>0</v>
      </c>
      <c r="AT307" s="113">
        <v>0</v>
      </c>
      <c r="AU307" s="113">
        <v>0</v>
      </c>
      <c r="AV307" s="113">
        <v>0</v>
      </c>
      <c r="AW307" s="113">
        <v>0</v>
      </c>
      <c r="AX307" s="113">
        <v>0</v>
      </c>
      <c r="AY307" s="113">
        <v>0</v>
      </c>
      <c r="AZ307" s="113">
        <v>0</v>
      </c>
      <c r="BA307" s="113">
        <v>0</v>
      </c>
      <c r="BB307" s="113">
        <v>0</v>
      </c>
      <c r="BC307" s="113">
        <v>0</v>
      </c>
      <c r="BD307" s="113">
        <v>0</v>
      </c>
      <c r="BF307" s="113">
        <f t="shared" si="16"/>
        <v>89626</v>
      </c>
      <c r="BG307" s="113">
        <f t="shared" si="17"/>
        <v>789</v>
      </c>
      <c r="BH307" s="113">
        <f t="shared" si="18"/>
        <v>0</v>
      </c>
      <c r="BI307" s="113">
        <f t="shared" si="19"/>
        <v>0</v>
      </c>
    </row>
    <row r="308" spans="1:62">
      <c r="A308" s="102" t="s">
        <v>422</v>
      </c>
      <c r="B308" s="24" t="s">
        <v>708</v>
      </c>
      <c r="C308" s="103" t="s">
        <v>419</v>
      </c>
      <c r="D308" s="113">
        <v>997</v>
      </c>
      <c r="E308" s="113">
        <v>167816</v>
      </c>
      <c r="F308" s="113">
        <v>1966</v>
      </c>
      <c r="G308" s="113">
        <v>907</v>
      </c>
      <c r="H308" s="113">
        <v>0</v>
      </c>
      <c r="I308" s="113">
        <v>0</v>
      </c>
      <c r="J308" s="113">
        <v>0</v>
      </c>
      <c r="K308" s="113">
        <v>40531</v>
      </c>
      <c r="L308" s="113">
        <v>473</v>
      </c>
      <c r="M308" s="113">
        <v>0</v>
      </c>
      <c r="N308" s="113">
        <v>199</v>
      </c>
      <c r="O308" s="113">
        <v>0</v>
      </c>
      <c r="P308" s="113">
        <v>0</v>
      </c>
      <c r="Q308" s="113">
        <v>0</v>
      </c>
      <c r="R308" s="113">
        <v>0</v>
      </c>
      <c r="S308" s="113">
        <v>0</v>
      </c>
      <c r="T308" s="113">
        <v>0</v>
      </c>
      <c r="U308" s="113">
        <v>0</v>
      </c>
      <c r="V308" s="113">
        <v>0</v>
      </c>
      <c r="W308" s="113">
        <v>0</v>
      </c>
      <c r="X308" s="113">
        <v>0</v>
      </c>
      <c r="Y308" s="113">
        <v>0</v>
      </c>
      <c r="Z308" s="113">
        <v>0</v>
      </c>
      <c r="AA308" s="113">
        <v>0</v>
      </c>
      <c r="AB308" s="113">
        <v>0</v>
      </c>
      <c r="AC308" s="113">
        <v>0</v>
      </c>
      <c r="AD308" s="113">
        <v>53536</v>
      </c>
      <c r="AE308" s="113">
        <v>623</v>
      </c>
      <c r="AF308" s="113">
        <v>246</v>
      </c>
      <c r="AG308" s="113">
        <v>0</v>
      </c>
      <c r="AH308" s="113">
        <v>0</v>
      </c>
      <c r="AI308" s="113">
        <v>0</v>
      </c>
      <c r="AJ308" s="113">
        <v>0</v>
      </c>
      <c r="AK308" s="113">
        <v>0</v>
      </c>
      <c r="AL308" s="113">
        <v>0</v>
      </c>
      <c r="AM308" s="113">
        <v>0</v>
      </c>
      <c r="AN308" s="113">
        <v>0</v>
      </c>
      <c r="AO308" s="113">
        <v>0</v>
      </c>
      <c r="AP308" s="113">
        <v>0</v>
      </c>
      <c r="AQ308" s="113">
        <v>0</v>
      </c>
      <c r="AR308" s="113">
        <v>0</v>
      </c>
      <c r="AS308" s="113">
        <v>0</v>
      </c>
      <c r="AT308" s="113">
        <v>0</v>
      </c>
      <c r="AU308" s="113">
        <v>0</v>
      </c>
      <c r="AV308" s="113">
        <v>0</v>
      </c>
      <c r="AW308" s="113">
        <v>0</v>
      </c>
      <c r="AX308" s="113">
        <v>0</v>
      </c>
      <c r="AY308" s="113">
        <v>0</v>
      </c>
      <c r="AZ308" s="113">
        <v>0</v>
      </c>
      <c r="BA308" s="113">
        <v>0</v>
      </c>
      <c r="BB308" s="113">
        <v>0</v>
      </c>
      <c r="BC308" s="113">
        <v>0</v>
      </c>
      <c r="BD308" s="113">
        <v>0</v>
      </c>
      <c r="BF308" s="113">
        <f t="shared" si="16"/>
        <v>261883</v>
      </c>
      <c r="BG308" s="113">
        <f t="shared" si="17"/>
        <v>3062</v>
      </c>
      <c r="BH308" s="113">
        <f t="shared" si="18"/>
        <v>0</v>
      </c>
      <c r="BI308" s="113">
        <f t="shared" si="19"/>
        <v>2349</v>
      </c>
    </row>
    <row r="309" spans="1:62">
      <c r="A309" s="102" t="s">
        <v>423</v>
      </c>
      <c r="B309" s="24" t="s">
        <v>709</v>
      </c>
      <c r="C309" s="103" t="s">
        <v>261</v>
      </c>
      <c r="D309" s="113">
        <v>0</v>
      </c>
      <c r="E309" s="113">
        <v>8931</v>
      </c>
      <c r="F309" s="113">
        <v>111</v>
      </c>
      <c r="G309" s="113">
        <v>0</v>
      </c>
      <c r="H309" s="113">
        <v>0</v>
      </c>
      <c r="I309" s="113">
        <v>0</v>
      </c>
      <c r="J309" s="113">
        <v>0</v>
      </c>
      <c r="K309" s="113">
        <v>9695</v>
      </c>
      <c r="L309" s="113">
        <v>126</v>
      </c>
      <c r="M309" s="113">
        <v>0</v>
      </c>
      <c r="N309" s="113">
        <v>0</v>
      </c>
      <c r="O309" s="113">
        <v>0</v>
      </c>
      <c r="P309" s="113">
        <v>0</v>
      </c>
      <c r="Q309" s="113">
        <v>0</v>
      </c>
      <c r="R309" s="113">
        <v>0</v>
      </c>
      <c r="S309" s="113">
        <v>0</v>
      </c>
      <c r="T309" s="113">
        <v>0</v>
      </c>
      <c r="U309" s="113">
        <v>0</v>
      </c>
      <c r="V309" s="113">
        <v>0</v>
      </c>
      <c r="W309" s="113">
        <v>0</v>
      </c>
      <c r="X309" s="113">
        <v>0</v>
      </c>
      <c r="Y309" s="113">
        <v>0</v>
      </c>
      <c r="Z309" s="113">
        <v>0</v>
      </c>
      <c r="AA309" s="113">
        <v>0</v>
      </c>
      <c r="AB309" s="113">
        <v>0</v>
      </c>
      <c r="AC309" s="113">
        <v>0</v>
      </c>
      <c r="AD309" s="113">
        <v>0</v>
      </c>
      <c r="AE309" s="113">
        <v>0</v>
      </c>
      <c r="AF309" s="113">
        <v>0</v>
      </c>
      <c r="AG309" s="113">
        <v>0</v>
      </c>
      <c r="AH309" s="113">
        <v>0</v>
      </c>
      <c r="AI309" s="113">
        <v>0</v>
      </c>
      <c r="AJ309" s="113">
        <v>0</v>
      </c>
      <c r="AK309" s="113">
        <v>0</v>
      </c>
      <c r="AL309" s="113">
        <v>0</v>
      </c>
      <c r="AM309" s="113">
        <v>0</v>
      </c>
      <c r="AN309" s="113">
        <v>0</v>
      </c>
      <c r="AO309" s="113">
        <v>0</v>
      </c>
      <c r="AP309" s="113">
        <v>0</v>
      </c>
      <c r="AQ309" s="113">
        <v>0</v>
      </c>
      <c r="AR309" s="113">
        <v>0</v>
      </c>
      <c r="AS309" s="113">
        <v>0</v>
      </c>
      <c r="AT309" s="113">
        <v>0</v>
      </c>
      <c r="AU309" s="113">
        <v>0</v>
      </c>
      <c r="AV309" s="113">
        <v>0</v>
      </c>
      <c r="AW309" s="113">
        <v>0</v>
      </c>
      <c r="AX309" s="113">
        <v>0</v>
      </c>
      <c r="AY309" s="113">
        <v>3632</v>
      </c>
      <c r="AZ309" s="113">
        <v>48</v>
      </c>
      <c r="BA309" s="113">
        <v>0</v>
      </c>
      <c r="BB309" s="113">
        <v>0</v>
      </c>
      <c r="BC309" s="113">
        <v>0</v>
      </c>
      <c r="BD309" s="113">
        <v>0</v>
      </c>
      <c r="BF309" s="113">
        <f t="shared" si="16"/>
        <v>18626</v>
      </c>
      <c r="BG309" s="113">
        <f t="shared" si="17"/>
        <v>237</v>
      </c>
      <c r="BH309" s="113">
        <f t="shared" si="18"/>
        <v>0</v>
      </c>
      <c r="BI309" s="113">
        <f t="shared" si="19"/>
        <v>0</v>
      </c>
    </row>
    <row r="310" spans="1:62">
      <c r="A310" s="102" t="s">
        <v>424</v>
      </c>
      <c r="B310" s="24" t="s">
        <v>710</v>
      </c>
      <c r="C310" s="103" t="s">
        <v>306</v>
      </c>
      <c r="D310" s="113">
        <v>0</v>
      </c>
      <c r="E310" s="113">
        <v>72477</v>
      </c>
      <c r="F310" s="113">
        <v>563</v>
      </c>
      <c r="G310" s="113">
        <v>0</v>
      </c>
      <c r="H310" s="113">
        <v>0</v>
      </c>
      <c r="I310" s="113">
        <v>0</v>
      </c>
      <c r="J310" s="113">
        <v>0</v>
      </c>
      <c r="K310" s="113">
        <v>0</v>
      </c>
      <c r="L310" s="113">
        <v>0</v>
      </c>
      <c r="M310" s="113">
        <v>0</v>
      </c>
      <c r="N310" s="113">
        <v>0</v>
      </c>
      <c r="O310" s="113">
        <v>0</v>
      </c>
      <c r="P310" s="113">
        <v>0</v>
      </c>
      <c r="Q310" s="113">
        <v>0</v>
      </c>
      <c r="R310" s="113">
        <v>0</v>
      </c>
      <c r="S310" s="113">
        <v>0</v>
      </c>
      <c r="T310" s="113">
        <v>0</v>
      </c>
      <c r="U310" s="113">
        <v>0</v>
      </c>
      <c r="V310" s="113">
        <v>0</v>
      </c>
      <c r="W310" s="113">
        <v>0</v>
      </c>
      <c r="X310" s="113">
        <v>0</v>
      </c>
      <c r="Y310" s="113">
        <v>0</v>
      </c>
      <c r="Z310" s="113">
        <v>0</v>
      </c>
      <c r="AA310" s="113">
        <v>0</v>
      </c>
      <c r="AB310" s="113">
        <v>0</v>
      </c>
      <c r="AC310" s="113">
        <v>0</v>
      </c>
      <c r="AD310" s="113">
        <v>0</v>
      </c>
      <c r="AE310" s="113">
        <v>0</v>
      </c>
      <c r="AF310" s="113">
        <v>0</v>
      </c>
      <c r="AG310" s="113">
        <v>0</v>
      </c>
      <c r="AH310" s="113">
        <v>0</v>
      </c>
      <c r="AI310" s="113">
        <v>0</v>
      </c>
      <c r="AJ310" s="113">
        <v>0</v>
      </c>
      <c r="AK310" s="113">
        <v>0</v>
      </c>
      <c r="AL310" s="113">
        <v>0</v>
      </c>
      <c r="AM310" s="113">
        <v>0</v>
      </c>
      <c r="AN310" s="113">
        <v>0</v>
      </c>
      <c r="AO310" s="113">
        <v>0</v>
      </c>
      <c r="AP310" s="113">
        <v>0</v>
      </c>
      <c r="AQ310" s="113">
        <v>0</v>
      </c>
      <c r="AR310" s="113">
        <v>0</v>
      </c>
      <c r="AS310" s="113">
        <v>0</v>
      </c>
      <c r="AT310" s="113">
        <v>0</v>
      </c>
      <c r="AU310" s="113">
        <v>0</v>
      </c>
      <c r="AV310" s="113">
        <v>0</v>
      </c>
      <c r="AW310" s="113">
        <v>0</v>
      </c>
      <c r="AX310" s="113">
        <v>0</v>
      </c>
      <c r="AY310" s="113">
        <v>0</v>
      </c>
      <c r="AZ310" s="113">
        <v>0</v>
      </c>
      <c r="BA310" s="113">
        <v>0</v>
      </c>
      <c r="BB310" s="113">
        <v>0</v>
      </c>
      <c r="BC310" s="113">
        <v>0</v>
      </c>
      <c r="BD310" s="113">
        <v>0</v>
      </c>
      <c r="BF310" s="113">
        <f t="shared" si="16"/>
        <v>72477</v>
      </c>
      <c r="BG310" s="113">
        <f t="shared" si="17"/>
        <v>563</v>
      </c>
      <c r="BH310" s="113">
        <f t="shared" si="18"/>
        <v>0</v>
      </c>
      <c r="BI310" s="113">
        <f t="shared" si="19"/>
        <v>0</v>
      </c>
    </row>
    <row r="311" spans="1:62">
      <c r="A311" s="102" t="s">
        <v>425</v>
      </c>
      <c r="B311" s="24" t="s">
        <v>711</v>
      </c>
      <c r="C311" s="103" t="s">
        <v>232</v>
      </c>
      <c r="D311" s="113">
        <v>0</v>
      </c>
      <c r="E311" s="113">
        <v>7542</v>
      </c>
      <c r="F311" s="113">
        <v>115</v>
      </c>
      <c r="G311" s="113">
        <v>0</v>
      </c>
      <c r="H311" s="113">
        <v>0</v>
      </c>
      <c r="I311" s="113">
        <v>0</v>
      </c>
      <c r="J311" s="113">
        <v>0</v>
      </c>
      <c r="K311" s="113">
        <v>2962</v>
      </c>
      <c r="L311" s="113">
        <v>61</v>
      </c>
      <c r="M311" s="113">
        <v>0</v>
      </c>
      <c r="N311" s="113">
        <v>0</v>
      </c>
      <c r="O311" s="113">
        <v>0</v>
      </c>
      <c r="P311" s="113">
        <v>0</v>
      </c>
      <c r="Q311" s="113">
        <v>0</v>
      </c>
      <c r="R311" s="113">
        <v>0</v>
      </c>
      <c r="S311" s="113">
        <v>0</v>
      </c>
      <c r="T311" s="113">
        <v>0</v>
      </c>
      <c r="U311" s="113">
        <v>0</v>
      </c>
      <c r="V311" s="113">
        <v>0</v>
      </c>
      <c r="W311" s="113">
        <v>0</v>
      </c>
      <c r="X311" s="113">
        <v>0</v>
      </c>
      <c r="Y311" s="113">
        <v>0</v>
      </c>
      <c r="Z311" s="113">
        <v>0</v>
      </c>
      <c r="AA311" s="113">
        <v>0</v>
      </c>
      <c r="AB311" s="113">
        <v>0</v>
      </c>
      <c r="AC311" s="113">
        <v>0</v>
      </c>
      <c r="AD311" s="113">
        <v>10781</v>
      </c>
      <c r="AE311" s="113">
        <v>181</v>
      </c>
      <c r="AF311" s="113">
        <v>0</v>
      </c>
      <c r="AG311" s="113">
        <v>0</v>
      </c>
      <c r="AH311" s="113">
        <v>0</v>
      </c>
      <c r="AI311" s="113">
        <v>0</v>
      </c>
      <c r="AJ311" s="113">
        <v>0</v>
      </c>
      <c r="AK311" s="113">
        <v>0</v>
      </c>
      <c r="AL311" s="113">
        <v>0</v>
      </c>
      <c r="AM311" s="113">
        <v>0</v>
      </c>
      <c r="AN311" s="113">
        <v>0</v>
      </c>
      <c r="AO311" s="113">
        <v>0</v>
      </c>
      <c r="AP311" s="113">
        <v>0</v>
      </c>
      <c r="AQ311" s="113">
        <v>0</v>
      </c>
      <c r="AR311" s="113">
        <v>0</v>
      </c>
      <c r="AS311" s="113">
        <v>0</v>
      </c>
      <c r="AT311" s="113">
        <v>0</v>
      </c>
      <c r="AU311" s="113">
        <v>0</v>
      </c>
      <c r="AV311" s="113">
        <v>0</v>
      </c>
      <c r="AW311" s="113">
        <v>0</v>
      </c>
      <c r="AX311" s="113">
        <v>0</v>
      </c>
      <c r="AY311" s="113">
        <v>0</v>
      </c>
      <c r="AZ311" s="113">
        <v>0</v>
      </c>
      <c r="BA311" s="113">
        <v>0</v>
      </c>
      <c r="BB311" s="113">
        <v>0</v>
      </c>
      <c r="BC311" s="113">
        <v>0</v>
      </c>
      <c r="BD311" s="113">
        <v>0</v>
      </c>
      <c r="BF311" s="113">
        <f t="shared" si="16"/>
        <v>21285</v>
      </c>
      <c r="BG311" s="113">
        <f t="shared" si="17"/>
        <v>357</v>
      </c>
      <c r="BH311" s="113">
        <f t="shared" si="18"/>
        <v>0</v>
      </c>
      <c r="BI311" s="113">
        <f t="shared" si="19"/>
        <v>0</v>
      </c>
    </row>
    <row r="312" spans="1:62">
      <c r="A312" s="102" t="s">
        <v>426</v>
      </c>
      <c r="B312" s="24" t="s">
        <v>712</v>
      </c>
      <c r="C312" s="103" t="s">
        <v>242</v>
      </c>
      <c r="D312" s="113">
        <v>0</v>
      </c>
      <c r="E312" s="113">
        <v>0</v>
      </c>
      <c r="F312" s="113">
        <v>0</v>
      </c>
      <c r="G312" s="113">
        <v>0</v>
      </c>
      <c r="H312" s="113">
        <v>0</v>
      </c>
      <c r="I312" s="113">
        <v>0</v>
      </c>
      <c r="J312" s="113">
        <v>0</v>
      </c>
      <c r="K312" s="113">
        <v>3576</v>
      </c>
      <c r="L312" s="113">
        <v>69</v>
      </c>
      <c r="M312" s="113">
        <v>0</v>
      </c>
      <c r="N312" s="113">
        <v>0</v>
      </c>
      <c r="O312" s="113">
        <v>0</v>
      </c>
      <c r="P312" s="113">
        <v>0</v>
      </c>
      <c r="Q312" s="113">
        <v>0</v>
      </c>
      <c r="R312" s="113">
        <v>0</v>
      </c>
      <c r="S312" s="113">
        <v>0</v>
      </c>
      <c r="T312" s="113">
        <v>0</v>
      </c>
      <c r="U312" s="113">
        <v>0</v>
      </c>
      <c r="V312" s="113">
        <v>0</v>
      </c>
      <c r="W312" s="113">
        <v>0</v>
      </c>
      <c r="X312" s="113">
        <v>0</v>
      </c>
      <c r="Y312" s="113">
        <v>0</v>
      </c>
      <c r="Z312" s="113">
        <v>0</v>
      </c>
      <c r="AA312" s="113">
        <v>0</v>
      </c>
      <c r="AB312" s="113">
        <v>0</v>
      </c>
      <c r="AC312" s="113">
        <v>0</v>
      </c>
      <c r="AD312" s="113">
        <v>0</v>
      </c>
      <c r="AE312" s="113">
        <v>0</v>
      </c>
      <c r="AF312" s="113">
        <v>0</v>
      </c>
      <c r="AG312" s="113">
        <v>0</v>
      </c>
      <c r="AH312" s="113">
        <v>0</v>
      </c>
      <c r="AI312" s="113">
        <v>0</v>
      </c>
      <c r="AJ312" s="113">
        <v>0</v>
      </c>
      <c r="AK312" s="113">
        <v>0</v>
      </c>
      <c r="AL312" s="113">
        <v>0</v>
      </c>
      <c r="AM312" s="113">
        <v>0</v>
      </c>
      <c r="AN312" s="113">
        <v>0</v>
      </c>
      <c r="AO312" s="113">
        <v>0</v>
      </c>
      <c r="AP312" s="113">
        <v>0</v>
      </c>
      <c r="AQ312" s="113">
        <v>0</v>
      </c>
      <c r="AR312" s="113">
        <v>0</v>
      </c>
      <c r="AS312" s="113">
        <v>0</v>
      </c>
      <c r="AT312" s="113">
        <v>0</v>
      </c>
      <c r="AU312" s="113">
        <v>0</v>
      </c>
      <c r="AV312" s="113">
        <v>0</v>
      </c>
      <c r="AW312" s="113">
        <v>0</v>
      </c>
      <c r="AX312" s="113">
        <v>0</v>
      </c>
      <c r="AY312" s="113">
        <v>0</v>
      </c>
      <c r="AZ312" s="113">
        <v>0</v>
      </c>
      <c r="BA312" s="113">
        <v>0</v>
      </c>
      <c r="BB312" s="113">
        <v>0</v>
      </c>
      <c r="BC312" s="113">
        <v>0</v>
      </c>
      <c r="BD312" s="113">
        <v>0</v>
      </c>
      <c r="BF312" s="113">
        <f t="shared" si="16"/>
        <v>3576</v>
      </c>
      <c r="BG312" s="113">
        <f t="shared" si="17"/>
        <v>69</v>
      </c>
      <c r="BH312" s="113">
        <f t="shared" si="18"/>
        <v>0</v>
      </c>
      <c r="BI312" s="113">
        <f t="shared" si="19"/>
        <v>0</v>
      </c>
    </row>
    <row r="313" spans="1:62" ht="12.75" thickBot="1">
      <c r="A313" s="102" t="s">
        <v>427</v>
      </c>
      <c r="B313" s="24" t="s">
        <v>713</v>
      </c>
      <c r="C313" s="103" t="s">
        <v>77</v>
      </c>
      <c r="D313" s="116">
        <v>0</v>
      </c>
      <c r="E313" s="116">
        <v>4668279</v>
      </c>
      <c r="F313" s="116">
        <v>17870</v>
      </c>
      <c r="G313" s="116">
        <v>0</v>
      </c>
      <c r="H313" s="116">
        <v>0</v>
      </c>
      <c r="I313" s="116">
        <v>0</v>
      </c>
      <c r="J313" s="116">
        <v>0</v>
      </c>
      <c r="K313" s="116">
        <v>3064367</v>
      </c>
      <c r="L313" s="116">
        <v>11952</v>
      </c>
      <c r="M313" s="116">
        <v>72999</v>
      </c>
      <c r="N313" s="116">
        <v>0</v>
      </c>
      <c r="O313" s="116">
        <v>361798</v>
      </c>
      <c r="P313" s="116">
        <v>1378</v>
      </c>
      <c r="Q313" s="116">
        <v>0</v>
      </c>
      <c r="R313" s="116">
        <v>39771</v>
      </c>
      <c r="S313" s="116">
        <v>152</v>
      </c>
      <c r="T313" s="116">
        <v>0</v>
      </c>
      <c r="U313" s="116">
        <v>135602</v>
      </c>
      <c r="V313" s="116">
        <v>525</v>
      </c>
      <c r="W313" s="116">
        <v>0</v>
      </c>
      <c r="X313" s="116">
        <v>0</v>
      </c>
      <c r="Y313" s="116">
        <v>0</v>
      </c>
      <c r="Z313" s="116">
        <v>0</v>
      </c>
      <c r="AA313" s="116">
        <v>0</v>
      </c>
      <c r="AB313" s="116">
        <v>0</v>
      </c>
      <c r="AC313" s="116">
        <v>0</v>
      </c>
      <c r="AD313" s="116">
        <v>1966461</v>
      </c>
      <c r="AE313" s="116">
        <v>7695</v>
      </c>
      <c r="AF313" s="116">
        <v>0</v>
      </c>
      <c r="AG313" s="116">
        <v>0</v>
      </c>
      <c r="AH313" s="116">
        <v>0</v>
      </c>
      <c r="AI313" s="116">
        <v>0</v>
      </c>
      <c r="AJ313" s="116">
        <v>0</v>
      </c>
      <c r="AK313" s="116">
        <v>0</v>
      </c>
      <c r="AL313" s="116">
        <v>0</v>
      </c>
      <c r="AM313" s="116">
        <v>58505</v>
      </c>
      <c r="AN313" s="116">
        <v>229</v>
      </c>
      <c r="AO313" s="116">
        <v>0</v>
      </c>
      <c r="AP313" s="116">
        <v>0</v>
      </c>
      <c r="AQ313" s="116">
        <v>0</v>
      </c>
      <c r="AR313" s="116">
        <v>0</v>
      </c>
      <c r="AS313" s="116">
        <v>0</v>
      </c>
      <c r="AT313" s="116">
        <v>0</v>
      </c>
      <c r="AU313" s="116">
        <v>0</v>
      </c>
      <c r="AV313" s="116">
        <v>0</v>
      </c>
      <c r="AW313" s="116">
        <v>0</v>
      </c>
      <c r="AX313" s="116">
        <v>0</v>
      </c>
      <c r="AY313" s="116">
        <v>0</v>
      </c>
      <c r="AZ313" s="116">
        <v>0</v>
      </c>
      <c r="BA313" s="116">
        <v>0</v>
      </c>
      <c r="BB313" s="116">
        <v>0</v>
      </c>
      <c r="BC313" s="116">
        <v>0</v>
      </c>
      <c r="BD313" s="116">
        <v>0</v>
      </c>
      <c r="BE313" s="117"/>
      <c r="BF313" s="116">
        <f t="shared" si="16"/>
        <v>10294783</v>
      </c>
      <c r="BG313" s="116">
        <f t="shared" si="17"/>
        <v>39801</v>
      </c>
      <c r="BH313" s="116">
        <f t="shared" si="18"/>
        <v>72999</v>
      </c>
      <c r="BI313" s="116">
        <f t="shared" si="19"/>
        <v>0</v>
      </c>
    </row>
    <row r="314" spans="1:62" ht="12.75" thickTop="1">
      <c r="D314" s="113">
        <f>SUM(D6:D313)</f>
        <v>1486442</v>
      </c>
      <c r="E314" s="113">
        <f t="shared" ref="E314:BI314" si="20">SUM(E6:E313)</f>
        <v>52465316</v>
      </c>
      <c r="F314" s="113">
        <f t="shared" si="20"/>
        <v>629229</v>
      </c>
      <c r="G314" s="113">
        <f t="shared" si="20"/>
        <v>1424353</v>
      </c>
      <c r="H314" s="113">
        <f t="shared" si="20"/>
        <v>101666</v>
      </c>
      <c r="I314" s="113">
        <f t="shared" si="20"/>
        <v>1116</v>
      </c>
      <c r="J314" s="113">
        <f t="shared" si="20"/>
        <v>2631</v>
      </c>
      <c r="K314" s="113">
        <f t="shared" si="20"/>
        <v>16988854</v>
      </c>
      <c r="L314" s="113">
        <f t="shared" si="20"/>
        <v>158912</v>
      </c>
      <c r="M314" s="113">
        <f t="shared" si="20"/>
        <v>326343</v>
      </c>
      <c r="N314" s="113">
        <f t="shared" si="20"/>
        <v>408756</v>
      </c>
      <c r="O314" s="113">
        <f t="shared" si="20"/>
        <v>422277</v>
      </c>
      <c r="P314" s="113">
        <f t="shared" si="20"/>
        <v>2287</v>
      </c>
      <c r="Q314" s="113">
        <f t="shared" si="20"/>
        <v>0</v>
      </c>
      <c r="R314" s="113">
        <f t="shared" si="20"/>
        <v>273432</v>
      </c>
      <c r="S314" s="113">
        <f t="shared" si="20"/>
        <v>1234</v>
      </c>
      <c r="T314" s="113">
        <f t="shared" si="20"/>
        <v>933</v>
      </c>
      <c r="U314" s="113">
        <f t="shared" si="20"/>
        <v>179729</v>
      </c>
      <c r="V314" s="113">
        <f t="shared" si="20"/>
        <v>969</v>
      </c>
      <c r="W314" s="113">
        <f t="shared" si="20"/>
        <v>15947</v>
      </c>
      <c r="X314" s="113">
        <f t="shared" si="20"/>
        <v>99131</v>
      </c>
      <c r="Y314" s="113">
        <f t="shared" si="20"/>
        <v>313</v>
      </c>
      <c r="Z314" s="113">
        <f t="shared" si="20"/>
        <v>47933</v>
      </c>
      <c r="AA314" s="113">
        <f t="shared" si="20"/>
        <v>1555482</v>
      </c>
      <c r="AB314" s="113">
        <f t="shared" si="20"/>
        <v>6623</v>
      </c>
      <c r="AC314" s="113">
        <f t="shared" si="20"/>
        <v>0</v>
      </c>
      <c r="AD314" s="113">
        <f t="shared" si="20"/>
        <v>26764630</v>
      </c>
      <c r="AE314" s="113">
        <f t="shared" si="20"/>
        <v>322088</v>
      </c>
      <c r="AF314" s="113">
        <f t="shared" si="20"/>
        <v>572688</v>
      </c>
      <c r="AG314" s="113">
        <f t="shared" si="20"/>
        <v>981928</v>
      </c>
      <c r="AH314" s="113">
        <f t="shared" si="20"/>
        <v>10099</v>
      </c>
      <c r="AI314" s="113">
        <f t="shared" si="20"/>
        <v>63943</v>
      </c>
      <c r="AJ314" s="113">
        <f t="shared" si="20"/>
        <v>68816</v>
      </c>
      <c r="AK314" s="113">
        <f t="shared" si="20"/>
        <v>524</v>
      </c>
      <c r="AL314" s="113">
        <f t="shared" si="20"/>
        <v>0</v>
      </c>
      <c r="AM314" s="113">
        <f t="shared" si="20"/>
        <v>287581</v>
      </c>
      <c r="AN314" s="113">
        <f t="shared" si="20"/>
        <v>2320</v>
      </c>
      <c r="AO314" s="113">
        <f t="shared" si="20"/>
        <v>3546</v>
      </c>
      <c r="AP314" s="113">
        <f t="shared" si="20"/>
        <v>12228</v>
      </c>
      <c r="AQ314" s="113">
        <f t="shared" si="20"/>
        <v>273</v>
      </c>
      <c r="AR314" s="113">
        <f t="shared" si="20"/>
        <v>0</v>
      </c>
      <c r="AS314" s="113">
        <f t="shared" si="20"/>
        <v>539826</v>
      </c>
      <c r="AT314" s="113">
        <f t="shared" si="20"/>
        <v>2214</v>
      </c>
      <c r="AU314" s="113">
        <f t="shared" si="20"/>
        <v>234738</v>
      </c>
      <c r="AV314" s="113">
        <f t="shared" si="20"/>
        <v>92031</v>
      </c>
      <c r="AW314" s="113">
        <f t="shared" si="20"/>
        <v>290</v>
      </c>
      <c r="AX314" s="113">
        <f t="shared" si="20"/>
        <v>33440</v>
      </c>
      <c r="AY314" s="113">
        <f t="shared" si="20"/>
        <v>2428373</v>
      </c>
      <c r="AZ314" s="113">
        <f t="shared" si="20"/>
        <v>37390</v>
      </c>
      <c r="BA314" s="113">
        <f t="shared" si="20"/>
        <v>22905</v>
      </c>
      <c r="BB314" s="113">
        <f t="shared" si="20"/>
        <v>395238</v>
      </c>
      <c r="BC314" s="113">
        <f t="shared" si="20"/>
        <v>5347</v>
      </c>
      <c r="BD314" s="113">
        <f t="shared" si="20"/>
        <v>3034</v>
      </c>
      <c r="BE314" s="113">
        <f t="shared" si="20"/>
        <v>0</v>
      </c>
      <c r="BF314" s="113">
        <f t="shared" si="20"/>
        <v>100188842</v>
      </c>
      <c r="BG314" s="113">
        <f t="shared" si="20"/>
        <v>1135714</v>
      </c>
      <c r="BH314" s="113">
        <f t="shared" si="20"/>
        <v>326343</v>
      </c>
      <c r="BI314" s="113">
        <f t="shared" si="20"/>
        <v>4027172</v>
      </c>
      <c r="BJ314" s="113"/>
    </row>
    <row r="315" spans="1:62">
      <c r="BJ315" s="113"/>
    </row>
  </sheetData>
  <mergeCells count="1">
    <mergeCell ref="BF1:BI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313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/>
  <cols>
    <col min="1" max="1" width="9.140625" style="97"/>
    <col min="2" max="2" width="22" style="96" customWidth="1"/>
    <col min="3" max="3" width="11.7109375" style="96" bestFit="1" customWidth="1"/>
    <col min="4" max="4" width="9.85546875" style="96" bestFit="1" customWidth="1"/>
    <col min="5" max="5" width="8.85546875" style="96" bestFit="1" customWidth="1"/>
    <col min="6" max="6" width="3.140625" style="120" customWidth="1"/>
    <col min="7" max="7" width="10.85546875" style="4" bestFit="1" customWidth="1"/>
    <col min="8" max="8" width="8.85546875" style="4" bestFit="1" customWidth="1"/>
    <col min="9" max="52" width="9.140625" style="120"/>
  </cols>
  <sheetData>
    <row r="1" spans="1:52" s="4" customFormat="1" ht="12">
      <c r="A1" s="50">
        <v>40387</v>
      </c>
      <c r="D1" s="125" t="s">
        <v>769</v>
      </c>
      <c r="E1" s="125"/>
      <c r="F1" s="122"/>
      <c r="G1" s="126" t="s">
        <v>770</v>
      </c>
      <c r="H1" s="126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</row>
    <row r="2" spans="1:52" s="4" customFormat="1" ht="12">
      <c r="D2" s="96"/>
      <c r="E2" s="96"/>
      <c r="F2" s="122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</row>
    <row r="3" spans="1:52" s="4" customFormat="1" ht="12">
      <c r="D3" s="118" t="s">
        <v>768</v>
      </c>
      <c r="E3" s="118" t="s">
        <v>768</v>
      </c>
      <c r="F3" s="123"/>
      <c r="G3" s="118" t="s">
        <v>768</v>
      </c>
      <c r="H3" s="118" t="s">
        <v>768</v>
      </c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</row>
    <row r="4" spans="1:52" s="4" customFormat="1" ht="12">
      <c r="D4" s="118" t="s">
        <v>763</v>
      </c>
      <c r="E4" s="118" t="s">
        <v>764</v>
      </c>
      <c r="F4" s="123"/>
      <c r="G4" s="118" t="s">
        <v>763</v>
      </c>
      <c r="H4" s="118" t="s">
        <v>764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</row>
    <row r="5" spans="1:52" s="4" customFormat="1" ht="12.75" thickBot="1">
      <c r="A5" s="100" t="s">
        <v>9</v>
      </c>
      <c r="B5" s="101" t="s">
        <v>10</v>
      </c>
      <c r="C5" s="101" t="s">
        <v>3</v>
      </c>
      <c r="D5" s="109">
        <v>2400</v>
      </c>
      <c r="E5" s="109">
        <v>2450</v>
      </c>
      <c r="F5" s="123"/>
      <c r="G5" s="109">
        <v>2400</v>
      </c>
      <c r="H5" s="109">
        <v>2450</v>
      </c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</row>
    <row r="6" spans="1:52">
      <c r="A6" s="102" t="s">
        <v>13</v>
      </c>
      <c r="B6" s="24" t="s">
        <v>433</v>
      </c>
      <c r="C6" s="103" t="s">
        <v>14</v>
      </c>
      <c r="D6" s="104">
        <v>150905</v>
      </c>
      <c r="E6" s="104">
        <v>0</v>
      </c>
      <c r="F6" s="124"/>
      <c r="G6" s="113">
        <v>141195</v>
      </c>
      <c r="H6" s="113">
        <v>1620</v>
      </c>
    </row>
    <row r="7" spans="1:52">
      <c r="A7" s="102" t="s">
        <v>15</v>
      </c>
      <c r="B7" s="24" t="s">
        <v>434</v>
      </c>
      <c r="C7" s="103" t="s">
        <v>16</v>
      </c>
      <c r="D7" s="104">
        <v>97676</v>
      </c>
      <c r="E7" s="104">
        <v>2012</v>
      </c>
      <c r="F7" s="124"/>
      <c r="G7" s="113">
        <v>73192</v>
      </c>
      <c r="H7" s="113">
        <v>31079</v>
      </c>
    </row>
    <row r="8" spans="1:52">
      <c r="A8" s="102" t="s">
        <v>17</v>
      </c>
      <c r="B8" s="24" t="s">
        <v>435</v>
      </c>
      <c r="C8" s="103" t="s">
        <v>18</v>
      </c>
      <c r="D8" s="104">
        <v>17183</v>
      </c>
      <c r="E8" s="104">
        <v>198</v>
      </c>
      <c r="F8" s="124"/>
      <c r="G8" s="113">
        <v>27107</v>
      </c>
      <c r="H8" s="113">
        <v>301</v>
      </c>
    </row>
    <row r="9" spans="1:52">
      <c r="A9" s="102" t="s">
        <v>19</v>
      </c>
      <c r="B9" s="24" t="s">
        <v>436</v>
      </c>
      <c r="C9" s="103" t="s">
        <v>20</v>
      </c>
      <c r="D9" s="104">
        <v>23723</v>
      </c>
      <c r="E9" s="104">
        <v>585</v>
      </c>
      <c r="F9" s="124"/>
      <c r="G9" s="127" t="s">
        <v>21</v>
      </c>
      <c r="H9" s="127" t="s">
        <v>21</v>
      </c>
    </row>
    <row r="10" spans="1:52">
      <c r="A10" s="102" t="s">
        <v>22</v>
      </c>
      <c r="B10" s="24" t="s">
        <v>437</v>
      </c>
      <c r="C10" s="103" t="s">
        <v>23</v>
      </c>
      <c r="D10" s="104">
        <v>72754</v>
      </c>
      <c r="E10" s="104">
        <v>1011</v>
      </c>
      <c r="F10" s="124"/>
      <c r="G10" s="113">
        <v>76352</v>
      </c>
      <c r="H10" s="113">
        <v>1150</v>
      </c>
    </row>
    <row r="11" spans="1:52">
      <c r="A11" s="102" t="s">
        <v>24</v>
      </c>
      <c r="B11" s="24" t="s">
        <v>438</v>
      </c>
      <c r="C11" s="103" t="s">
        <v>25</v>
      </c>
      <c r="D11" s="104">
        <v>33063</v>
      </c>
      <c r="E11" s="104">
        <v>633</v>
      </c>
      <c r="F11" s="124"/>
      <c r="G11" s="113">
        <v>30754</v>
      </c>
      <c r="H11" s="113">
        <v>692</v>
      </c>
    </row>
    <row r="12" spans="1:52">
      <c r="A12" s="102" t="s">
        <v>26</v>
      </c>
      <c r="B12" s="24" t="s">
        <v>439</v>
      </c>
      <c r="C12" s="103" t="s">
        <v>20</v>
      </c>
      <c r="D12" s="127" t="s">
        <v>21</v>
      </c>
      <c r="E12" s="127" t="s">
        <v>21</v>
      </c>
      <c r="F12" s="124"/>
      <c r="G12" s="113">
        <v>60233</v>
      </c>
      <c r="H12" s="113">
        <v>1360</v>
      </c>
    </row>
    <row r="13" spans="1:52">
      <c r="A13" s="102" t="s">
        <v>27</v>
      </c>
      <c r="B13" s="24" t="s">
        <v>440</v>
      </c>
      <c r="C13" s="103" t="s">
        <v>28</v>
      </c>
      <c r="D13" s="127" t="s">
        <v>21</v>
      </c>
      <c r="E13" s="127" t="s">
        <v>21</v>
      </c>
      <c r="F13" s="124"/>
      <c r="G13" s="113">
        <v>80417</v>
      </c>
      <c r="H13" s="113">
        <v>1045</v>
      </c>
    </row>
    <row r="14" spans="1:52">
      <c r="A14" s="102" t="s">
        <v>29</v>
      </c>
      <c r="B14" s="24" t="s">
        <v>441</v>
      </c>
      <c r="C14" s="103" t="s">
        <v>30</v>
      </c>
      <c r="D14" s="127" t="s">
        <v>21</v>
      </c>
      <c r="E14" s="127" t="s">
        <v>21</v>
      </c>
      <c r="F14" s="124"/>
      <c r="G14" s="113">
        <v>105134</v>
      </c>
      <c r="H14" s="113">
        <v>1384</v>
      </c>
    </row>
    <row r="15" spans="1:52">
      <c r="A15" s="102" t="s">
        <v>31</v>
      </c>
      <c r="B15" s="24" t="s">
        <v>442</v>
      </c>
      <c r="C15" s="103" t="s">
        <v>32</v>
      </c>
      <c r="D15" s="127" t="s">
        <v>21</v>
      </c>
      <c r="E15" s="127" t="s">
        <v>21</v>
      </c>
      <c r="F15" s="124"/>
      <c r="G15" s="113">
        <v>42962</v>
      </c>
      <c r="H15" s="113">
        <v>301</v>
      </c>
    </row>
    <row r="16" spans="1:52">
      <c r="A16" s="102" t="s">
        <v>33</v>
      </c>
      <c r="B16" s="24" t="s">
        <v>443</v>
      </c>
      <c r="C16" s="103" t="s">
        <v>34</v>
      </c>
      <c r="D16" s="127" t="s">
        <v>21</v>
      </c>
      <c r="E16" s="127" t="s">
        <v>21</v>
      </c>
      <c r="F16" s="124"/>
      <c r="G16" s="113">
        <v>26344</v>
      </c>
      <c r="H16" s="113">
        <v>635</v>
      </c>
    </row>
    <row r="17" spans="1:8">
      <c r="A17" s="102" t="s">
        <v>35</v>
      </c>
      <c r="B17" s="24" t="s">
        <v>444</v>
      </c>
      <c r="C17" s="103" t="s">
        <v>36</v>
      </c>
      <c r="D17" s="104">
        <v>25041</v>
      </c>
      <c r="E17" s="104">
        <v>717</v>
      </c>
      <c r="F17" s="124"/>
      <c r="G17" s="113">
        <v>33115</v>
      </c>
      <c r="H17" s="113">
        <v>782</v>
      </c>
    </row>
    <row r="18" spans="1:8">
      <c r="A18" s="102" t="s">
        <v>37</v>
      </c>
      <c r="B18" s="24" t="s">
        <v>445</v>
      </c>
      <c r="C18" s="103" t="s">
        <v>38</v>
      </c>
      <c r="D18" s="104">
        <v>731884</v>
      </c>
      <c r="E18" s="104">
        <v>5767</v>
      </c>
      <c r="F18" s="124"/>
      <c r="G18" s="113">
        <v>649444</v>
      </c>
      <c r="H18" s="113">
        <v>5435</v>
      </c>
    </row>
    <row r="19" spans="1:8">
      <c r="A19" s="102" t="s">
        <v>39</v>
      </c>
      <c r="B19" s="24" t="s">
        <v>446</v>
      </c>
      <c r="C19" s="103" t="s">
        <v>38</v>
      </c>
      <c r="D19" s="104">
        <v>349759</v>
      </c>
      <c r="E19" s="104">
        <v>1798</v>
      </c>
      <c r="F19" s="124"/>
      <c r="G19" s="113">
        <v>67379</v>
      </c>
      <c r="H19" s="113">
        <v>3170</v>
      </c>
    </row>
    <row r="20" spans="1:8">
      <c r="A20" s="102" t="s">
        <v>40</v>
      </c>
      <c r="B20" s="24" t="s">
        <v>447</v>
      </c>
      <c r="C20" s="103" t="s">
        <v>38</v>
      </c>
      <c r="D20" s="104">
        <v>560657</v>
      </c>
      <c r="E20" s="104">
        <v>3791</v>
      </c>
      <c r="F20" s="124"/>
      <c r="G20" s="113">
        <v>601430</v>
      </c>
      <c r="H20" s="113">
        <v>5228</v>
      </c>
    </row>
    <row r="21" spans="1:8">
      <c r="A21" s="102" t="s">
        <v>41</v>
      </c>
      <c r="B21" s="24" t="s">
        <v>448</v>
      </c>
      <c r="C21" s="103" t="s">
        <v>42</v>
      </c>
      <c r="D21" s="104">
        <v>322079</v>
      </c>
      <c r="E21" s="104">
        <v>7778</v>
      </c>
      <c r="F21" s="124"/>
      <c r="G21" s="113">
        <v>218489</v>
      </c>
      <c r="H21" s="113">
        <v>4704</v>
      </c>
    </row>
    <row r="22" spans="1:8">
      <c r="A22" s="102" t="s">
        <v>43</v>
      </c>
      <c r="B22" s="24" t="s">
        <v>449</v>
      </c>
      <c r="C22" s="103" t="s">
        <v>42</v>
      </c>
      <c r="D22" s="104">
        <v>108667</v>
      </c>
      <c r="E22" s="104">
        <v>2565</v>
      </c>
      <c r="F22" s="124"/>
      <c r="G22" s="113">
        <v>136499</v>
      </c>
      <c r="H22" s="113">
        <v>0</v>
      </c>
    </row>
    <row r="23" spans="1:8">
      <c r="A23" s="102" t="s">
        <v>44</v>
      </c>
      <c r="B23" s="24" t="s">
        <v>450</v>
      </c>
      <c r="C23" s="103" t="s">
        <v>45</v>
      </c>
      <c r="D23" s="104">
        <v>4417</v>
      </c>
      <c r="E23" s="104">
        <v>16</v>
      </c>
      <c r="F23" s="124"/>
      <c r="G23" s="113">
        <v>6983</v>
      </c>
      <c r="H23" s="113">
        <v>0</v>
      </c>
    </row>
    <row r="24" spans="1:8">
      <c r="A24" s="102" t="s">
        <v>46</v>
      </c>
      <c r="B24" s="24" t="s">
        <v>451</v>
      </c>
      <c r="C24" s="103" t="s">
        <v>47</v>
      </c>
      <c r="D24" s="104">
        <v>68220</v>
      </c>
      <c r="E24" s="104">
        <v>2751</v>
      </c>
      <c r="F24" s="124"/>
      <c r="G24" s="113">
        <v>89662</v>
      </c>
      <c r="H24" s="113">
        <v>0</v>
      </c>
    </row>
    <row r="25" spans="1:8">
      <c r="A25" s="102" t="s">
        <v>48</v>
      </c>
      <c r="B25" s="24" t="s">
        <v>452</v>
      </c>
      <c r="C25" s="103" t="s">
        <v>49</v>
      </c>
      <c r="D25" s="104">
        <v>10734</v>
      </c>
      <c r="E25" s="104">
        <v>462</v>
      </c>
      <c r="F25" s="124"/>
      <c r="G25" s="113">
        <v>11005</v>
      </c>
      <c r="H25" s="113">
        <v>474</v>
      </c>
    </row>
    <row r="26" spans="1:8">
      <c r="A26" s="102" t="s">
        <v>50</v>
      </c>
      <c r="B26" s="24" t="s">
        <v>453</v>
      </c>
      <c r="C26" s="103" t="s">
        <v>49</v>
      </c>
      <c r="D26" s="104">
        <v>37157</v>
      </c>
      <c r="E26" s="104">
        <v>4537</v>
      </c>
      <c r="F26" s="124"/>
      <c r="G26" s="113">
        <v>46397</v>
      </c>
      <c r="H26" s="113">
        <v>1437</v>
      </c>
    </row>
    <row r="27" spans="1:8">
      <c r="A27" s="102" t="s">
        <v>51</v>
      </c>
      <c r="B27" s="24" t="s">
        <v>52</v>
      </c>
      <c r="C27" s="103" t="s">
        <v>52</v>
      </c>
      <c r="D27" s="104">
        <v>72151</v>
      </c>
      <c r="E27" s="104">
        <v>1117</v>
      </c>
      <c r="F27" s="124"/>
      <c r="G27" s="113">
        <v>65508</v>
      </c>
      <c r="H27" s="113">
        <v>1684</v>
      </c>
    </row>
    <row r="28" spans="1:8">
      <c r="A28" s="102" t="s">
        <v>53</v>
      </c>
      <c r="B28" s="24" t="s">
        <v>454</v>
      </c>
      <c r="C28" s="103" t="s">
        <v>52</v>
      </c>
      <c r="D28" s="104">
        <v>22880</v>
      </c>
      <c r="E28" s="104">
        <v>1977</v>
      </c>
      <c r="F28" s="124"/>
      <c r="G28" s="113">
        <v>30162</v>
      </c>
      <c r="H28" s="113">
        <v>665</v>
      </c>
    </row>
    <row r="29" spans="1:8">
      <c r="A29" s="102" t="s">
        <v>54</v>
      </c>
      <c r="B29" s="24" t="s">
        <v>455</v>
      </c>
      <c r="C29" s="103" t="s">
        <v>52</v>
      </c>
      <c r="D29" s="104">
        <v>10997</v>
      </c>
      <c r="E29" s="104">
        <v>31</v>
      </c>
      <c r="F29" s="124"/>
      <c r="G29" s="113">
        <v>10657</v>
      </c>
      <c r="H29" s="113">
        <v>0</v>
      </c>
    </row>
    <row r="30" spans="1:8">
      <c r="A30" s="102" t="s">
        <v>55</v>
      </c>
      <c r="B30" s="24" t="s">
        <v>456</v>
      </c>
      <c r="C30" s="103" t="s">
        <v>56</v>
      </c>
      <c r="D30" s="104">
        <v>138704</v>
      </c>
      <c r="E30" s="104">
        <v>3404</v>
      </c>
      <c r="F30" s="124"/>
      <c r="G30" s="113">
        <v>141631</v>
      </c>
      <c r="H30" s="113">
        <v>3833</v>
      </c>
    </row>
    <row r="31" spans="1:8">
      <c r="A31" s="102" t="s">
        <v>57</v>
      </c>
      <c r="B31" s="24" t="s">
        <v>457</v>
      </c>
      <c r="C31" s="103" t="s">
        <v>58</v>
      </c>
      <c r="D31" s="104">
        <v>54645</v>
      </c>
      <c r="E31" s="104">
        <v>1337</v>
      </c>
      <c r="F31" s="124"/>
      <c r="G31" s="113">
        <v>54033</v>
      </c>
      <c r="H31" s="113">
        <v>2390</v>
      </c>
    </row>
    <row r="32" spans="1:8">
      <c r="A32" s="102" t="s">
        <v>59</v>
      </c>
      <c r="B32" s="24" t="s">
        <v>458</v>
      </c>
      <c r="C32" s="103" t="s">
        <v>58</v>
      </c>
      <c r="D32" s="104">
        <v>15861</v>
      </c>
      <c r="E32" s="104">
        <v>1175</v>
      </c>
      <c r="F32" s="124"/>
      <c r="G32" s="113">
        <v>15165</v>
      </c>
      <c r="H32" s="113">
        <v>516</v>
      </c>
    </row>
    <row r="33" spans="1:8">
      <c r="A33" s="102" t="s">
        <v>60</v>
      </c>
      <c r="B33" s="24" t="s">
        <v>459</v>
      </c>
      <c r="C33" s="103" t="s">
        <v>61</v>
      </c>
      <c r="D33" s="104">
        <v>14753</v>
      </c>
      <c r="E33" s="104">
        <v>924</v>
      </c>
      <c r="F33" s="124"/>
      <c r="G33" s="113">
        <v>14700</v>
      </c>
      <c r="H33" s="113">
        <v>666</v>
      </c>
    </row>
    <row r="34" spans="1:8">
      <c r="A34" s="102" t="s">
        <v>62</v>
      </c>
      <c r="B34" s="24" t="s">
        <v>460</v>
      </c>
      <c r="C34" s="103" t="s">
        <v>61</v>
      </c>
      <c r="D34" s="104">
        <v>61965</v>
      </c>
      <c r="E34" s="104">
        <v>0</v>
      </c>
      <c r="F34" s="124"/>
      <c r="G34" s="113">
        <v>49260</v>
      </c>
      <c r="H34" s="113">
        <v>0</v>
      </c>
    </row>
    <row r="35" spans="1:8">
      <c r="A35" s="102" t="s">
        <v>63</v>
      </c>
      <c r="B35" s="24" t="s">
        <v>461</v>
      </c>
      <c r="C35" s="103" t="s">
        <v>64</v>
      </c>
      <c r="D35" s="104">
        <v>29931</v>
      </c>
      <c r="E35" s="104">
        <v>0</v>
      </c>
      <c r="F35" s="124"/>
      <c r="G35" s="113">
        <v>35883</v>
      </c>
      <c r="H35" s="113">
        <v>0</v>
      </c>
    </row>
    <row r="36" spans="1:8">
      <c r="A36" s="102" t="s">
        <v>65</v>
      </c>
      <c r="B36" s="24" t="s">
        <v>462</v>
      </c>
      <c r="C36" s="103" t="s">
        <v>64</v>
      </c>
      <c r="D36" s="104">
        <v>28547</v>
      </c>
      <c r="E36" s="104">
        <v>404</v>
      </c>
      <c r="F36" s="124"/>
      <c r="G36" s="113">
        <v>28770</v>
      </c>
      <c r="H36" s="113">
        <v>405</v>
      </c>
    </row>
    <row r="37" spans="1:8">
      <c r="A37" s="102" t="s">
        <v>66</v>
      </c>
      <c r="B37" s="24" t="s">
        <v>463</v>
      </c>
      <c r="C37" s="103" t="s">
        <v>28</v>
      </c>
      <c r="D37" s="104">
        <v>14815</v>
      </c>
      <c r="E37" s="104">
        <v>208</v>
      </c>
      <c r="F37" s="124"/>
      <c r="G37" s="127" t="s">
        <v>21</v>
      </c>
      <c r="H37" s="127" t="s">
        <v>21</v>
      </c>
    </row>
    <row r="38" spans="1:8">
      <c r="A38" s="102" t="s">
        <v>67</v>
      </c>
      <c r="B38" s="24" t="s">
        <v>28</v>
      </c>
      <c r="C38" s="103" t="s">
        <v>28</v>
      </c>
      <c r="D38" s="104">
        <v>74263</v>
      </c>
      <c r="E38" s="104">
        <v>1230</v>
      </c>
      <c r="F38" s="124"/>
      <c r="G38" s="127" t="s">
        <v>21</v>
      </c>
      <c r="H38" s="127" t="s">
        <v>21</v>
      </c>
    </row>
    <row r="39" spans="1:8">
      <c r="A39" s="102" t="s">
        <v>68</v>
      </c>
      <c r="B39" s="24" t="s">
        <v>464</v>
      </c>
      <c r="C39" s="103" t="s">
        <v>28</v>
      </c>
      <c r="D39" s="104">
        <v>78939</v>
      </c>
      <c r="E39" s="104">
        <v>667</v>
      </c>
      <c r="F39" s="124"/>
      <c r="G39" s="113">
        <v>86344</v>
      </c>
      <c r="H39" s="113">
        <v>920</v>
      </c>
    </row>
    <row r="40" spans="1:8">
      <c r="A40" s="102" t="s">
        <v>69</v>
      </c>
      <c r="B40" s="24" t="s">
        <v>465</v>
      </c>
      <c r="C40" s="103" t="s">
        <v>28</v>
      </c>
      <c r="D40" s="104">
        <v>34586</v>
      </c>
      <c r="E40" s="104">
        <v>467</v>
      </c>
      <c r="F40" s="124"/>
      <c r="G40" s="113">
        <v>43331</v>
      </c>
      <c r="H40" s="113">
        <v>635</v>
      </c>
    </row>
    <row r="41" spans="1:8">
      <c r="A41" s="102" t="s">
        <v>70</v>
      </c>
      <c r="B41" s="24" t="s">
        <v>466</v>
      </c>
      <c r="C41" s="103" t="s">
        <v>71</v>
      </c>
      <c r="D41" s="104">
        <v>25924</v>
      </c>
      <c r="E41" s="104">
        <v>689</v>
      </c>
      <c r="F41" s="124"/>
      <c r="G41" s="113">
        <v>26555</v>
      </c>
      <c r="H41" s="113">
        <v>626</v>
      </c>
    </row>
    <row r="42" spans="1:8">
      <c r="A42" s="102" t="s">
        <v>72</v>
      </c>
      <c r="B42" s="24" t="s">
        <v>71</v>
      </c>
      <c r="C42" s="103" t="s">
        <v>71</v>
      </c>
      <c r="D42" s="104">
        <v>28140</v>
      </c>
      <c r="E42" s="104">
        <v>580</v>
      </c>
      <c r="F42" s="124"/>
      <c r="G42" s="113">
        <v>50620</v>
      </c>
      <c r="H42" s="113">
        <v>1119</v>
      </c>
    </row>
    <row r="43" spans="1:8">
      <c r="A43" s="102" t="s">
        <v>73</v>
      </c>
      <c r="B43" s="24" t="s">
        <v>467</v>
      </c>
      <c r="C43" s="103" t="s">
        <v>74</v>
      </c>
      <c r="D43" s="104">
        <v>22401</v>
      </c>
      <c r="E43" s="104">
        <v>303</v>
      </c>
      <c r="F43" s="124"/>
      <c r="G43" s="113">
        <v>64911</v>
      </c>
      <c r="H43" s="113">
        <v>668</v>
      </c>
    </row>
    <row r="44" spans="1:8">
      <c r="A44" s="102" t="s">
        <v>75</v>
      </c>
      <c r="B44" s="24" t="s">
        <v>468</v>
      </c>
      <c r="C44" s="103" t="s">
        <v>74</v>
      </c>
      <c r="D44" s="104">
        <v>11971</v>
      </c>
      <c r="E44" s="104">
        <v>139</v>
      </c>
      <c r="F44" s="124"/>
      <c r="G44" s="113">
        <v>16288</v>
      </c>
      <c r="H44" s="113">
        <v>85</v>
      </c>
    </row>
    <row r="45" spans="1:8">
      <c r="A45" s="102" t="s">
        <v>76</v>
      </c>
      <c r="B45" s="24" t="s">
        <v>469</v>
      </c>
      <c r="C45" s="103" t="s">
        <v>77</v>
      </c>
      <c r="D45" s="104">
        <v>8375151</v>
      </c>
      <c r="E45" s="104">
        <v>22778</v>
      </c>
      <c r="F45" s="124"/>
      <c r="G45" s="113">
        <v>8625387</v>
      </c>
      <c r="H45" s="113">
        <v>24461</v>
      </c>
    </row>
    <row r="46" spans="1:8">
      <c r="A46" s="102" t="s">
        <v>78</v>
      </c>
      <c r="B46" s="24" t="s">
        <v>470</v>
      </c>
      <c r="C46" s="103" t="s">
        <v>77</v>
      </c>
      <c r="D46" s="104">
        <v>397530</v>
      </c>
      <c r="E46" s="104">
        <v>6789</v>
      </c>
      <c r="F46" s="124"/>
      <c r="G46" s="113">
        <v>575046</v>
      </c>
      <c r="H46" s="113">
        <v>9117</v>
      </c>
    </row>
    <row r="47" spans="1:8">
      <c r="A47" s="102" t="s">
        <v>79</v>
      </c>
      <c r="B47" s="24" t="s">
        <v>471</v>
      </c>
      <c r="C47" s="103" t="s">
        <v>77</v>
      </c>
      <c r="D47" s="104">
        <v>870381</v>
      </c>
      <c r="E47" s="104">
        <v>11634</v>
      </c>
      <c r="F47" s="124"/>
      <c r="G47" s="113">
        <v>1222359</v>
      </c>
      <c r="H47" s="113">
        <v>15012</v>
      </c>
    </row>
    <row r="48" spans="1:8">
      <c r="A48" s="102" t="s">
        <v>80</v>
      </c>
      <c r="B48" s="24" t="s">
        <v>472</v>
      </c>
      <c r="C48" s="103" t="s">
        <v>77</v>
      </c>
      <c r="D48" s="104">
        <v>1639367</v>
      </c>
      <c r="E48" s="104">
        <v>15660</v>
      </c>
      <c r="F48" s="124"/>
      <c r="G48" s="113">
        <v>1974626</v>
      </c>
      <c r="H48" s="113">
        <v>16162</v>
      </c>
    </row>
    <row r="49" spans="1:8">
      <c r="A49" s="102" t="s">
        <v>81</v>
      </c>
      <c r="B49" s="24" t="s">
        <v>473</v>
      </c>
      <c r="C49" s="103" t="s">
        <v>77</v>
      </c>
      <c r="D49" s="104">
        <v>7387351</v>
      </c>
      <c r="E49" s="104">
        <v>30196</v>
      </c>
      <c r="F49" s="124"/>
      <c r="G49" s="113">
        <v>8242967</v>
      </c>
      <c r="H49" s="113">
        <v>60204</v>
      </c>
    </row>
    <row r="50" spans="1:8">
      <c r="A50" s="102" t="s">
        <v>82</v>
      </c>
      <c r="B50" s="24" t="s">
        <v>474</v>
      </c>
      <c r="C50" s="103" t="s">
        <v>83</v>
      </c>
      <c r="D50" s="104">
        <v>253964</v>
      </c>
      <c r="E50" s="104">
        <v>3385</v>
      </c>
      <c r="F50" s="124"/>
      <c r="G50" s="113">
        <v>226278</v>
      </c>
      <c r="H50" s="113">
        <v>2650</v>
      </c>
    </row>
    <row r="51" spans="1:8">
      <c r="A51" s="102" t="s">
        <v>84</v>
      </c>
      <c r="B51" s="24" t="s">
        <v>475</v>
      </c>
      <c r="C51" s="103" t="s">
        <v>83</v>
      </c>
      <c r="D51" s="104">
        <v>33828</v>
      </c>
      <c r="E51" s="104">
        <v>573</v>
      </c>
      <c r="F51" s="124"/>
      <c r="G51" s="113">
        <v>46057</v>
      </c>
      <c r="H51" s="113">
        <v>591</v>
      </c>
    </row>
    <row r="52" spans="1:8">
      <c r="A52" s="102" t="s">
        <v>85</v>
      </c>
      <c r="B52" s="24" t="s">
        <v>476</v>
      </c>
      <c r="C52" s="103" t="s">
        <v>86</v>
      </c>
      <c r="D52" s="104">
        <v>48224</v>
      </c>
      <c r="E52" s="104">
        <v>960</v>
      </c>
      <c r="F52" s="124"/>
      <c r="G52" s="113">
        <v>104595</v>
      </c>
      <c r="H52" s="113">
        <v>1425</v>
      </c>
    </row>
    <row r="53" spans="1:8">
      <c r="A53" s="102" t="s">
        <v>87</v>
      </c>
      <c r="B53" s="24" t="s">
        <v>477</v>
      </c>
      <c r="C53" s="103" t="s">
        <v>86</v>
      </c>
      <c r="D53" s="104">
        <v>6419</v>
      </c>
      <c r="E53" s="104">
        <v>114</v>
      </c>
      <c r="F53" s="124"/>
      <c r="G53" s="127" t="s">
        <v>21</v>
      </c>
      <c r="H53" s="127" t="s">
        <v>21</v>
      </c>
    </row>
    <row r="54" spans="1:8">
      <c r="A54" s="102" t="s">
        <v>88</v>
      </c>
      <c r="B54" s="24" t="s">
        <v>478</v>
      </c>
      <c r="C54" s="103" t="s">
        <v>89</v>
      </c>
      <c r="D54" s="104">
        <v>53731</v>
      </c>
      <c r="E54" s="104">
        <v>1007</v>
      </c>
      <c r="F54" s="124"/>
      <c r="G54" s="113">
        <v>85114</v>
      </c>
      <c r="H54" s="113">
        <v>1660</v>
      </c>
    </row>
    <row r="55" spans="1:8">
      <c r="A55" s="102" t="s">
        <v>90</v>
      </c>
      <c r="B55" s="24" t="s">
        <v>479</v>
      </c>
      <c r="C55" s="103" t="s">
        <v>89</v>
      </c>
      <c r="D55" s="104">
        <v>77969</v>
      </c>
      <c r="E55" s="104">
        <v>4472</v>
      </c>
      <c r="F55" s="124"/>
      <c r="G55" s="113">
        <v>85457</v>
      </c>
      <c r="H55" s="113">
        <v>7622</v>
      </c>
    </row>
    <row r="56" spans="1:8">
      <c r="A56" s="102" t="s">
        <v>91</v>
      </c>
      <c r="B56" s="24" t="s">
        <v>92</v>
      </c>
      <c r="C56" s="103" t="s">
        <v>92</v>
      </c>
      <c r="D56" s="104">
        <v>29212</v>
      </c>
      <c r="E56" s="104">
        <v>5539</v>
      </c>
      <c r="F56" s="124"/>
      <c r="G56" s="113">
        <v>45379</v>
      </c>
      <c r="H56" s="113">
        <v>1046</v>
      </c>
    </row>
    <row r="57" spans="1:8">
      <c r="A57" s="102" t="s">
        <v>93</v>
      </c>
      <c r="B57" s="24" t="s">
        <v>480</v>
      </c>
      <c r="C57" s="103" t="s">
        <v>92</v>
      </c>
      <c r="D57" s="104">
        <v>9310</v>
      </c>
      <c r="E57" s="104">
        <v>44</v>
      </c>
      <c r="F57" s="124"/>
      <c r="G57" s="113">
        <v>14152</v>
      </c>
      <c r="H57" s="113">
        <v>167</v>
      </c>
    </row>
    <row r="58" spans="1:8">
      <c r="A58" s="102" t="s">
        <v>94</v>
      </c>
      <c r="B58" s="24" t="s">
        <v>481</v>
      </c>
      <c r="C58" s="103" t="s">
        <v>95</v>
      </c>
      <c r="D58" s="104">
        <v>76840</v>
      </c>
      <c r="E58" s="104">
        <v>2959</v>
      </c>
      <c r="F58" s="124"/>
      <c r="G58" s="113">
        <v>73169</v>
      </c>
      <c r="H58" s="113">
        <v>4978</v>
      </c>
    </row>
    <row r="59" spans="1:8">
      <c r="A59" s="102" t="s">
        <v>96</v>
      </c>
      <c r="B59" s="24" t="s">
        <v>482</v>
      </c>
      <c r="C59" s="103" t="s">
        <v>95</v>
      </c>
      <c r="D59" s="104">
        <v>16748</v>
      </c>
      <c r="E59" s="104">
        <v>992</v>
      </c>
      <c r="F59" s="124"/>
      <c r="G59" s="113">
        <v>24140</v>
      </c>
      <c r="H59" s="113">
        <v>1436</v>
      </c>
    </row>
    <row r="60" spans="1:8">
      <c r="A60" s="102" t="s">
        <v>97</v>
      </c>
      <c r="B60" s="24" t="s">
        <v>483</v>
      </c>
      <c r="C60" s="103" t="s">
        <v>95</v>
      </c>
      <c r="D60" s="104">
        <v>23382</v>
      </c>
      <c r="E60" s="104">
        <v>841</v>
      </c>
      <c r="F60" s="124"/>
      <c r="G60" s="113">
        <v>27605</v>
      </c>
      <c r="H60" s="113">
        <v>897</v>
      </c>
    </row>
    <row r="61" spans="1:8">
      <c r="A61" s="102" t="s">
        <v>98</v>
      </c>
      <c r="B61" s="24" t="s">
        <v>484</v>
      </c>
      <c r="C61" s="103" t="s">
        <v>99</v>
      </c>
      <c r="D61" s="104">
        <v>88716</v>
      </c>
      <c r="E61" s="104">
        <v>1526</v>
      </c>
      <c r="F61" s="124"/>
      <c r="G61" s="113">
        <v>143895</v>
      </c>
      <c r="H61" s="113">
        <v>1746</v>
      </c>
    </row>
    <row r="62" spans="1:8">
      <c r="A62" s="102" t="s">
        <v>100</v>
      </c>
      <c r="B62" s="24" t="s">
        <v>306</v>
      </c>
      <c r="C62" s="103" t="s">
        <v>99</v>
      </c>
      <c r="D62" s="104">
        <v>81905</v>
      </c>
      <c r="E62" s="104">
        <v>362</v>
      </c>
      <c r="F62" s="124"/>
      <c r="G62" s="113">
        <v>99875</v>
      </c>
      <c r="H62" s="113">
        <v>2220</v>
      </c>
    </row>
    <row r="63" spans="1:8">
      <c r="A63" s="102" t="s">
        <v>101</v>
      </c>
      <c r="B63" s="24" t="s">
        <v>485</v>
      </c>
      <c r="C63" s="103" t="s">
        <v>99</v>
      </c>
      <c r="D63" s="104">
        <v>143504</v>
      </c>
      <c r="E63" s="104">
        <v>0</v>
      </c>
      <c r="F63" s="124"/>
      <c r="G63" s="113">
        <v>165742</v>
      </c>
      <c r="H63" s="113">
        <v>2105</v>
      </c>
    </row>
    <row r="64" spans="1:8">
      <c r="A64" s="102" t="s">
        <v>102</v>
      </c>
      <c r="B64" s="24" t="s">
        <v>486</v>
      </c>
      <c r="C64" s="103" t="s">
        <v>99</v>
      </c>
      <c r="D64" s="104">
        <v>80664</v>
      </c>
      <c r="E64" s="104">
        <v>0</v>
      </c>
      <c r="F64" s="124"/>
      <c r="G64" s="113">
        <v>91797</v>
      </c>
      <c r="H64" s="113">
        <v>0</v>
      </c>
    </row>
    <row r="65" spans="1:8">
      <c r="A65" s="102" t="s">
        <v>103</v>
      </c>
      <c r="B65" s="24" t="s">
        <v>487</v>
      </c>
      <c r="C65" s="103" t="s">
        <v>99</v>
      </c>
      <c r="D65" s="104">
        <v>493073</v>
      </c>
      <c r="E65" s="104">
        <v>6872</v>
      </c>
      <c r="F65" s="124"/>
      <c r="G65" s="113">
        <v>544642</v>
      </c>
      <c r="H65" s="113">
        <v>3817</v>
      </c>
    </row>
    <row r="66" spans="1:8">
      <c r="A66" s="102" t="s">
        <v>104</v>
      </c>
      <c r="B66" s="24" t="s">
        <v>488</v>
      </c>
      <c r="C66" s="103" t="s">
        <v>105</v>
      </c>
      <c r="D66" s="104">
        <v>110864</v>
      </c>
      <c r="E66" s="104">
        <v>0</v>
      </c>
      <c r="F66" s="124"/>
      <c r="G66" s="113">
        <v>93365</v>
      </c>
      <c r="H66" s="113">
        <v>0</v>
      </c>
    </row>
    <row r="67" spans="1:8">
      <c r="A67" s="102" t="s">
        <v>106</v>
      </c>
      <c r="B67" s="24" t="s">
        <v>489</v>
      </c>
      <c r="C67" s="103" t="s">
        <v>105</v>
      </c>
      <c r="D67" s="104">
        <v>124439</v>
      </c>
      <c r="E67" s="104">
        <v>2329</v>
      </c>
      <c r="F67" s="124"/>
      <c r="G67" s="113">
        <v>135113</v>
      </c>
      <c r="H67" s="113">
        <v>2240</v>
      </c>
    </row>
    <row r="68" spans="1:8">
      <c r="A68" s="102" t="s">
        <v>107</v>
      </c>
      <c r="B68" s="24" t="s">
        <v>490</v>
      </c>
      <c r="C68" s="103" t="s">
        <v>105</v>
      </c>
      <c r="D68" s="104">
        <v>904763</v>
      </c>
      <c r="E68" s="104">
        <v>10167</v>
      </c>
      <c r="F68" s="124"/>
      <c r="G68" s="113">
        <v>653112</v>
      </c>
      <c r="H68" s="113">
        <v>8410</v>
      </c>
    </row>
    <row r="69" spans="1:8">
      <c r="A69" s="102" t="s">
        <v>108</v>
      </c>
      <c r="B69" s="24" t="s">
        <v>491</v>
      </c>
      <c r="C69" s="103" t="s">
        <v>109</v>
      </c>
      <c r="D69" s="104">
        <v>70053</v>
      </c>
      <c r="E69" s="104">
        <v>962</v>
      </c>
      <c r="F69" s="124"/>
      <c r="G69" s="113">
        <v>92209</v>
      </c>
      <c r="H69" s="113">
        <v>1414</v>
      </c>
    </row>
    <row r="70" spans="1:8">
      <c r="A70" s="102" t="s">
        <v>110</v>
      </c>
      <c r="B70" s="24" t="s">
        <v>492</v>
      </c>
      <c r="C70" s="103" t="s">
        <v>109</v>
      </c>
      <c r="D70" s="104">
        <v>19239</v>
      </c>
      <c r="E70" s="104">
        <v>212</v>
      </c>
      <c r="F70" s="124"/>
      <c r="G70" s="113">
        <v>37698</v>
      </c>
      <c r="H70" s="113">
        <v>489</v>
      </c>
    </row>
    <row r="71" spans="1:8">
      <c r="A71" s="102" t="s">
        <v>111</v>
      </c>
      <c r="B71" s="24" t="s">
        <v>493</v>
      </c>
      <c r="C71" s="103" t="s">
        <v>112</v>
      </c>
      <c r="D71" s="104">
        <v>34591</v>
      </c>
      <c r="E71" s="104">
        <v>421</v>
      </c>
      <c r="F71" s="124"/>
      <c r="G71" s="113">
        <v>35526</v>
      </c>
      <c r="H71" s="113">
        <v>636</v>
      </c>
    </row>
    <row r="72" spans="1:8">
      <c r="A72" s="102" t="s">
        <v>113</v>
      </c>
      <c r="B72" s="24" t="s">
        <v>494</v>
      </c>
      <c r="C72" s="103" t="s">
        <v>112</v>
      </c>
      <c r="D72" s="104">
        <v>246190</v>
      </c>
      <c r="E72" s="104">
        <v>5374</v>
      </c>
      <c r="F72" s="124"/>
      <c r="G72" s="113">
        <v>197123</v>
      </c>
      <c r="H72" s="113">
        <v>2873</v>
      </c>
    </row>
    <row r="73" spans="1:8">
      <c r="A73" s="102" t="s">
        <v>114</v>
      </c>
      <c r="B73" s="24" t="s">
        <v>495</v>
      </c>
      <c r="C73" s="103" t="s">
        <v>112</v>
      </c>
      <c r="D73" s="104">
        <v>74847</v>
      </c>
      <c r="E73" s="104">
        <v>1587</v>
      </c>
      <c r="F73" s="124"/>
      <c r="G73" s="113">
        <v>83981</v>
      </c>
      <c r="H73" s="113">
        <v>1254</v>
      </c>
    </row>
    <row r="74" spans="1:8">
      <c r="A74" s="102" t="s">
        <v>115</v>
      </c>
      <c r="B74" s="24" t="s">
        <v>380</v>
      </c>
      <c r="C74" s="103" t="s">
        <v>116</v>
      </c>
      <c r="D74" s="104">
        <v>11339358</v>
      </c>
      <c r="E74" s="104">
        <v>107957</v>
      </c>
      <c r="F74" s="124"/>
      <c r="G74" s="113">
        <v>10982349</v>
      </c>
      <c r="H74" s="113">
        <v>84794</v>
      </c>
    </row>
    <row r="75" spans="1:8">
      <c r="A75" s="102" t="s">
        <v>117</v>
      </c>
      <c r="B75" s="24" t="s">
        <v>496</v>
      </c>
      <c r="C75" s="103" t="s">
        <v>116</v>
      </c>
      <c r="D75" s="104">
        <v>986757</v>
      </c>
      <c r="E75" s="104">
        <v>25147</v>
      </c>
      <c r="F75" s="124"/>
      <c r="G75" s="113">
        <v>909634</v>
      </c>
      <c r="H75" s="113">
        <v>22959</v>
      </c>
    </row>
    <row r="76" spans="1:8">
      <c r="A76" s="102" t="s">
        <v>118</v>
      </c>
      <c r="B76" s="24" t="s">
        <v>497</v>
      </c>
      <c r="C76" s="103" t="s">
        <v>116</v>
      </c>
      <c r="D76" s="104">
        <v>643350</v>
      </c>
      <c r="E76" s="104">
        <v>0</v>
      </c>
      <c r="F76" s="124"/>
      <c r="G76" s="113">
        <v>789489</v>
      </c>
      <c r="H76" s="113">
        <v>0</v>
      </c>
    </row>
    <row r="77" spans="1:8">
      <c r="A77" s="102" t="s">
        <v>119</v>
      </c>
      <c r="B77" s="24" t="s">
        <v>498</v>
      </c>
      <c r="C77" s="103" t="s">
        <v>116</v>
      </c>
      <c r="D77" s="104">
        <v>509410</v>
      </c>
      <c r="E77" s="104">
        <v>11745</v>
      </c>
      <c r="F77" s="124"/>
      <c r="G77" s="113">
        <v>508957</v>
      </c>
      <c r="H77" s="113">
        <v>11291</v>
      </c>
    </row>
    <row r="78" spans="1:8">
      <c r="A78" s="102" t="s">
        <v>120</v>
      </c>
      <c r="B78" s="24" t="s">
        <v>499</v>
      </c>
      <c r="C78" s="103" t="s">
        <v>116</v>
      </c>
      <c r="D78" s="104">
        <v>219247</v>
      </c>
      <c r="E78" s="104">
        <v>5373</v>
      </c>
      <c r="F78" s="124"/>
      <c r="G78" s="113">
        <v>311176</v>
      </c>
      <c r="H78" s="113">
        <v>7403</v>
      </c>
    </row>
    <row r="79" spans="1:8">
      <c r="A79" s="102" t="s">
        <v>121</v>
      </c>
      <c r="B79" s="24" t="s">
        <v>500</v>
      </c>
      <c r="C79" s="103" t="s">
        <v>116</v>
      </c>
      <c r="D79" s="104">
        <v>156225</v>
      </c>
      <c r="E79" s="104">
        <v>3962</v>
      </c>
      <c r="F79" s="124"/>
      <c r="G79" s="113">
        <v>255585</v>
      </c>
      <c r="H79" s="113">
        <v>5834</v>
      </c>
    </row>
    <row r="80" spans="1:8">
      <c r="A80" s="102" t="s">
        <v>122</v>
      </c>
      <c r="B80" s="24" t="s">
        <v>501</v>
      </c>
      <c r="C80" s="103" t="s">
        <v>116</v>
      </c>
      <c r="D80" s="104">
        <v>1110404</v>
      </c>
      <c r="E80" s="104">
        <v>15660</v>
      </c>
      <c r="F80" s="124"/>
      <c r="G80" s="113">
        <v>1401302</v>
      </c>
      <c r="H80" s="113">
        <v>17378</v>
      </c>
    </row>
    <row r="81" spans="1:8">
      <c r="A81" s="102" t="s">
        <v>123</v>
      </c>
      <c r="B81" s="24" t="s">
        <v>502</v>
      </c>
      <c r="C81" s="103" t="s">
        <v>116</v>
      </c>
      <c r="D81" s="104">
        <v>1428494</v>
      </c>
      <c r="E81" s="104">
        <v>12718</v>
      </c>
      <c r="F81" s="124"/>
      <c r="G81" s="113">
        <v>1477972</v>
      </c>
      <c r="H81" s="113">
        <v>11671</v>
      </c>
    </row>
    <row r="82" spans="1:8">
      <c r="A82" s="102" t="s">
        <v>124</v>
      </c>
      <c r="B82" s="24" t="s">
        <v>503</v>
      </c>
      <c r="C82" s="103" t="s">
        <v>116</v>
      </c>
      <c r="D82" s="104">
        <v>405540</v>
      </c>
      <c r="E82" s="104">
        <v>0</v>
      </c>
      <c r="F82" s="124"/>
      <c r="G82" s="113">
        <v>389713</v>
      </c>
      <c r="H82" s="113">
        <v>0</v>
      </c>
    </row>
    <row r="83" spans="1:8">
      <c r="A83" s="102" t="s">
        <v>125</v>
      </c>
      <c r="B83" s="24" t="s">
        <v>504</v>
      </c>
      <c r="C83" s="103" t="s">
        <v>116</v>
      </c>
      <c r="D83" s="104">
        <v>158095</v>
      </c>
      <c r="E83" s="104">
        <v>3266</v>
      </c>
      <c r="F83" s="124"/>
      <c r="G83" s="113">
        <v>147774</v>
      </c>
      <c r="H83" s="113">
        <v>3305</v>
      </c>
    </row>
    <row r="84" spans="1:8">
      <c r="A84" s="102" t="s">
        <v>126</v>
      </c>
      <c r="B84" s="24" t="s">
        <v>505</v>
      </c>
      <c r="C84" s="103" t="s">
        <v>127</v>
      </c>
      <c r="D84" s="104">
        <v>30529</v>
      </c>
      <c r="E84" s="104">
        <v>656</v>
      </c>
      <c r="F84" s="124"/>
      <c r="G84" s="113">
        <v>16009</v>
      </c>
      <c r="H84" s="113">
        <v>465</v>
      </c>
    </row>
    <row r="85" spans="1:8">
      <c r="A85" s="102" t="s">
        <v>128</v>
      </c>
      <c r="B85" s="24" t="s">
        <v>506</v>
      </c>
      <c r="C85" s="103" t="s">
        <v>127</v>
      </c>
      <c r="D85" s="104">
        <v>62078</v>
      </c>
      <c r="E85" s="104">
        <v>932</v>
      </c>
      <c r="F85" s="124"/>
      <c r="G85" s="113">
        <v>70837</v>
      </c>
      <c r="H85" s="113">
        <v>1120</v>
      </c>
    </row>
    <row r="86" spans="1:8">
      <c r="A86" s="102" t="s">
        <v>129</v>
      </c>
      <c r="B86" s="24" t="s">
        <v>507</v>
      </c>
      <c r="C86" s="103" t="s">
        <v>127</v>
      </c>
      <c r="D86" s="104">
        <v>23636</v>
      </c>
      <c r="E86" s="104">
        <v>316</v>
      </c>
      <c r="F86" s="124"/>
      <c r="G86" s="113">
        <v>55397</v>
      </c>
      <c r="H86" s="113">
        <v>1407</v>
      </c>
    </row>
    <row r="87" spans="1:8">
      <c r="A87" s="102" t="s">
        <v>130</v>
      </c>
      <c r="B87" s="24" t="s">
        <v>508</v>
      </c>
      <c r="C87" s="103" t="s">
        <v>131</v>
      </c>
      <c r="D87" s="104">
        <v>64905</v>
      </c>
      <c r="E87" s="104">
        <v>1027</v>
      </c>
      <c r="F87" s="124"/>
      <c r="G87" s="113">
        <v>82855</v>
      </c>
      <c r="H87" s="113">
        <v>1281</v>
      </c>
    </row>
    <row r="88" spans="1:8">
      <c r="A88" s="102" t="s">
        <v>132</v>
      </c>
      <c r="B88" s="24" t="s">
        <v>509</v>
      </c>
      <c r="C88" s="103" t="s">
        <v>131</v>
      </c>
      <c r="D88" s="104">
        <v>149240</v>
      </c>
      <c r="E88" s="104">
        <v>1908</v>
      </c>
      <c r="F88" s="124"/>
      <c r="G88" s="113">
        <v>178387</v>
      </c>
      <c r="H88" s="113">
        <v>2428</v>
      </c>
    </row>
    <row r="89" spans="1:8">
      <c r="A89" s="102" t="s">
        <v>133</v>
      </c>
      <c r="B89" s="24" t="s">
        <v>510</v>
      </c>
      <c r="C89" s="103" t="s">
        <v>134</v>
      </c>
      <c r="D89" s="104">
        <v>60564</v>
      </c>
      <c r="E89" s="104">
        <v>2862</v>
      </c>
      <c r="F89" s="124"/>
      <c r="G89" s="113">
        <v>50759</v>
      </c>
      <c r="H89" s="113">
        <v>733</v>
      </c>
    </row>
    <row r="90" spans="1:8">
      <c r="A90" s="102" t="s">
        <v>135</v>
      </c>
      <c r="B90" s="24" t="s">
        <v>511</v>
      </c>
      <c r="C90" s="103" t="s">
        <v>134</v>
      </c>
      <c r="D90" s="104">
        <v>14945</v>
      </c>
      <c r="E90" s="104">
        <v>116</v>
      </c>
      <c r="F90" s="124"/>
      <c r="G90" s="113">
        <v>14830</v>
      </c>
      <c r="H90" s="113">
        <v>309</v>
      </c>
    </row>
    <row r="91" spans="1:8">
      <c r="A91" s="102" t="s">
        <v>136</v>
      </c>
      <c r="B91" s="24" t="s">
        <v>512</v>
      </c>
      <c r="C91" s="103" t="s">
        <v>20</v>
      </c>
      <c r="D91" s="104">
        <v>25902</v>
      </c>
      <c r="E91" s="104">
        <v>740</v>
      </c>
      <c r="F91" s="124"/>
      <c r="G91" s="127" t="s">
        <v>21</v>
      </c>
      <c r="H91" s="127" t="s">
        <v>21</v>
      </c>
    </row>
    <row r="92" spans="1:8">
      <c r="A92" s="102" t="s">
        <v>137</v>
      </c>
      <c r="B92" s="24" t="s">
        <v>20</v>
      </c>
      <c r="C92" s="103" t="s">
        <v>20</v>
      </c>
      <c r="D92" s="104">
        <v>22037</v>
      </c>
      <c r="E92" s="104">
        <v>3623</v>
      </c>
      <c r="F92" s="124"/>
      <c r="G92" s="127" t="s">
        <v>21</v>
      </c>
      <c r="H92" s="127" t="s">
        <v>21</v>
      </c>
    </row>
    <row r="93" spans="1:8">
      <c r="A93" s="102" t="s">
        <v>138</v>
      </c>
      <c r="B93" s="24" t="s">
        <v>513</v>
      </c>
      <c r="C93" s="103" t="s">
        <v>139</v>
      </c>
      <c r="D93" s="104">
        <v>32496</v>
      </c>
      <c r="E93" s="104">
        <v>744</v>
      </c>
      <c r="F93" s="124"/>
      <c r="G93" s="113">
        <v>45229</v>
      </c>
      <c r="H93" s="113">
        <v>1343</v>
      </c>
    </row>
    <row r="94" spans="1:8">
      <c r="A94" s="102" t="s">
        <v>140</v>
      </c>
      <c r="B94" s="24" t="s">
        <v>514</v>
      </c>
      <c r="C94" s="103" t="s">
        <v>141</v>
      </c>
      <c r="D94" s="104">
        <v>35622</v>
      </c>
      <c r="E94" s="104">
        <v>660</v>
      </c>
      <c r="F94" s="124"/>
      <c r="G94" s="113">
        <v>55468</v>
      </c>
      <c r="H94" s="113">
        <v>804</v>
      </c>
    </row>
    <row r="95" spans="1:8">
      <c r="A95" s="102" t="s">
        <v>142</v>
      </c>
      <c r="B95" s="24" t="s">
        <v>515</v>
      </c>
      <c r="C95" s="103" t="s">
        <v>141</v>
      </c>
      <c r="D95" s="104">
        <v>15953</v>
      </c>
      <c r="E95" s="104">
        <v>318</v>
      </c>
      <c r="F95" s="124"/>
      <c r="G95" s="113">
        <v>14230</v>
      </c>
      <c r="H95" s="113">
        <v>298</v>
      </c>
    </row>
    <row r="96" spans="1:8">
      <c r="A96" s="102" t="s">
        <v>143</v>
      </c>
      <c r="B96" s="24" t="s">
        <v>516</v>
      </c>
      <c r="C96" s="103" t="s">
        <v>144</v>
      </c>
      <c r="D96" s="104">
        <v>69709</v>
      </c>
      <c r="E96" s="104">
        <v>587</v>
      </c>
      <c r="F96" s="124"/>
      <c r="G96" s="113">
        <v>87164</v>
      </c>
      <c r="H96" s="113">
        <v>1061</v>
      </c>
    </row>
    <row r="97" spans="1:8">
      <c r="A97" s="102" t="s">
        <v>145</v>
      </c>
      <c r="B97" s="24" t="s">
        <v>517</v>
      </c>
      <c r="C97" s="103" t="s">
        <v>146</v>
      </c>
      <c r="D97" s="104">
        <v>2715</v>
      </c>
      <c r="E97" s="104">
        <v>679</v>
      </c>
      <c r="F97" s="124"/>
      <c r="G97" s="113">
        <v>8256</v>
      </c>
      <c r="H97" s="113">
        <v>134</v>
      </c>
    </row>
    <row r="98" spans="1:8">
      <c r="A98" s="102" t="s">
        <v>147</v>
      </c>
      <c r="B98" s="24" t="s">
        <v>146</v>
      </c>
      <c r="C98" s="103" t="s">
        <v>146</v>
      </c>
      <c r="D98" s="104">
        <v>30620</v>
      </c>
      <c r="E98" s="104">
        <v>676</v>
      </c>
      <c r="F98" s="124"/>
      <c r="G98" s="113">
        <v>33350</v>
      </c>
      <c r="H98" s="113">
        <v>799</v>
      </c>
    </row>
    <row r="99" spans="1:8">
      <c r="A99" s="102" t="s">
        <v>148</v>
      </c>
      <c r="B99" s="24" t="s">
        <v>518</v>
      </c>
      <c r="C99" s="103" t="s">
        <v>149</v>
      </c>
      <c r="D99" s="104">
        <v>108976</v>
      </c>
      <c r="E99" s="104">
        <v>2854</v>
      </c>
      <c r="F99" s="124"/>
      <c r="G99" s="113">
        <v>123100</v>
      </c>
      <c r="H99" s="113">
        <v>3268</v>
      </c>
    </row>
    <row r="100" spans="1:8">
      <c r="A100" s="102" t="s">
        <v>150</v>
      </c>
      <c r="B100" s="24" t="s">
        <v>519</v>
      </c>
      <c r="C100" s="103" t="s">
        <v>149</v>
      </c>
      <c r="D100" s="104">
        <v>34861</v>
      </c>
      <c r="E100" s="104">
        <v>245</v>
      </c>
      <c r="F100" s="124"/>
      <c r="G100" s="113">
        <v>102105</v>
      </c>
      <c r="H100" s="113">
        <v>2038</v>
      </c>
    </row>
    <row r="101" spans="1:8">
      <c r="A101" s="102" t="s">
        <v>151</v>
      </c>
      <c r="B101" s="24" t="s">
        <v>520</v>
      </c>
      <c r="C101" s="103" t="s">
        <v>149</v>
      </c>
      <c r="D101" s="104">
        <v>226686</v>
      </c>
      <c r="E101" s="104">
        <v>5452</v>
      </c>
      <c r="F101" s="124"/>
      <c r="G101" s="113">
        <v>220039</v>
      </c>
      <c r="H101" s="113">
        <v>4889</v>
      </c>
    </row>
    <row r="102" spans="1:8">
      <c r="A102" s="102" t="s">
        <v>152</v>
      </c>
      <c r="B102" s="24" t="s">
        <v>89</v>
      </c>
      <c r="C102" s="103" t="s">
        <v>149</v>
      </c>
      <c r="D102" s="104">
        <v>410596</v>
      </c>
      <c r="E102" s="104">
        <v>6488</v>
      </c>
      <c r="F102" s="124"/>
      <c r="G102" s="113">
        <v>437095</v>
      </c>
      <c r="H102" s="113">
        <v>7549</v>
      </c>
    </row>
    <row r="103" spans="1:8">
      <c r="A103" s="102" t="s">
        <v>153</v>
      </c>
      <c r="B103" s="24" t="s">
        <v>521</v>
      </c>
      <c r="C103" s="103" t="s">
        <v>154</v>
      </c>
      <c r="D103" s="104">
        <v>8703</v>
      </c>
      <c r="E103" s="104">
        <v>84</v>
      </c>
      <c r="F103" s="124"/>
      <c r="G103" s="113">
        <v>12501</v>
      </c>
      <c r="H103" s="113">
        <v>191</v>
      </c>
    </row>
    <row r="104" spans="1:8">
      <c r="A104" s="102" t="s">
        <v>155</v>
      </c>
      <c r="B104" s="24" t="s">
        <v>522</v>
      </c>
      <c r="C104" s="103" t="s">
        <v>154</v>
      </c>
      <c r="D104" s="104">
        <v>13840</v>
      </c>
      <c r="E104" s="104">
        <v>1353</v>
      </c>
      <c r="F104" s="124"/>
      <c r="G104" s="113">
        <v>16599</v>
      </c>
      <c r="H104" s="113">
        <v>229</v>
      </c>
    </row>
    <row r="105" spans="1:8">
      <c r="A105" s="102" t="s">
        <v>156</v>
      </c>
      <c r="B105" s="24" t="s">
        <v>523</v>
      </c>
      <c r="C105" s="103" t="s">
        <v>154</v>
      </c>
      <c r="D105" s="104">
        <v>65045</v>
      </c>
      <c r="E105" s="104">
        <v>1930</v>
      </c>
      <c r="F105" s="124"/>
      <c r="G105" s="113">
        <v>51693</v>
      </c>
      <c r="H105" s="113">
        <v>1189</v>
      </c>
    </row>
    <row r="106" spans="1:8">
      <c r="A106" s="102" t="s">
        <v>157</v>
      </c>
      <c r="B106" s="24" t="s">
        <v>524</v>
      </c>
      <c r="C106" s="103" t="s">
        <v>158</v>
      </c>
      <c r="D106" s="104">
        <v>49828</v>
      </c>
      <c r="E106" s="104">
        <v>802</v>
      </c>
      <c r="F106" s="124"/>
      <c r="G106" s="113">
        <v>94639</v>
      </c>
      <c r="H106" s="113">
        <v>1852</v>
      </c>
    </row>
    <row r="107" spans="1:8">
      <c r="A107" s="102" t="s">
        <v>159</v>
      </c>
      <c r="B107" s="24" t="s">
        <v>525</v>
      </c>
      <c r="C107" s="103" t="s">
        <v>158</v>
      </c>
      <c r="D107" s="104">
        <v>8917</v>
      </c>
      <c r="E107" s="104">
        <v>180</v>
      </c>
      <c r="F107" s="124"/>
      <c r="G107" s="127" t="s">
        <v>21</v>
      </c>
      <c r="H107" s="127" t="s">
        <v>21</v>
      </c>
    </row>
    <row r="108" spans="1:8">
      <c r="A108" s="102" t="s">
        <v>160</v>
      </c>
      <c r="B108" s="24" t="s">
        <v>526</v>
      </c>
      <c r="C108" s="103" t="s">
        <v>18</v>
      </c>
      <c r="D108" s="104">
        <v>30525</v>
      </c>
      <c r="E108" s="104">
        <v>821</v>
      </c>
      <c r="F108" s="124"/>
      <c r="G108" s="113">
        <v>39455</v>
      </c>
      <c r="H108" s="113">
        <v>900</v>
      </c>
    </row>
    <row r="109" spans="1:8">
      <c r="A109" s="102" t="s">
        <v>161</v>
      </c>
      <c r="B109" s="24" t="s">
        <v>162</v>
      </c>
      <c r="C109" s="103" t="s">
        <v>162</v>
      </c>
      <c r="D109" s="104">
        <v>71657</v>
      </c>
      <c r="E109" s="104">
        <v>1292</v>
      </c>
      <c r="F109" s="124"/>
      <c r="G109" s="113">
        <v>78944</v>
      </c>
      <c r="H109" s="113">
        <v>1175</v>
      </c>
    </row>
    <row r="110" spans="1:8">
      <c r="A110" s="102" t="s">
        <v>163</v>
      </c>
      <c r="B110" s="24" t="s">
        <v>527</v>
      </c>
      <c r="C110" s="103" t="s">
        <v>162</v>
      </c>
      <c r="D110" s="104">
        <v>5417</v>
      </c>
      <c r="E110" s="104">
        <v>66</v>
      </c>
      <c r="F110" s="124"/>
      <c r="G110" s="113">
        <v>11906</v>
      </c>
      <c r="H110" s="113">
        <v>166</v>
      </c>
    </row>
    <row r="111" spans="1:8">
      <c r="A111" s="102" t="s">
        <v>164</v>
      </c>
      <c r="B111" s="24" t="s">
        <v>528</v>
      </c>
      <c r="C111" s="103" t="s">
        <v>165</v>
      </c>
      <c r="D111" s="104">
        <v>42943</v>
      </c>
      <c r="E111" s="104">
        <v>429</v>
      </c>
      <c r="F111" s="124"/>
      <c r="G111" s="113">
        <v>42044</v>
      </c>
      <c r="H111" s="113">
        <v>0</v>
      </c>
    </row>
    <row r="112" spans="1:8">
      <c r="A112" s="102" t="s">
        <v>166</v>
      </c>
      <c r="B112" s="24" t="s">
        <v>529</v>
      </c>
      <c r="C112" s="103" t="s">
        <v>25</v>
      </c>
      <c r="D112" s="104">
        <v>4534</v>
      </c>
      <c r="E112" s="104">
        <v>183</v>
      </c>
      <c r="F112" s="124"/>
      <c r="G112" s="127" t="s">
        <v>21</v>
      </c>
      <c r="H112" s="127" t="s">
        <v>21</v>
      </c>
    </row>
    <row r="113" spans="1:8">
      <c r="A113" s="102" t="s">
        <v>168</v>
      </c>
      <c r="B113" s="24" t="s">
        <v>531</v>
      </c>
      <c r="C113" s="103" t="s">
        <v>25</v>
      </c>
      <c r="D113" s="104">
        <v>45650</v>
      </c>
      <c r="E113" s="104">
        <v>825</v>
      </c>
      <c r="F113" s="124"/>
      <c r="G113" s="113">
        <v>38330</v>
      </c>
      <c r="H113" s="113">
        <v>540</v>
      </c>
    </row>
    <row r="114" spans="1:8">
      <c r="A114" s="102" t="s">
        <v>170</v>
      </c>
      <c r="B114" s="24" t="s">
        <v>533</v>
      </c>
      <c r="C114" s="103" t="s">
        <v>171</v>
      </c>
      <c r="D114" s="104">
        <v>2067373</v>
      </c>
      <c r="E114" s="104">
        <v>32235</v>
      </c>
      <c r="F114" s="124"/>
      <c r="G114" s="113">
        <v>1796516</v>
      </c>
      <c r="H114" s="113">
        <v>28935</v>
      </c>
    </row>
    <row r="115" spans="1:8">
      <c r="A115" s="102" t="s">
        <v>172</v>
      </c>
      <c r="B115" s="24" t="s">
        <v>534</v>
      </c>
      <c r="C115" s="103" t="s">
        <v>171</v>
      </c>
      <c r="D115" s="104">
        <v>64771</v>
      </c>
      <c r="E115" s="104">
        <v>1582</v>
      </c>
      <c r="F115" s="124"/>
      <c r="G115" s="113">
        <v>111189</v>
      </c>
      <c r="H115" s="113">
        <v>3462</v>
      </c>
    </row>
    <row r="116" spans="1:8">
      <c r="A116" s="102" t="s">
        <v>173</v>
      </c>
      <c r="B116" s="24" t="s">
        <v>535</v>
      </c>
      <c r="C116" s="103" t="s">
        <v>171</v>
      </c>
      <c r="D116" s="104">
        <v>100810</v>
      </c>
      <c r="E116" s="104">
        <v>2328</v>
      </c>
      <c r="F116" s="124"/>
      <c r="G116" s="113">
        <v>93992</v>
      </c>
      <c r="H116" s="113">
        <v>2197</v>
      </c>
    </row>
    <row r="117" spans="1:8">
      <c r="A117" s="102" t="s">
        <v>174</v>
      </c>
      <c r="B117" s="24" t="s">
        <v>536</v>
      </c>
      <c r="C117" s="103" t="s">
        <v>175</v>
      </c>
      <c r="D117" s="104">
        <v>802864</v>
      </c>
      <c r="E117" s="104">
        <v>8995</v>
      </c>
      <c r="F117" s="124"/>
      <c r="G117" s="113">
        <v>648786</v>
      </c>
      <c r="H117" s="113">
        <v>6070</v>
      </c>
    </row>
    <row r="118" spans="1:8">
      <c r="A118" s="102" t="s">
        <v>176</v>
      </c>
      <c r="B118" s="24" t="s">
        <v>537</v>
      </c>
      <c r="C118" s="103" t="s">
        <v>175</v>
      </c>
      <c r="D118" s="104">
        <v>181734</v>
      </c>
      <c r="E118" s="104">
        <v>4468</v>
      </c>
      <c r="F118" s="124"/>
      <c r="G118" s="113">
        <v>222026</v>
      </c>
      <c r="H118" s="113">
        <v>8680</v>
      </c>
    </row>
    <row r="119" spans="1:8">
      <c r="A119" s="102" t="s">
        <v>177</v>
      </c>
      <c r="B119" s="24" t="s">
        <v>538</v>
      </c>
      <c r="C119" s="103" t="s">
        <v>175</v>
      </c>
      <c r="D119" s="104">
        <v>45694</v>
      </c>
      <c r="E119" s="104">
        <v>804</v>
      </c>
      <c r="F119" s="124"/>
      <c r="G119" s="113">
        <v>73147</v>
      </c>
      <c r="H119" s="113">
        <v>1084</v>
      </c>
    </row>
    <row r="120" spans="1:8">
      <c r="A120" s="102" t="s">
        <v>178</v>
      </c>
      <c r="B120" s="24" t="s">
        <v>539</v>
      </c>
      <c r="C120" s="103" t="s">
        <v>175</v>
      </c>
      <c r="D120" s="104">
        <v>39656</v>
      </c>
      <c r="E120" s="104">
        <v>653</v>
      </c>
      <c r="F120" s="124"/>
      <c r="G120" s="113">
        <v>55841</v>
      </c>
      <c r="H120" s="113">
        <v>597</v>
      </c>
    </row>
    <row r="121" spans="1:8">
      <c r="A121" s="102" t="s">
        <v>179</v>
      </c>
      <c r="B121" s="24" t="s">
        <v>540</v>
      </c>
      <c r="C121" s="103" t="s">
        <v>175</v>
      </c>
      <c r="D121" s="104">
        <v>134488</v>
      </c>
      <c r="E121" s="104">
        <v>2656</v>
      </c>
      <c r="F121" s="124"/>
      <c r="G121" s="113">
        <v>197092</v>
      </c>
      <c r="H121" s="113">
        <v>3893</v>
      </c>
    </row>
    <row r="122" spans="1:8">
      <c r="A122" s="102" t="s">
        <v>180</v>
      </c>
      <c r="B122" s="24" t="s">
        <v>541</v>
      </c>
      <c r="C122" s="103" t="s">
        <v>175</v>
      </c>
      <c r="D122" s="104">
        <v>474699</v>
      </c>
      <c r="E122" s="104">
        <v>8218</v>
      </c>
      <c r="F122" s="124"/>
      <c r="G122" s="113">
        <v>548906</v>
      </c>
      <c r="H122" s="113">
        <v>8141</v>
      </c>
    </row>
    <row r="123" spans="1:8">
      <c r="A123" s="102" t="s">
        <v>181</v>
      </c>
      <c r="B123" s="24" t="s">
        <v>542</v>
      </c>
      <c r="C123" s="103" t="s">
        <v>182</v>
      </c>
      <c r="D123" s="104">
        <v>16372</v>
      </c>
      <c r="E123" s="104">
        <v>220</v>
      </c>
      <c r="F123" s="124"/>
      <c r="G123" s="113">
        <v>23141</v>
      </c>
      <c r="H123" s="113">
        <v>179</v>
      </c>
    </row>
    <row r="124" spans="1:8">
      <c r="A124" s="102" t="s">
        <v>183</v>
      </c>
      <c r="B124" s="24" t="s">
        <v>543</v>
      </c>
      <c r="C124" s="103" t="s">
        <v>182</v>
      </c>
      <c r="D124" s="104">
        <v>159151</v>
      </c>
      <c r="E124" s="104">
        <v>6062</v>
      </c>
      <c r="F124" s="124"/>
      <c r="G124" s="113">
        <v>228163</v>
      </c>
      <c r="H124" s="113">
        <v>2716</v>
      </c>
    </row>
    <row r="125" spans="1:8">
      <c r="A125" s="102" t="s">
        <v>184</v>
      </c>
      <c r="B125" s="24" t="s">
        <v>544</v>
      </c>
      <c r="C125" s="103" t="s">
        <v>182</v>
      </c>
      <c r="D125" s="104">
        <v>17451</v>
      </c>
      <c r="E125" s="104">
        <v>234</v>
      </c>
      <c r="F125" s="124"/>
      <c r="G125" s="113">
        <v>13800</v>
      </c>
      <c r="H125" s="113">
        <v>265</v>
      </c>
    </row>
    <row r="126" spans="1:8">
      <c r="A126" s="102" t="s">
        <v>185</v>
      </c>
      <c r="B126" s="24" t="s">
        <v>545</v>
      </c>
      <c r="C126" s="103" t="s">
        <v>186</v>
      </c>
      <c r="D126" s="104">
        <v>234172</v>
      </c>
      <c r="E126" s="104">
        <v>6384</v>
      </c>
      <c r="F126" s="124"/>
      <c r="G126" s="113">
        <v>264136</v>
      </c>
      <c r="H126" s="113">
        <v>9443</v>
      </c>
    </row>
    <row r="127" spans="1:8">
      <c r="A127" s="102" t="s">
        <v>187</v>
      </c>
      <c r="B127" s="24" t="s">
        <v>546</v>
      </c>
      <c r="C127" s="103" t="s">
        <v>186</v>
      </c>
      <c r="D127" s="104">
        <v>77717</v>
      </c>
      <c r="E127" s="104">
        <v>1126</v>
      </c>
      <c r="F127" s="124"/>
      <c r="G127" s="113">
        <v>119491</v>
      </c>
      <c r="H127" s="113">
        <v>1908</v>
      </c>
    </row>
    <row r="128" spans="1:8">
      <c r="A128" s="102" t="s">
        <v>188</v>
      </c>
      <c r="B128" s="24" t="s">
        <v>547</v>
      </c>
      <c r="C128" s="103" t="s">
        <v>186</v>
      </c>
      <c r="D128" s="104">
        <v>47605</v>
      </c>
      <c r="E128" s="104">
        <v>1511</v>
      </c>
      <c r="F128" s="124"/>
      <c r="G128" s="113">
        <v>57934</v>
      </c>
      <c r="H128" s="113">
        <v>2145</v>
      </c>
    </row>
    <row r="129" spans="1:8">
      <c r="A129" s="102" t="s">
        <v>189</v>
      </c>
      <c r="B129" s="24" t="s">
        <v>548</v>
      </c>
      <c r="C129" s="103" t="s">
        <v>186</v>
      </c>
      <c r="D129" s="104">
        <v>110663</v>
      </c>
      <c r="E129" s="104">
        <v>5636</v>
      </c>
      <c r="F129" s="124"/>
      <c r="G129" s="113">
        <v>120532</v>
      </c>
      <c r="H129" s="113">
        <v>3667</v>
      </c>
    </row>
    <row r="130" spans="1:8">
      <c r="A130" s="102" t="s">
        <v>190</v>
      </c>
      <c r="B130" s="24" t="s">
        <v>549</v>
      </c>
      <c r="C130" s="103" t="s">
        <v>32</v>
      </c>
      <c r="D130" s="104">
        <v>16338</v>
      </c>
      <c r="E130" s="104">
        <v>349</v>
      </c>
      <c r="F130" s="124"/>
      <c r="G130" s="127" t="s">
        <v>21</v>
      </c>
      <c r="H130" s="127" t="s">
        <v>21</v>
      </c>
    </row>
    <row r="131" spans="1:8">
      <c r="A131" s="102" t="s">
        <v>191</v>
      </c>
      <c r="B131" s="24" t="s">
        <v>550</v>
      </c>
      <c r="C131" s="103" t="s">
        <v>32</v>
      </c>
      <c r="D131" s="104">
        <v>117217</v>
      </c>
      <c r="E131" s="104">
        <v>2444</v>
      </c>
      <c r="F131" s="124"/>
      <c r="G131" s="113">
        <v>114571</v>
      </c>
      <c r="H131" s="113">
        <v>2377</v>
      </c>
    </row>
    <row r="132" spans="1:8">
      <c r="A132" s="102" t="s">
        <v>192</v>
      </c>
      <c r="B132" s="24" t="s">
        <v>134</v>
      </c>
      <c r="C132" s="103" t="s">
        <v>32</v>
      </c>
      <c r="D132" s="104">
        <v>15784</v>
      </c>
      <c r="E132" s="104">
        <v>178</v>
      </c>
      <c r="F132" s="124"/>
      <c r="G132" s="113">
        <v>19976</v>
      </c>
      <c r="H132" s="113">
        <v>622</v>
      </c>
    </row>
    <row r="133" spans="1:8">
      <c r="A133" s="102" t="s">
        <v>193</v>
      </c>
      <c r="B133" s="24" t="s">
        <v>194</v>
      </c>
      <c r="C133" s="103" t="s">
        <v>194</v>
      </c>
      <c r="D133" s="104">
        <v>98212</v>
      </c>
      <c r="E133" s="104">
        <v>1381</v>
      </c>
      <c r="F133" s="124"/>
      <c r="G133" s="113">
        <v>90340</v>
      </c>
      <c r="H133" s="113">
        <v>1355</v>
      </c>
    </row>
    <row r="134" spans="1:8">
      <c r="A134" s="102" t="s">
        <v>195</v>
      </c>
      <c r="B134" s="24" t="s">
        <v>551</v>
      </c>
      <c r="C134" s="103" t="s">
        <v>194</v>
      </c>
      <c r="D134" s="104">
        <v>106425</v>
      </c>
      <c r="E134" s="104">
        <v>1634</v>
      </c>
      <c r="F134" s="124"/>
      <c r="G134" s="113">
        <v>66160</v>
      </c>
      <c r="H134" s="113">
        <v>832</v>
      </c>
    </row>
    <row r="135" spans="1:8">
      <c r="A135" s="102" t="s">
        <v>196</v>
      </c>
      <c r="B135" s="24" t="s">
        <v>552</v>
      </c>
      <c r="C135" s="103" t="s">
        <v>197</v>
      </c>
      <c r="D135" s="104">
        <v>127125</v>
      </c>
      <c r="E135" s="104">
        <v>2119</v>
      </c>
      <c r="F135" s="124"/>
      <c r="G135" s="113">
        <v>147881</v>
      </c>
      <c r="H135" s="113">
        <v>2709</v>
      </c>
    </row>
    <row r="136" spans="1:8">
      <c r="A136" s="102" t="s">
        <v>198</v>
      </c>
      <c r="B136" s="24" t="s">
        <v>553</v>
      </c>
      <c r="C136" s="103" t="s">
        <v>197</v>
      </c>
      <c r="D136" s="104">
        <v>63846</v>
      </c>
      <c r="E136" s="104">
        <v>1130</v>
      </c>
      <c r="F136" s="124"/>
      <c r="G136" s="113">
        <v>119162</v>
      </c>
      <c r="H136" s="113">
        <v>1988</v>
      </c>
    </row>
    <row r="137" spans="1:8">
      <c r="A137" s="102" t="s">
        <v>199</v>
      </c>
      <c r="B137" s="24" t="s">
        <v>200</v>
      </c>
      <c r="C137" s="103" t="s">
        <v>200</v>
      </c>
      <c r="D137" s="104">
        <v>215272</v>
      </c>
      <c r="E137" s="104">
        <v>3169</v>
      </c>
      <c r="F137" s="124"/>
      <c r="G137" s="113">
        <v>201977</v>
      </c>
      <c r="H137" s="113">
        <v>3139</v>
      </c>
    </row>
    <row r="138" spans="1:8">
      <c r="A138" s="102" t="s">
        <v>201</v>
      </c>
      <c r="B138" s="24" t="s">
        <v>554</v>
      </c>
      <c r="C138" s="103" t="s">
        <v>200</v>
      </c>
      <c r="D138" s="104">
        <v>31224</v>
      </c>
      <c r="E138" s="104">
        <v>4918</v>
      </c>
      <c r="F138" s="124"/>
      <c r="G138" s="113">
        <v>34817</v>
      </c>
      <c r="H138" s="113">
        <v>521</v>
      </c>
    </row>
    <row r="139" spans="1:8">
      <c r="A139" s="102" t="s">
        <v>202</v>
      </c>
      <c r="B139" s="24" t="s">
        <v>555</v>
      </c>
      <c r="C139" s="103" t="s">
        <v>203</v>
      </c>
      <c r="D139" s="104">
        <v>152542</v>
      </c>
      <c r="E139" s="104">
        <v>1882</v>
      </c>
      <c r="F139" s="124"/>
      <c r="G139" s="113">
        <v>175306</v>
      </c>
      <c r="H139" s="113">
        <v>2342</v>
      </c>
    </row>
    <row r="140" spans="1:8">
      <c r="A140" s="102" t="s">
        <v>204</v>
      </c>
      <c r="B140" s="24" t="s">
        <v>556</v>
      </c>
      <c r="C140" s="103" t="s">
        <v>203</v>
      </c>
      <c r="D140" s="104">
        <v>38768</v>
      </c>
      <c r="E140" s="104">
        <v>579</v>
      </c>
      <c r="F140" s="124"/>
      <c r="G140" s="113">
        <v>43726</v>
      </c>
      <c r="H140" s="113">
        <v>627</v>
      </c>
    </row>
    <row r="141" spans="1:8">
      <c r="A141" s="102" t="s">
        <v>205</v>
      </c>
      <c r="B141" s="24" t="s">
        <v>557</v>
      </c>
      <c r="C141" s="103" t="s">
        <v>206</v>
      </c>
      <c r="D141" s="104">
        <v>38185</v>
      </c>
      <c r="E141" s="104">
        <v>441</v>
      </c>
      <c r="F141" s="124"/>
      <c r="G141" s="113">
        <v>44922</v>
      </c>
      <c r="H141" s="113">
        <v>616</v>
      </c>
    </row>
    <row r="142" spans="1:8">
      <c r="A142" s="102" t="s">
        <v>207</v>
      </c>
      <c r="B142" s="24" t="s">
        <v>558</v>
      </c>
      <c r="C142" s="103" t="s">
        <v>206</v>
      </c>
      <c r="D142" s="104">
        <v>146260</v>
      </c>
      <c r="E142" s="104">
        <v>2219</v>
      </c>
      <c r="F142" s="124"/>
      <c r="G142" s="113">
        <v>162740</v>
      </c>
      <c r="H142" s="113">
        <v>2038</v>
      </c>
    </row>
    <row r="143" spans="1:8">
      <c r="A143" s="102" t="s">
        <v>208</v>
      </c>
      <c r="B143" s="24" t="s">
        <v>559</v>
      </c>
      <c r="C143" s="103" t="s">
        <v>206</v>
      </c>
      <c r="D143" s="104">
        <v>94359</v>
      </c>
      <c r="E143" s="104">
        <v>2006</v>
      </c>
      <c r="F143" s="124"/>
      <c r="G143" s="113">
        <v>111698</v>
      </c>
      <c r="H143" s="113">
        <v>2426</v>
      </c>
    </row>
    <row r="144" spans="1:8">
      <c r="A144" s="102" t="s">
        <v>209</v>
      </c>
      <c r="B144" s="24" t="s">
        <v>560</v>
      </c>
      <c r="C144" s="103" t="s">
        <v>210</v>
      </c>
      <c r="D144" s="104">
        <v>22530</v>
      </c>
      <c r="E144" s="104">
        <v>297</v>
      </c>
      <c r="F144" s="124"/>
      <c r="G144" s="113">
        <v>51734</v>
      </c>
      <c r="H144" s="113">
        <v>3258</v>
      </c>
    </row>
    <row r="145" spans="1:8">
      <c r="A145" s="102" t="s">
        <v>211</v>
      </c>
      <c r="B145" s="24" t="s">
        <v>561</v>
      </c>
      <c r="C145" s="103" t="s">
        <v>210</v>
      </c>
      <c r="D145" s="104">
        <v>84826</v>
      </c>
      <c r="E145" s="104">
        <v>7260</v>
      </c>
      <c r="F145" s="124"/>
      <c r="G145" s="113">
        <v>87599</v>
      </c>
      <c r="H145" s="113">
        <v>892</v>
      </c>
    </row>
    <row r="146" spans="1:8">
      <c r="A146" s="102" t="s">
        <v>212</v>
      </c>
      <c r="B146" s="24" t="s">
        <v>562</v>
      </c>
      <c r="C146" s="103" t="s">
        <v>210</v>
      </c>
      <c r="D146" s="104">
        <v>187600</v>
      </c>
      <c r="E146" s="104">
        <v>5374</v>
      </c>
      <c r="F146" s="124"/>
      <c r="G146" s="113">
        <v>187295</v>
      </c>
      <c r="H146" s="113">
        <v>4582</v>
      </c>
    </row>
    <row r="147" spans="1:8">
      <c r="A147" s="102" t="s">
        <v>213</v>
      </c>
      <c r="B147" s="24" t="s">
        <v>563</v>
      </c>
      <c r="C147" s="103" t="s">
        <v>210</v>
      </c>
      <c r="D147" s="104">
        <v>84456</v>
      </c>
      <c r="E147" s="104">
        <v>3109</v>
      </c>
      <c r="F147" s="124"/>
      <c r="G147" s="113">
        <v>95542</v>
      </c>
      <c r="H147" s="113">
        <v>1227</v>
      </c>
    </row>
    <row r="148" spans="1:8">
      <c r="A148" s="102" t="s">
        <v>214</v>
      </c>
      <c r="B148" s="24" t="s">
        <v>564</v>
      </c>
      <c r="C148" s="103" t="s">
        <v>210</v>
      </c>
      <c r="D148" s="104">
        <v>79066</v>
      </c>
      <c r="E148" s="104">
        <v>1437</v>
      </c>
      <c r="F148" s="124"/>
      <c r="G148" s="113">
        <v>82454</v>
      </c>
      <c r="H148" s="113">
        <v>1770</v>
      </c>
    </row>
    <row r="149" spans="1:8">
      <c r="A149" s="102" t="s">
        <v>215</v>
      </c>
      <c r="B149" s="24" t="s">
        <v>565</v>
      </c>
      <c r="C149" s="103" t="s">
        <v>210</v>
      </c>
      <c r="D149" s="104">
        <v>213972</v>
      </c>
      <c r="E149" s="104">
        <v>3535</v>
      </c>
      <c r="F149" s="124"/>
      <c r="G149" s="113">
        <v>224087</v>
      </c>
      <c r="H149" s="113">
        <v>4514</v>
      </c>
    </row>
    <row r="150" spans="1:8">
      <c r="A150" s="102" t="s">
        <v>216</v>
      </c>
      <c r="B150" s="24" t="s">
        <v>566</v>
      </c>
      <c r="C150" s="103" t="s">
        <v>217</v>
      </c>
      <c r="D150" s="104">
        <v>36384</v>
      </c>
      <c r="E150" s="104">
        <v>1297</v>
      </c>
      <c r="F150" s="124"/>
      <c r="G150" s="113">
        <v>38512</v>
      </c>
      <c r="H150" s="113">
        <v>1272</v>
      </c>
    </row>
    <row r="151" spans="1:8">
      <c r="A151" s="102" t="s">
        <v>218</v>
      </c>
      <c r="B151" s="24" t="s">
        <v>567</v>
      </c>
      <c r="C151" s="103" t="s">
        <v>219</v>
      </c>
      <c r="D151" s="104">
        <v>782322</v>
      </c>
      <c r="E151" s="104">
        <v>14045</v>
      </c>
      <c r="F151" s="124"/>
      <c r="G151" s="113">
        <v>936857</v>
      </c>
      <c r="H151" s="113">
        <v>14092</v>
      </c>
    </row>
    <row r="152" spans="1:8">
      <c r="A152" s="102" t="s">
        <v>220</v>
      </c>
      <c r="B152" s="24" t="s">
        <v>568</v>
      </c>
      <c r="C152" s="103" t="s">
        <v>217</v>
      </c>
      <c r="D152" s="104">
        <v>94115</v>
      </c>
      <c r="E152" s="104">
        <v>3546</v>
      </c>
      <c r="F152" s="124"/>
      <c r="G152" s="113">
        <v>109903</v>
      </c>
      <c r="H152" s="113">
        <v>3900</v>
      </c>
    </row>
    <row r="153" spans="1:8">
      <c r="A153" s="102" t="s">
        <v>221</v>
      </c>
      <c r="B153" s="24" t="s">
        <v>569</v>
      </c>
      <c r="C153" s="103" t="s">
        <v>222</v>
      </c>
      <c r="D153" s="104">
        <v>44708</v>
      </c>
      <c r="E153" s="104">
        <v>0</v>
      </c>
      <c r="F153" s="124"/>
      <c r="G153" s="113">
        <v>47024</v>
      </c>
      <c r="H153" s="113">
        <v>715</v>
      </c>
    </row>
    <row r="154" spans="1:8">
      <c r="A154" s="102" t="s">
        <v>223</v>
      </c>
      <c r="B154" s="24" t="s">
        <v>570</v>
      </c>
      <c r="C154" s="103" t="s">
        <v>224</v>
      </c>
      <c r="D154" s="104">
        <v>247504</v>
      </c>
      <c r="E154" s="104">
        <v>12895</v>
      </c>
      <c r="F154" s="124"/>
      <c r="G154" s="113">
        <v>283858</v>
      </c>
      <c r="H154" s="113">
        <v>6584</v>
      </c>
    </row>
    <row r="155" spans="1:8">
      <c r="A155" s="102" t="s">
        <v>225</v>
      </c>
      <c r="B155" s="24" t="s">
        <v>226</v>
      </c>
      <c r="C155" s="103" t="s">
        <v>226</v>
      </c>
      <c r="D155" s="104">
        <v>47034</v>
      </c>
      <c r="E155" s="104">
        <v>830</v>
      </c>
      <c r="F155" s="124"/>
      <c r="G155" s="113">
        <v>49268</v>
      </c>
      <c r="H155" s="113">
        <v>1158</v>
      </c>
    </row>
    <row r="156" spans="1:8">
      <c r="A156" s="102" t="s">
        <v>227</v>
      </c>
      <c r="B156" s="24" t="s">
        <v>571</v>
      </c>
      <c r="C156" s="103" t="s">
        <v>226</v>
      </c>
      <c r="D156" s="104">
        <v>44048</v>
      </c>
      <c r="E156" s="104">
        <v>890</v>
      </c>
      <c r="F156" s="124"/>
      <c r="G156" s="113">
        <v>62506</v>
      </c>
      <c r="H156" s="113">
        <v>1321</v>
      </c>
    </row>
    <row r="157" spans="1:8">
      <c r="A157" s="102" t="s">
        <v>228</v>
      </c>
      <c r="B157" s="24" t="s">
        <v>572</v>
      </c>
      <c r="C157" s="103" t="s">
        <v>226</v>
      </c>
      <c r="D157" s="104">
        <v>17186</v>
      </c>
      <c r="E157" s="104">
        <v>177</v>
      </c>
      <c r="F157" s="124"/>
      <c r="G157" s="113">
        <v>17299</v>
      </c>
      <c r="H157" s="113">
        <v>513</v>
      </c>
    </row>
    <row r="158" spans="1:8">
      <c r="A158" s="102" t="s">
        <v>229</v>
      </c>
      <c r="B158" s="24" t="s">
        <v>573</v>
      </c>
      <c r="C158" s="103" t="s">
        <v>230</v>
      </c>
      <c r="D158" s="104">
        <v>132045</v>
      </c>
      <c r="E158" s="104">
        <v>1929</v>
      </c>
      <c r="F158" s="124"/>
      <c r="G158" s="113">
        <v>148725</v>
      </c>
      <c r="H158" s="113">
        <v>2244</v>
      </c>
    </row>
    <row r="159" spans="1:8">
      <c r="A159" s="102" t="s">
        <v>231</v>
      </c>
      <c r="B159" s="24" t="s">
        <v>574</v>
      </c>
      <c r="C159" s="103" t="s">
        <v>232</v>
      </c>
      <c r="D159" s="104">
        <v>305351</v>
      </c>
      <c r="E159" s="104">
        <v>4902</v>
      </c>
      <c r="F159" s="124"/>
      <c r="G159" s="113">
        <v>297345</v>
      </c>
      <c r="H159" s="113">
        <v>3951</v>
      </c>
    </row>
    <row r="160" spans="1:8">
      <c r="A160" s="102" t="s">
        <v>233</v>
      </c>
      <c r="B160" s="24" t="s">
        <v>575</v>
      </c>
      <c r="C160" s="103" t="s">
        <v>234</v>
      </c>
      <c r="D160" s="104">
        <v>34831</v>
      </c>
      <c r="E160" s="104">
        <v>3456</v>
      </c>
      <c r="F160" s="124"/>
      <c r="G160" s="113">
        <v>38907</v>
      </c>
      <c r="H160" s="113">
        <v>579</v>
      </c>
    </row>
    <row r="161" spans="1:8">
      <c r="A161" s="102" t="s">
        <v>235</v>
      </c>
      <c r="B161" s="24" t="s">
        <v>576</v>
      </c>
      <c r="C161" s="103" t="s">
        <v>234</v>
      </c>
      <c r="D161" s="104">
        <v>75125</v>
      </c>
      <c r="E161" s="104">
        <v>1598</v>
      </c>
      <c r="F161" s="124"/>
      <c r="G161" s="113">
        <v>100837</v>
      </c>
      <c r="H161" s="113">
        <v>1846</v>
      </c>
    </row>
    <row r="162" spans="1:8">
      <c r="A162" s="102" t="s">
        <v>236</v>
      </c>
      <c r="B162" s="24" t="s">
        <v>577</v>
      </c>
      <c r="C162" s="103" t="s">
        <v>232</v>
      </c>
      <c r="D162" s="104">
        <v>96894</v>
      </c>
      <c r="E162" s="104">
        <v>2013</v>
      </c>
      <c r="F162" s="124"/>
      <c r="G162" s="113">
        <v>98321</v>
      </c>
      <c r="H162" s="113">
        <v>2280</v>
      </c>
    </row>
    <row r="163" spans="1:8">
      <c r="A163" s="102" t="s">
        <v>237</v>
      </c>
      <c r="B163" s="24" t="s">
        <v>578</v>
      </c>
      <c r="C163" s="103" t="s">
        <v>232</v>
      </c>
      <c r="D163" s="104">
        <v>141643</v>
      </c>
      <c r="E163" s="104">
        <v>2937</v>
      </c>
      <c r="F163" s="124"/>
      <c r="G163" s="113">
        <v>135798</v>
      </c>
      <c r="H163" s="113">
        <v>2081</v>
      </c>
    </row>
    <row r="164" spans="1:8">
      <c r="A164" s="102" t="s">
        <v>238</v>
      </c>
      <c r="B164" s="24" t="s">
        <v>579</v>
      </c>
      <c r="C164" s="103" t="s">
        <v>232</v>
      </c>
      <c r="D164" s="104">
        <v>71142</v>
      </c>
      <c r="E164" s="104">
        <v>4957</v>
      </c>
      <c r="F164" s="124"/>
      <c r="G164" s="113">
        <v>74743</v>
      </c>
      <c r="H164" s="113">
        <v>1125</v>
      </c>
    </row>
    <row r="165" spans="1:8">
      <c r="A165" s="102" t="s">
        <v>239</v>
      </c>
      <c r="B165" s="24" t="s">
        <v>580</v>
      </c>
      <c r="C165" s="103" t="s">
        <v>232</v>
      </c>
      <c r="D165" s="104">
        <v>17579</v>
      </c>
      <c r="E165" s="104">
        <v>471</v>
      </c>
      <c r="F165" s="124"/>
      <c r="G165" s="113">
        <v>16049</v>
      </c>
      <c r="H165" s="113">
        <v>435</v>
      </c>
    </row>
    <row r="166" spans="1:8">
      <c r="A166" s="102" t="s">
        <v>240</v>
      </c>
      <c r="B166" s="24" t="s">
        <v>581</v>
      </c>
      <c r="C166" s="103" t="s">
        <v>232</v>
      </c>
      <c r="D166" s="104">
        <v>57876</v>
      </c>
      <c r="E166" s="104">
        <v>607</v>
      </c>
      <c r="F166" s="124"/>
      <c r="G166" s="113">
        <v>48891</v>
      </c>
      <c r="H166" s="113">
        <v>576</v>
      </c>
    </row>
    <row r="167" spans="1:8">
      <c r="A167" s="102" t="s">
        <v>241</v>
      </c>
      <c r="B167" s="24" t="s">
        <v>582</v>
      </c>
      <c r="C167" s="103" t="s">
        <v>242</v>
      </c>
      <c r="D167" s="104">
        <v>100902</v>
      </c>
      <c r="E167" s="104">
        <v>1422</v>
      </c>
      <c r="F167" s="124"/>
      <c r="G167" s="113">
        <v>108303</v>
      </c>
      <c r="H167" s="113">
        <v>1951</v>
      </c>
    </row>
    <row r="168" spans="1:8">
      <c r="A168" s="102" t="s">
        <v>243</v>
      </c>
      <c r="B168" s="24" t="s">
        <v>583</v>
      </c>
      <c r="C168" s="103" t="s">
        <v>217</v>
      </c>
      <c r="D168" s="104">
        <v>170985</v>
      </c>
      <c r="E168" s="104">
        <v>6738</v>
      </c>
      <c r="F168" s="124"/>
      <c r="G168" s="113">
        <v>207853</v>
      </c>
      <c r="H168" s="113">
        <v>7657</v>
      </c>
    </row>
    <row r="169" spans="1:8">
      <c r="A169" s="102" t="s">
        <v>244</v>
      </c>
      <c r="B169" s="24" t="s">
        <v>584</v>
      </c>
      <c r="C169" s="103" t="s">
        <v>245</v>
      </c>
      <c r="D169" s="104">
        <v>57632</v>
      </c>
      <c r="E169" s="104">
        <v>1130</v>
      </c>
      <c r="F169" s="124"/>
      <c r="G169" s="113">
        <v>59334</v>
      </c>
      <c r="H169" s="113">
        <v>1208</v>
      </c>
    </row>
    <row r="170" spans="1:8">
      <c r="A170" s="102" t="s">
        <v>246</v>
      </c>
      <c r="B170" s="24" t="s">
        <v>585</v>
      </c>
      <c r="C170" s="103" t="s">
        <v>247</v>
      </c>
      <c r="D170" s="104">
        <v>124781</v>
      </c>
      <c r="E170" s="104">
        <v>2383</v>
      </c>
      <c r="F170" s="124"/>
      <c r="G170" s="113">
        <v>146766</v>
      </c>
      <c r="H170" s="113">
        <v>2123</v>
      </c>
    </row>
    <row r="171" spans="1:8">
      <c r="A171" s="102" t="s">
        <v>248</v>
      </c>
      <c r="B171" s="24" t="s">
        <v>586</v>
      </c>
      <c r="C171" s="103" t="s">
        <v>249</v>
      </c>
      <c r="D171" s="104">
        <v>175537</v>
      </c>
      <c r="E171" s="104">
        <v>3336</v>
      </c>
      <c r="F171" s="124"/>
      <c r="G171" s="113">
        <v>200894</v>
      </c>
      <c r="H171" s="113">
        <v>3808</v>
      </c>
    </row>
    <row r="172" spans="1:8">
      <c r="A172" s="102" t="s">
        <v>250</v>
      </c>
      <c r="B172" s="24" t="s">
        <v>251</v>
      </c>
      <c r="C172" s="103" t="s">
        <v>251</v>
      </c>
      <c r="D172" s="104">
        <v>50631</v>
      </c>
      <c r="E172" s="104">
        <v>600</v>
      </c>
      <c r="F172" s="124"/>
      <c r="G172" s="113">
        <v>62202</v>
      </c>
      <c r="H172" s="113">
        <v>1010</v>
      </c>
    </row>
    <row r="173" spans="1:8">
      <c r="A173" s="102" t="s">
        <v>252</v>
      </c>
      <c r="B173" s="24" t="s">
        <v>587</v>
      </c>
      <c r="C173" s="103" t="s">
        <v>253</v>
      </c>
      <c r="D173" s="104">
        <v>156131</v>
      </c>
      <c r="E173" s="104">
        <v>3260</v>
      </c>
      <c r="F173" s="124"/>
      <c r="G173" s="113">
        <v>178966</v>
      </c>
      <c r="H173" s="113">
        <v>4077</v>
      </c>
    </row>
    <row r="174" spans="1:8">
      <c r="A174" s="102" t="s">
        <v>254</v>
      </c>
      <c r="B174" s="24" t="s">
        <v>588</v>
      </c>
      <c r="C174" s="103" t="s">
        <v>253</v>
      </c>
      <c r="D174" s="104">
        <v>537487</v>
      </c>
      <c r="E174" s="104">
        <v>0</v>
      </c>
      <c r="F174" s="124"/>
      <c r="G174" s="113">
        <v>549836</v>
      </c>
      <c r="H174" s="113">
        <v>13444</v>
      </c>
    </row>
    <row r="175" spans="1:8">
      <c r="A175" s="102" t="s">
        <v>255</v>
      </c>
      <c r="B175" s="24" t="s">
        <v>589</v>
      </c>
      <c r="C175" s="103" t="s">
        <v>256</v>
      </c>
      <c r="D175" s="104">
        <v>54271</v>
      </c>
      <c r="E175" s="104">
        <v>1504</v>
      </c>
      <c r="F175" s="124"/>
      <c r="G175" s="113">
        <v>54445</v>
      </c>
      <c r="H175" s="113">
        <v>1780</v>
      </c>
    </row>
    <row r="176" spans="1:8">
      <c r="A176" s="102" t="s">
        <v>257</v>
      </c>
      <c r="B176" s="24" t="s">
        <v>590</v>
      </c>
      <c r="C176" s="103" t="s">
        <v>16</v>
      </c>
      <c r="D176" s="104">
        <v>65205</v>
      </c>
      <c r="E176" s="104">
        <v>1028</v>
      </c>
      <c r="F176" s="124"/>
      <c r="G176" s="113">
        <v>77524</v>
      </c>
      <c r="H176" s="113">
        <v>1663</v>
      </c>
    </row>
    <row r="177" spans="1:8">
      <c r="A177" s="102" t="s">
        <v>258</v>
      </c>
      <c r="B177" s="24" t="s">
        <v>591</v>
      </c>
      <c r="C177" s="103" t="s">
        <v>219</v>
      </c>
      <c r="D177" s="104">
        <v>128215</v>
      </c>
      <c r="E177" s="104">
        <v>2155</v>
      </c>
      <c r="F177" s="124"/>
      <c r="G177" s="113">
        <v>139039</v>
      </c>
      <c r="H177" s="113">
        <v>2022</v>
      </c>
    </row>
    <row r="178" spans="1:8">
      <c r="A178" s="102" t="s">
        <v>259</v>
      </c>
      <c r="B178" s="24" t="s">
        <v>592</v>
      </c>
      <c r="C178" s="103" t="s">
        <v>256</v>
      </c>
      <c r="D178" s="104">
        <v>595427</v>
      </c>
      <c r="E178" s="104">
        <v>9890</v>
      </c>
      <c r="F178" s="124"/>
      <c r="G178" s="113">
        <v>639093</v>
      </c>
      <c r="H178" s="113">
        <v>9683</v>
      </c>
    </row>
    <row r="179" spans="1:8">
      <c r="A179" s="102" t="s">
        <v>260</v>
      </c>
      <c r="B179" s="24" t="s">
        <v>593</v>
      </c>
      <c r="C179" s="103" t="s">
        <v>261</v>
      </c>
      <c r="D179" s="104">
        <v>60545</v>
      </c>
      <c r="E179" s="104">
        <v>1342</v>
      </c>
      <c r="F179" s="124"/>
      <c r="G179" s="113">
        <v>61110</v>
      </c>
      <c r="H179" s="113">
        <v>1882</v>
      </c>
    </row>
    <row r="180" spans="1:8">
      <c r="A180" s="102" t="s">
        <v>262</v>
      </c>
      <c r="B180" s="24" t="s">
        <v>594</v>
      </c>
      <c r="C180" s="103" t="s">
        <v>42</v>
      </c>
      <c r="D180" s="104">
        <v>377259</v>
      </c>
      <c r="E180" s="104">
        <v>7018</v>
      </c>
      <c r="F180" s="124"/>
      <c r="G180" s="113">
        <v>414560</v>
      </c>
      <c r="H180" s="113">
        <v>6410</v>
      </c>
    </row>
    <row r="181" spans="1:8">
      <c r="A181" s="102" t="s">
        <v>263</v>
      </c>
      <c r="B181" s="24" t="s">
        <v>595</v>
      </c>
      <c r="C181" s="103" t="s">
        <v>264</v>
      </c>
      <c r="D181" s="104">
        <v>48291</v>
      </c>
      <c r="E181" s="104">
        <v>1100</v>
      </c>
      <c r="F181" s="124"/>
      <c r="G181" s="113">
        <v>81300</v>
      </c>
      <c r="H181" s="113">
        <v>1700</v>
      </c>
    </row>
    <row r="182" spans="1:8">
      <c r="A182" s="102" t="s">
        <v>265</v>
      </c>
      <c r="B182" s="24" t="s">
        <v>596</v>
      </c>
      <c r="C182" s="103" t="s">
        <v>266</v>
      </c>
      <c r="D182" s="104">
        <v>74544</v>
      </c>
      <c r="E182" s="104">
        <v>778</v>
      </c>
      <c r="F182" s="124"/>
      <c r="G182" s="113">
        <v>112320</v>
      </c>
      <c r="H182" s="113">
        <v>1491</v>
      </c>
    </row>
    <row r="183" spans="1:8">
      <c r="A183" s="102" t="s">
        <v>267</v>
      </c>
      <c r="B183" s="24" t="s">
        <v>597</v>
      </c>
      <c r="C183" s="103" t="s">
        <v>268</v>
      </c>
      <c r="D183" s="104">
        <v>141555</v>
      </c>
      <c r="E183" s="104">
        <v>12171</v>
      </c>
      <c r="F183" s="124"/>
      <c r="G183" s="113">
        <v>133284</v>
      </c>
      <c r="H183" s="113">
        <v>14429</v>
      </c>
    </row>
    <row r="184" spans="1:8">
      <c r="A184" s="102" t="s">
        <v>269</v>
      </c>
      <c r="B184" s="24" t="s">
        <v>598</v>
      </c>
      <c r="C184" s="103" t="s">
        <v>270</v>
      </c>
      <c r="D184" s="104">
        <v>171751</v>
      </c>
      <c r="E184" s="104">
        <v>2282</v>
      </c>
      <c r="F184" s="124"/>
      <c r="G184" s="113">
        <v>194020</v>
      </c>
      <c r="H184" s="113">
        <v>2680</v>
      </c>
    </row>
    <row r="185" spans="1:8">
      <c r="A185" s="102" t="s">
        <v>271</v>
      </c>
      <c r="B185" s="24" t="s">
        <v>599</v>
      </c>
      <c r="C185" s="103" t="s">
        <v>247</v>
      </c>
      <c r="D185" s="104">
        <v>74345</v>
      </c>
      <c r="E185" s="104">
        <v>1123</v>
      </c>
      <c r="F185" s="124"/>
      <c r="G185" s="113">
        <v>85078</v>
      </c>
      <c r="H185" s="113">
        <v>1207</v>
      </c>
    </row>
    <row r="186" spans="1:8">
      <c r="A186" s="102" t="s">
        <v>272</v>
      </c>
      <c r="B186" s="24" t="s">
        <v>600</v>
      </c>
      <c r="C186" s="103" t="s">
        <v>273</v>
      </c>
      <c r="D186" s="104">
        <v>39958</v>
      </c>
      <c r="E186" s="104">
        <v>0</v>
      </c>
      <c r="F186" s="124"/>
      <c r="G186" s="113">
        <v>39518</v>
      </c>
      <c r="H186" s="113">
        <v>0</v>
      </c>
    </row>
    <row r="187" spans="1:8">
      <c r="A187" s="102" t="s">
        <v>274</v>
      </c>
      <c r="B187" s="24" t="s">
        <v>275</v>
      </c>
      <c r="C187" s="103" t="s">
        <v>275</v>
      </c>
      <c r="D187" s="104">
        <v>192602</v>
      </c>
      <c r="E187" s="104">
        <v>2610</v>
      </c>
      <c r="F187" s="124"/>
      <c r="G187" s="113">
        <v>259130</v>
      </c>
      <c r="H187" s="113">
        <v>3022</v>
      </c>
    </row>
    <row r="188" spans="1:8">
      <c r="A188" s="102" t="s">
        <v>276</v>
      </c>
      <c r="B188" s="24" t="s">
        <v>601</v>
      </c>
      <c r="C188" s="103" t="s">
        <v>268</v>
      </c>
      <c r="D188" s="104">
        <v>1199557</v>
      </c>
      <c r="E188" s="104">
        <v>12261</v>
      </c>
      <c r="F188" s="124"/>
      <c r="G188" s="113">
        <v>1125920</v>
      </c>
      <c r="H188" s="113">
        <v>12565</v>
      </c>
    </row>
    <row r="189" spans="1:8">
      <c r="A189" s="102" t="s">
        <v>277</v>
      </c>
      <c r="B189" s="24" t="s">
        <v>469</v>
      </c>
      <c r="C189" s="103" t="s">
        <v>268</v>
      </c>
      <c r="D189" s="104">
        <v>51605</v>
      </c>
      <c r="E189" s="104">
        <v>896</v>
      </c>
      <c r="F189" s="124"/>
      <c r="G189" s="113">
        <v>68337</v>
      </c>
      <c r="H189" s="113">
        <v>1572</v>
      </c>
    </row>
    <row r="190" spans="1:8">
      <c r="A190" s="102" t="s">
        <v>278</v>
      </c>
      <c r="B190" s="24" t="s">
        <v>602</v>
      </c>
      <c r="C190" s="103" t="s">
        <v>42</v>
      </c>
      <c r="D190" s="104">
        <v>1112901</v>
      </c>
      <c r="E190" s="104">
        <v>10179</v>
      </c>
      <c r="F190" s="124"/>
      <c r="G190" s="113">
        <v>1301771</v>
      </c>
      <c r="H190" s="113">
        <v>8917</v>
      </c>
    </row>
    <row r="191" spans="1:8">
      <c r="A191" s="102" t="s">
        <v>279</v>
      </c>
      <c r="B191" s="24" t="s">
        <v>603</v>
      </c>
      <c r="C191" s="103" t="s">
        <v>280</v>
      </c>
      <c r="D191" s="104">
        <v>26225</v>
      </c>
      <c r="E191" s="104">
        <v>329</v>
      </c>
      <c r="F191" s="124"/>
      <c r="G191" s="113">
        <v>32774</v>
      </c>
      <c r="H191" s="113">
        <v>602</v>
      </c>
    </row>
    <row r="192" spans="1:8">
      <c r="A192" s="102" t="s">
        <v>281</v>
      </c>
      <c r="B192" s="24" t="s">
        <v>604</v>
      </c>
      <c r="C192" s="103" t="s">
        <v>282</v>
      </c>
      <c r="D192" s="104">
        <v>13370</v>
      </c>
      <c r="E192" s="104">
        <v>232</v>
      </c>
      <c r="F192" s="124"/>
      <c r="G192" s="113">
        <v>28539</v>
      </c>
      <c r="H192" s="113">
        <v>503</v>
      </c>
    </row>
    <row r="193" spans="1:8">
      <c r="A193" s="102" t="s">
        <v>283</v>
      </c>
      <c r="B193" s="24" t="s">
        <v>284</v>
      </c>
      <c r="C193" s="103" t="s">
        <v>284</v>
      </c>
      <c r="D193" s="104">
        <v>54036</v>
      </c>
      <c r="E193" s="104">
        <v>1199</v>
      </c>
      <c r="F193" s="124"/>
      <c r="G193" s="113">
        <v>69249</v>
      </c>
      <c r="H193" s="113">
        <v>1302</v>
      </c>
    </row>
    <row r="194" spans="1:8">
      <c r="A194" s="102" t="s">
        <v>285</v>
      </c>
      <c r="B194" s="24" t="s">
        <v>605</v>
      </c>
      <c r="C194" s="103" t="s">
        <v>280</v>
      </c>
      <c r="D194" s="104">
        <v>179451</v>
      </c>
      <c r="E194" s="104">
        <v>3270</v>
      </c>
      <c r="F194" s="124"/>
      <c r="G194" s="113">
        <v>198967</v>
      </c>
      <c r="H194" s="113">
        <v>3656</v>
      </c>
    </row>
    <row r="195" spans="1:8">
      <c r="A195" s="102" t="s">
        <v>286</v>
      </c>
      <c r="B195" s="24" t="s">
        <v>408</v>
      </c>
      <c r="C195" s="103" t="s">
        <v>280</v>
      </c>
      <c r="D195" s="104">
        <v>4933</v>
      </c>
      <c r="E195" s="104">
        <v>102</v>
      </c>
      <c r="F195" s="124"/>
      <c r="G195" s="113">
        <v>10197</v>
      </c>
      <c r="H195" s="113">
        <v>137</v>
      </c>
    </row>
    <row r="196" spans="1:8">
      <c r="A196" s="102" t="s">
        <v>287</v>
      </c>
      <c r="B196" s="24" t="s">
        <v>288</v>
      </c>
      <c r="C196" s="103" t="s">
        <v>288</v>
      </c>
      <c r="D196" s="104">
        <v>63964</v>
      </c>
      <c r="E196" s="104">
        <v>956</v>
      </c>
      <c r="F196" s="124"/>
      <c r="G196" s="113">
        <v>54820</v>
      </c>
      <c r="H196" s="113">
        <v>705</v>
      </c>
    </row>
    <row r="197" spans="1:8">
      <c r="A197" s="102" t="s">
        <v>289</v>
      </c>
      <c r="B197" s="24" t="s">
        <v>606</v>
      </c>
      <c r="C197" s="103" t="s">
        <v>290</v>
      </c>
      <c r="D197" s="104">
        <v>65096</v>
      </c>
      <c r="E197" s="104">
        <v>1125</v>
      </c>
      <c r="F197" s="124"/>
      <c r="G197" s="113">
        <v>52123</v>
      </c>
      <c r="H197" s="113">
        <v>1009</v>
      </c>
    </row>
    <row r="198" spans="1:8">
      <c r="A198" s="102" t="s">
        <v>291</v>
      </c>
      <c r="B198" s="24" t="s">
        <v>607</v>
      </c>
      <c r="C198" s="103" t="s">
        <v>42</v>
      </c>
      <c r="D198" s="104">
        <v>263141</v>
      </c>
      <c r="E198" s="104">
        <v>5300</v>
      </c>
      <c r="F198" s="124"/>
      <c r="G198" s="113">
        <v>366312</v>
      </c>
      <c r="H198" s="113">
        <v>7378</v>
      </c>
    </row>
    <row r="199" spans="1:8">
      <c r="A199" s="102" t="s">
        <v>292</v>
      </c>
      <c r="B199" s="24" t="s">
        <v>608</v>
      </c>
      <c r="C199" s="103" t="s">
        <v>293</v>
      </c>
      <c r="D199" s="104">
        <v>46965</v>
      </c>
      <c r="E199" s="104">
        <v>593</v>
      </c>
      <c r="F199" s="124"/>
      <c r="G199" s="113">
        <v>50215</v>
      </c>
      <c r="H199" s="113">
        <v>901</v>
      </c>
    </row>
    <row r="200" spans="1:8">
      <c r="A200" s="102" t="s">
        <v>294</v>
      </c>
      <c r="B200" s="24" t="s">
        <v>609</v>
      </c>
      <c r="C200" s="103" t="s">
        <v>42</v>
      </c>
      <c r="D200" s="104">
        <v>87223</v>
      </c>
      <c r="E200" s="104">
        <v>2247</v>
      </c>
      <c r="F200" s="124"/>
      <c r="G200" s="113">
        <v>121146</v>
      </c>
      <c r="H200" s="113">
        <v>1991</v>
      </c>
    </row>
    <row r="201" spans="1:8">
      <c r="A201" s="102" t="s">
        <v>295</v>
      </c>
      <c r="B201" s="24" t="s">
        <v>610</v>
      </c>
      <c r="C201" s="103" t="s">
        <v>296</v>
      </c>
      <c r="D201" s="104">
        <v>47934</v>
      </c>
      <c r="E201" s="104">
        <v>383</v>
      </c>
      <c r="F201" s="124"/>
      <c r="G201" s="113">
        <v>41059</v>
      </c>
      <c r="H201" s="113">
        <v>470</v>
      </c>
    </row>
    <row r="202" spans="1:8">
      <c r="A202" s="102" t="s">
        <v>297</v>
      </c>
      <c r="B202" s="24" t="s">
        <v>611</v>
      </c>
      <c r="C202" s="103" t="s">
        <v>296</v>
      </c>
      <c r="D202" s="104">
        <v>55709</v>
      </c>
      <c r="E202" s="104">
        <v>996</v>
      </c>
      <c r="F202" s="124"/>
      <c r="G202" s="113">
        <v>63727</v>
      </c>
      <c r="H202" s="113">
        <v>1065</v>
      </c>
    </row>
    <row r="203" spans="1:8">
      <c r="A203" s="102" t="s">
        <v>298</v>
      </c>
      <c r="B203" s="24" t="s">
        <v>612</v>
      </c>
      <c r="C203" s="103" t="s">
        <v>299</v>
      </c>
      <c r="D203" s="104">
        <v>23397</v>
      </c>
      <c r="E203" s="104">
        <v>441</v>
      </c>
      <c r="F203" s="124"/>
      <c r="G203" s="113">
        <v>20645</v>
      </c>
      <c r="H203" s="113">
        <v>318</v>
      </c>
    </row>
    <row r="204" spans="1:8">
      <c r="A204" s="102" t="s">
        <v>300</v>
      </c>
      <c r="B204" s="24" t="s">
        <v>613</v>
      </c>
      <c r="C204" s="103" t="s">
        <v>301</v>
      </c>
      <c r="D204" s="104">
        <v>224130</v>
      </c>
      <c r="E204" s="104">
        <v>4565</v>
      </c>
      <c r="F204" s="124"/>
      <c r="G204" s="113">
        <v>248554</v>
      </c>
      <c r="H204" s="113">
        <v>5305</v>
      </c>
    </row>
    <row r="205" spans="1:8">
      <c r="A205" s="102" t="s">
        <v>302</v>
      </c>
      <c r="B205" s="24" t="s">
        <v>144</v>
      </c>
      <c r="C205" s="103" t="s">
        <v>264</v>
      </c>
      <c r="D205" s="104">
        <v>22729</v>
      </c>
      <c r="E205" s="104">
        <v>434</v>
      </c>
      <c r="F205" s="124"/>
      <c r="G205" s="113">
        <v>33234</v>
      </c>
      <c r="H205" s="113">
        <v>603</v>
      </c>
    </row>
    <row r="206" spans="1:8">
      <c r="A206" s="102" t="s">
        <v>303</v>
      </c>
      <c r="B206" s="24" t="s">
        <v>614</v>
      </c>
      <c r="C206" s="103" t="s">
        <v>42</v>
      </c>
      <c r="D206" s="104">
        <v>323622</v>
      </c>
      <c r="E206" s="104">
        <v>4620</v>
      </c>
      <c r="F206" s="124"/>
      <c r="G206" s="113">
        <v>407755</v>
      </c>
      <c r="H206" s="113">
        <v>7074</v>
      </c>
    </row>
    <row r="207" spans="1:8">
      <c r="A207" s="102" t="s">
        <v>304</v>
      </c>
      <c r="B207" s="24" t="s">
        <v>615</v>
      </c>
      <c r="C207" s="103" t="s">
        <v>293</v>
      </c>
      <c r="D207" s="104">
        <v>22289</v>
      </c>
      <c r="E207" s="104">
        <v>375</v>
      </c>
      <c r="F207" s="124"/>
      <c r="G207" s="113">
        <v>38534</v>
      </c>
      <c r="H207" s="113">
        <v>624</v>
      </c>
    </row>
    <row r="208" spans="1:8">
      <c r="A208" s="102" t="s">
        <v>305</v>
      </c>
      <c r="B208" s="24" t="s">
        <v>616</v>
      </c>
      <c r="C208" s="103" t="s">
        <v>306</v>
      </c>
      <c r="D208" s="104">
        <v>87514</v>
      </c>
      <c r="E208" s="104">
        <v>2161</v>
      </c>
      <c r="F208" s="124"/>
      <c r="G208" s="113">
        <v>103290</v>
      </c>
      <c r="H208" s="113">
        <v>1464</v>
      </c>
    </row>
    <row r="209" spans="1:8">
      <c r="A209" s="102" t="s">
        <v>307</v>
      </c>
      <c r="B209" s="24" t="s">
        <v>617</v>
      </c>
      <c r="C209" s="103" t="s">
        <v>264</v>
      </c>
      <c r="D209" s="104">
        <v>93323</v>
      </c>
      <c r="E209" s="104">
        <v>3926</v>
      </c>
      <c r="F209" s="124"/>
      <c r="G209" s="113">
        <v>115071</v>
      </c>
      <c r="H209" s="113">
        <v>1647</v>
      </c>
    </row>
    <row r="210" spans="1:8">
      <c r="A210" s="102" t="s">
        <v>308</v>
      </c>
      <c r="B210" s="24" t="s">
        <v>618</v>
      </c>
      <c r="C210" s="103" t="s">
        <v>34</v>
      </c>
      <c r="D210" s="104">
        <v>19991</v>
      </c>
      <c r="E210" s="104">
        <v>245</v>
      </c>
      <c r="F210" s="124"/>
      <c r="G210" s="113">
        <v>23418</v>
      </c>
      <c r="H210" s="113">
        <v>335</v>
      </c>
    </row>
    <row r="211" spans="1:8">
      <c r="A211" s="102" t="s">
        <v>309</v>
      </c>
      <c r="B211" s="24" t="s">
        <v>619</v>
      </c>
      <c r="C211" s="103" t="s">
        <v>299</v>
      </c>
      <c r="D211" s="104">
        <v>108243</v>
      </c>
      <c r="E211" s="104">
        <v>1464</v>
      </c>
      <c r="F211" s="124"/>
      <c r="G211" s="113">
        <v>170404</v>
      </c>
      <c r="H211" s="113">
        <v>2271</v>
      </c>
    </row>
    <row r="212" spans="1:8">
      <c r="A212" s="102" t="s">
        <v>310</v>
      </c>
      <c r="B212" s="24" t="s">
        <v>296</v>
      </c>
      <c r="C212" s="103" t="s">
        <v>296</v>
      </c>
      <c r="D212" s="104">
        <v>95109</v>
      </c>
      <c r="E212" s="104">
        <v>1805</v>
      </c>
      <c r="F212" s="124"/>
      <c r="G212" s="113">
        <v>95021</v>
      </c>
      <c r="H212" s="113">
        <v>2265</v>
      </c>
    </row>
    <row r="213" spans="1:8">
      <c r="A213" s="102" t="s">
        <v>311</v>
      </c>
      <c r="B213" s="24" t="s">
        <v>266</v>
      </c>
      <c r="C213" s="103" t="s">
        <v>266</v>
      </c>
      <c r="D213" s="104">
        <v>266942</v>
      </c>
      <c r="E213" s="104">
        <v>2710</v>
      </c>
      <c r="F213" s="124"/>
      <c r="G213" s="113">
        <v>369003</v>
      </c>
      <c r="H213" s="113">
        <v>3655</v>
      </c>
    </row>
    <row r="214" spans="1:8">
      <c r="A214" s="102" t="s">
        <v>312</v>
      </c>
      <c r="B214" s="24" t="s">
        <v>620</v>
      </c>
      <c r="C214" s="103" t="s">
        <v>296</v>
      </c>
      <c r="D214" s="104">
        <v>113719</v>
      </c>
      <c r="E214" s="104">
        <v>1810</v>
      </c>
      <c r="F214" s="124"/>
      <c r="G214" s="113">
        <v>130227</v>
      </c>
      <c r="H214" s="113">
        <v>1938</v>
      </c>
    </row>
    <row r="215" spans="1:8">
      <c r="A215" s="102" t="s">
        <v>313</v>
      </c>
      <c r="B215" s="24" t="s">
        <v>621</v>
      </c>
      <c r="C215" s="103" t="s">
        <v>296</v>
      </c>
      <c r="D215" s="104">
        <v>54467</v>
      </c>
      <c r="E215" s="104">
        <v>962</v>
      </c>
      <c r="F215" s="124"/>
      <c r="G215" s="113">
        <v>54279</v>
      </c>
      <c r="H215" s="113">
        <v>4379</v>
      </c>
    </row>
    <row r="216" spans="1:8">
      <c r="A216" s="102" t="s">
        <v>314</v>
      </c>
      <c r="B216" s="24" t="s">
        <v>622</v>
      </c>
      <c r="C216" s="103" t="s">
        <v>315</v>
      </c>
      <c r="D216" s="104">
        <v>36803</v>
      </c>
      <c r="E216" s="104">
        <v>625</v>
      </c>
      <c r="F216" s="124"/>
      <c r="G216" s="113">
        <v>65719</v>
      </c>
      <c r="H216" s="113">
        <v>1199</v>
      </c>
    </row>
    <row r="217" spans="1:8">
      <c r="A217" s="102" t="s">
        <v>316</v>
      </c>
      <c r="B217" s="24" t="s">
        <v>623</v>
      </c>
      <c r="C217" s="103" t="s">
        <v>14</v>
      </c>
      <c r="D217" s="104">
        <v>320597</v>
      </c>
      <c r="E217" s="104">
        <v>4348</v>
      </c>
      <c r="F217" s="124"/>
      <c r="G217" s="113">
        <v>304202</v>
      </c>
      <c r="H217" s="113">
        <v>3851</v>
      </c>
    </row>
    <row r="218" spans="1:8">
      <c r="A218" s="102" t="s">
        <v>317</v>
      </c>
      <c r="B218" s="24" t="s">
        <v>624</v>
      </c>
      <c r="C218" s="103" t="s">
        <v>318</v>
      </c>
      <c r="D218" s="104">
        <v>145992</v>
      </c>
      <c r="E218" s="104">
        <v>2595</v>
      </c>
      <c r="F218" s="124"/>
      <c r="G218" s="113">
        <v>190760</v>
      </c>
      <c r="H218" s="113">
        <v>2773</v>
      </c>
    </row>
    <row r="219" spans="1:8">
      <c r="A219" s="102" t="s">
        <v>319</v>
      </c>
      <c r="B219" s="24" t="s">
        <v>625</v>
      </c>
      <c r="C219" s="103" t="s">
        <v>253</v>
      </c>
      <c r="D219" s="104">
        <v>451908</v>
      </c>
      <c r="E219" s="104">
        <v>8369</v>
      </c>
      <c r="F219" s="124"/>
      <c r="G219" s="113">
        <v>501378</v>
      </c>
      <c r="H219" s="113">
        <v>8984</v>
      </c>
    </row>
    <row r="220" spans="1:8">
      <c r="A220" s="102" t="s">
        <v>320</v>
      </c>
      <c r="B220" s="24" t="s">
        <v>626</v>
      </c>
      <c r="C220" s="103" t="s">
        <v>321</v>
      </c>
      <c r="D220" s="104">
        <v>94907</v>
      </c>
      <c r="E220" s="104">
        <v>2197</v>
      </c>
      <c r="F220" s="124"/>
      <c r="G220" s="113">
        <v>105142</v>
      </c>
      <c r="H220" s="113">
        <v>2749</v>
      </c>
    </row>
    <row r="221" spans="1:8">
      <c r="A221" s="102" t="s">
        <v>322</v>
      </c>
      <c r="B221" s="24" t="s">
        <v>301</v>
      </c>
      <c r="C221" s="103" t="s">
        <v>301</v>
      </c>
      <c r="D221" s="104">
        <v>472471</v>
      </c>
      <c r="E221" s="104">
        <v>7887</v>
      </c>
      <c r="F221" s="124"/>
      <c r="G221" s="113">
        <v>466824</v>
      </c>
      <c r="H221" s="113">
        <v>8620</v>
      </c>
    </row>
    <row r="222" spans="1:8">
      <c r="A222" s="102" t="s">
        <v>323</v>
      </c>
      <c r="B222" s="24" t="s">
        <v>627</v>
      </c>
      <c r="C222" s="103" t="s">
        <v>301</v>
      </c>
      <c r="D222" s="104">
        <v>82070</v>
      </c>
      <c r="E222" s="104">
        <v>3557</v>
      </c>
      <c r="F222" s="124"/>
      <c r="G222" s="113">
        <v>107430</v>
      </c>
      <c r="H222" s="113">
        <v>2184</v>
      </c>
    </row>
    <row r="223" spans="1:8">
      <c r="A223" s="102" t="s">
        <v>324</v>
      </c>
      <c r="B223" s="24" t="s">
        <v>628</v>
      </c>
      <c r="C223" s="103" t="s">
        <v>325</v>
      </c>
      <c r="D223" s="104">
        <v>72674</v>
      </c>
      <c r="E223" s="104">
        <v>1370</v>
      </c>
      <c r="F223" s="124"/>
      <c r="G223" s="113">
        <v>69367</v>
      </c>
      <c r="H223" s="113">
        <v>1178</v>
      </c>
    </row>
    <row r="224" spans="1:8">
      <c r="A224" s="102" t="s">
        <v>326</v>
      </c>
      <c r="B224" s="24" t="s">
        <v>629</v>
      </c>
      <c r="C224" s="103" t="s">
        <v>325</v>
      </c>
      <c r="D224" s="104">
        <v>24487</v>
      </c>
      <c r="E224" s="104">
        <v>1061</v>
      </c>
      <c r="F224" s="124"/>
      <c r="G224" s="113">
        <v>32071</v>
      </c>
      <c r="H224" s="113">
        <v>1312</v>
      </c>
    </row>
    <row r="225" spans="1:8">
      <c r="A225" s="102" t="s">
        <v>327</v>
      </c>
      <c r="B225" s="24" t="s">
        <v>630</v>
      </c>
      <c r="C225" s="103" t="s">
        <v>328</v>
      </c>
      <c r="D225" s="104">
        <v>37485</v>
      </c>
      <c r="E225" s="104">
        <v>772</v>
      </c>
      <c r="F225" s="124"/>
      <c r="G225" s="113">
        <v>37874</v>
      </c>
      <c r="H225" s="113">
        <v>696</v>
      </c>
    </row>
    <row r="226" spans="1:8">
      <c r="A226" s="102" t="s">
        <v>329</v>
      </c>
      <c r="B226" s="24" t="s">
        <v>631</v>
      </c>
      <c r="C226" s="103" t="s">
        <v>301</v>
      </c>
      <c r="D226" s="104">
        <v>152727</v>
      </c>
      <c r="E226" s="104">
        <v>0</v>
      </c>
      <c r="F226" s="124"/>
      <c r="G226" s="113">
        <v>153058</v>
      </c>
      <c r="H226" s="113">
        <v>720</v>
      </c>
    </row>
    <row r="227" spans="1:8">
      <c r="A227" s="102" t="s">
        <v>330</v>
      </c>
      <c r="B227" s="24" t="s">
        <v>632</v>
      </c>
      <c r="C227" s="103" t="s">
        <v>328</v>
      </c>
      <c r="D227" s="104">
        <v>10332</v>
      </c>
      <c r="E227" s="104">
        <v>170</v>
      </c>
      <c r="F227" s="124"/>
      <c r="G227" s="113">
        <v>10660</v>
      </c>
      <c r="H227" s="113">
        <v>162</v>
      </c>
    </row>
    <row r="228" spans="1:8">
      <c r="A228" s="102" t="s">
        <v>331</v>
      </c>
      <c r="B228" s="25" t="s">
        <v>633</v>
      </c>
      <c r="C228" s="103" t="s">
        <v>34</v>
      </c>
      <c r="D228" s="104">
        <v>16055</v>
      </c>
      <c r="E228" s="104">
        <v>508</v>
      </c>
      <c r="F228" s="124"/>
      <c r="G228" s="127" t="s">
        <v>21</v>
      </c>
      <c r="H228" s="127" t="s">
        <v>21</v>
      </c>
    </row>
    <row r="229" spans="1:8">
      <c r="A229" s="102" t="s">
        <v>332</v>
      </c>
      <c r="B229" s="24" t="s">
        <v>634</v>
      </c>
      <c r="C229" s="103" t="s">
        <v>30</v>
      </c>
      <c r="D229" s="104">
        <v>16752</v>
      </c>
      <c r="E229" s="104">
        <v>153</v>
      </c>
      <c r="F229" s="124"/>
      <c r="G229" s="113">
        <v>23591</v>
      </c>
      <c r="H229" s="113">
        <v>227</v>
      </c>
    </row>
    <row r="230" spans="1:8">
      <c r="A230" s="102" t="s">
        <v>333</v>
      </c>
      <c r="B230" s="25" t="s">
        <v>635</v>
      </c>
      <c r="C230" s="103" t="s">
        <v>30</v>
      </c>
      <c r="D230" s="104">
        <v>43810</v>
      </c>
      <c r="E230" s="104">
        <v>576</v>
      </c>
      <c r="F230" s="124"/>
      <c r="G230" s="127" t="s">
        <v>21</v>
      </c>
      <c r="H230" s="127" t="s">
        <v>21</v>
      </c>
    </row>
    <row r="231" spans="1:8">
      <c r="A231" s="102" t="s">
        <v>334</v>
      </c>
      <c r="B231" s="24" t="s">
        <v>636</v>
      </c>
      <c r="C231" s="103" t="s">
        <v>234</v>
      </c>
      <c r="D231" s="104">
        <v>465230</v>
      </c>
      <c r="E231" s="104">
        <v>8028</v>
      </c>
      <c r="F231" s="124"/>
      <c r="G231" s="113">
        <v>590103</v>
      </c>
      <c r="H231" s="113">
        <v>8815</v>
      </c>
    </row>
    <row r="232" spans="1:8">
      <c r="A232" s="102" t="s">
        <v>335</v>
      </c>
      <c r="B232" s="24" t="s">
        <v>637</v>
      </c>
      <c r="C232" s="103" t="s">
        <v>34</v>
      </c>
      <c r="D232" s="104">
        <v>17317</v>
      </c>
      <c r="E232" s="104">
        <v>6562</v>
      </c>
      <c r="F232" s="124"/>
      <c r="G232" s="113">
        <v>35551</v>
      </c>
      <c r="H232" s="113">
        <v>754</v>
      </c>
    </row>
    <row r="233" spans="1:8">
      <c r="A233" s="102" t="s">
        <v>336</v>
      </c>
      <c r="B233" s="24" t="s">
        <v>638</v>
      </c>
      <c r="C233" s="103" t="s">
        <v>318</v>
      </c>
      <c r="D233" s="104">
        <v>86277</v>
      </c>
      <c r="E233" s="104">
        <v>1354</v>
      </c>
      <c r="F233" s="124"/>
      <c r="G233" s="113">
        <v>93595</v>
      </c>
      <c r="H233" s="113">
        <v>1200</v>
      </c>
    </row>
    <row r="234" spans="1:8">
      <c r="A234" s="102" t="s">
        <v>337</v>
      </c>
      <c r="B234" s="24" t="s">
        <v>639</v>
      </c>
      <c r="C234" s="103" t="s">
        <v>234</v>
      </c>
      <c r="D234" s="104">
        <v>124727</v>
      </c>
      <c r="E234" s="104">
        <v>8451</v>
      </c>
      <c r="F234" s="124"/>
      <c r="G234" s="113">
        <v>145488</v>
      </c>
      <c r="H234" s="113">
        <v>0</v>
      </c>
    </row>
    <row r="235" spans="1:8">
      <c r="A235" s="102" t="s">
        <v>338</v>
      </c>
      <c r="B235" s="24" t="s">
        <v>640</v>
      </c>
      <c r="C235" s="103" t="s">
        <v>284</v>
      </c>
      <c r="D235" s="104">
        <v>56655</v>
      </c>
      <c r="E235" s="104">
        <v>1160</v>
      </c>
      <c r="F235" s="124"/>
      <c r="G235" s="113">
        <v>63959</v>
      </c>
      <c r="H235" s="113">
        <v>1288</v>
      </c>
    </row>
    <row r="236" spans="1:8">
      <c r="A236" s="102" t="s">
        <v>339</v>
      </c>
      <c r="B236" s="25" t="s">
        <v>641</v>
      </c>
      <c r="C236" s="103" t="s">
        <v>34</v>
      </c>
      <c r="D236" s="104">
        <v>0</v>
      </c>
      <c r="E236" s="104">
        <v>0</v>
      </c>
      <c r="F236" s="124"/>
      <c r="G236" s="127" t="s">
        <v>21</v>
      </c>
      <c r="H236" s="127" t="s">
        <v>21</v>
      </c>
    </row>
    <row r="237" spans="1:8">
      <c r="A237" s="102" t="s">
        <v>340</v>
      </c>
      <c r="B237" s="24" t="s">
        <v>642</v>
      </c>
      <c r="C237" s="103" t="s">
        <v>325</v>
      </c>
      <c r="D237" s="104">
        <v>198047</v>
      </c>
      <c r="E237" s="104">
        <v>7027</v>
      </c>
      <c r="F237" s="124"/>
      <c r="G237" s="113">
        <v>194153</v>
      </c>
      <c r="H237" s="113">
        <v>5979</v>
      </c>
    </row>
    <row r="238" spans="1:8">
      <c r="A238" s="102" t="s">
        <v>341</v>
      </c>
      <c r="B238" s="24" t="s">
        <v>643</v>
      </c>
      <c r="C238" s="103" t="s">
        <v>290</v>
      </c>
      <c r="D238" s="104">
        <v>205391</v>
      </c>
      <c r="E238" s="104">
        <v>3086</v>
      </c>
      <c r="F238" s="124"/>
      <c r="G238" s="113">
        <v>230125</v>
      </c>
      <c r="H238" s="113">
        <v>5429</v>
      </c>
    </row>
    <row r="239" spans="1:8">
      <c r="A239" s="102" t="s">
        <v>342</v>
      </c>
      <c r="B239" s="24" t="s">
        <v>644</v>
      </c>
      <c r="C239" s="103" t="s">
        <v>343</v>
      </c>
      <c r="D239" s="104">
        <v>41913</v>
      </c>
      <c r="E239" s="104">
        <v>844</v>
      </c>
      <c r="F239" s="124"/>
      <c r="G239" s="113">
        <v>50121</v>
      </c>
      <c r="H239" s="113">
        <v>906</v>
      </c>
    </row>
    <row r="240" spans="1:8">
      <c r="A240" s="102" t="s">
        <v>344</v>
      </c>
      <c r="B240" s="24" t="s">
        <v>645</v>
      </c>
      <c r="C240" s="103" t="s">
        <v>219</v>
      </c>
      <c r="D240" s="104">
        <v>1461646</v>
      </c>
      <c r="E240" s="104">
        <v>11298</v>
      </c>
      <c r="F240" s="124"/>
      <c r="G240" s="113">
        <v>1444572</v>
      </c>
      <c r="H240" s="113">
        <v>12221</v>
      </c>
    </row>
    <row r="241" spans="1:8">
      <c r="A241" s="102" t="s">
        <v>345</v>
      </c>
      <c r="B241" s="24" t="s">
        <v>646</v>
      </c>
      <c r="C241" s="103" t="s">
        <v>275</v>
      </c>
      <c r="D241" s="104">
        <v>17753</v>
      </c>
      <c r="E241" s="104">
        <v>278</v>
      </c>
      <c r="F241" s="124"/>
      <c r="G241" s="113">
        <v>24773</v>
      </c>
      <c r="H241" s="113">
        <v>480</v>
      </c>
    </row>
    <row r="242" spans="1:8">
      <c r="A242" s="102" t="s">
        <v>346</v>
      </c>
      <c r="B242" s="24" t="s">
        <v>116</v>
      </c>
      <c r="C242" s="103" t="s">
        <v>256</v>
      </c>
      <c r="D242" s="104">
        <v>54405</v>
      </c>
      <c r="E242" s="104">
        <v>1660</v>
      </c>
      <c r="F242" s="124"/>
      <c r="G242" s="113">
        <v>53234</v>
      </c>
      <c r="H242" s="113">
        <v>1261</v>
      </c>
    </row>
    <row r="243" spans="1:8">
      <c r="A243" s="102" t="s">
        <v>347</v>
      </c>
      <c r="B243" s="24" t="s">
        <v>647</v>
      </c>
      <c r="C243" s="103" t="s">
        <v>256</v>
      </c>
      <c r="D243" s="104">
        <v>100215</v>
      </c>
      <c r="E243" s="104">
        <v>2386</v>
      </c>
      <c r="F243" s="124"/>
      <c r="G243" s="113">
        <v>156304</v>
      </c>
      <c r="H243" s="113">
        <v>3838</v>
      </c>
    </row>
    <row r="244" spans="1:8">
      <c r="A244" s="102" t="s">
        <v>348</v>
      </c>
      <c r="B244" s="24" t="s">
        <v>648</v>
      </c>
      <c r="C244" s="103" t="s">
        <v>349</v>
      </c>
      <c r="D244" s="104">
        <v>153390</v>
      </c>
      <c r="E244" s="104">
        <v>1564</v>
      </c>
      <c r="F244" s="124"/>
      <c r="G244" s="113">
        <v>135056</v>
      </c>
      <c r="H244" s="113">
        <v>1874</v>
      </c>
    </row>
    <row r="245" spans="1:8">
      <c r="A245" s="102" t="s">
        <v>350</v>
      </c>
      <c r="B245" s="24" t="s">
        <v>649</v>
      </c>
      <c r="C245" s="103" t="s">
        <v>349</v>
      </c>
      <c r="D245" s="104">
        <v>36613</v>
      </c>
      <c r="E245" s="104">
        <v>509</v>
      </c>
      <c r="F245" s="124"/>
      <c r="G245" s="113">
        <v>49223</v>
      </c>
      <c r="H245" s="113">
        <v>701</v>
      </c>
    </row>
    <row r="246" spans="1:8">
      <c r="A246" s="102" t="s">
        <v>351</v>
      </c>
      <c r="B246" s="24" t="s">
        <v>650</v>
      </c>
      <c r="C246" s="103" t="s">
        <v>273</v>
      </c>
      <c r="D246" s="104">
        <v>824346</v>
      </c>
      <c r="E246" s="104">
        <v>10124</v>
      </c>
      <c r="F246" s="124"/>
      <c r="G246" s="113">
        <v>911064</v>
      </c>
      <c r="H246" s="113">
        <v>10666</v>
      </c>
    </row>
    <row r="247" spans="1:8">
      <c r="A247" s="102" t="s">
        <v>352</v>
      </c>
      <c r="B247" s="24" t="s">
        <v>651</v>
      </c>
      <c r="C247" s="103" t="s">
        <v>264</v>
      </c>
      <c r="D247" s="104">
        <v>42867</v>
      </c>
      <c r="E247" s="104">
        <v>930</v>
      </c>
      <c r="F247" s="124"/>
      <c r="G247" s="113">
        <v>54422</v>
      </c>
      <c r="H247" s="113">
        <v>959</v>
      </c>
    </row>
    <row r="248" spans="1:8">
      <c r="A248" s="102" t="s">
        <v>353</v>
      </c>
      <c r="B248" s="24" t="s">
        <v>652</v>
      </c>
      <c r="C248" s="103" t="s">
        <v>343</v>
      </c>
      <c r="D248" s="104">
        <v>279752</v>
      </c>
      <c r="E248" s="104">
        <v>3746</v>
      </c>
      <c r="F248" s="124"/>
      <c r="G248" s="113">
        <v>274629</v>
      </c>
      <c r="H248" s="113">
        <v>3518</v>
      </c>
    </row>
    <row r="249" spans="1:8">
      <c r="A249" s="102" t="s">
        <v>354</v>
      </c>
      <c r="B249" s="24" t="s">
        <v>653</v>
      </c>
      <c r="C249" s="103" t="s">
        <v>343</v>
      </c>
      <c r="D249" s="104">
        <v>281521</v>
      </c>
      <c r="E249" s="104">
        <v>10135</v>
      </c>
      <c r="F249" s="124"/>
      <c r="G249" s="113">
        <v>235348</v>
      </c>
      <c r="H249" s="113">
        <v>10927</v>
      </c>
    </row>
    <row r="250" spans="1:8">
      <c r="A250" s="102" t="s">
        <v>355</v>
      </c>
      <c r="B250" s="24" t="s">
        <v>654</v>
      </c>
      <c r="C250" s="103" t="s">
        <v>343</v>
      </c>
      <c r="D250" s="104">
        <v>56980</v>
      </c>
      <c r="E250" s="104">
        <v>549</v>
      </c>
      <c r="F250" s="124"/>
      <c r="G250" s="113">
        <v>61519</v>
      </c>
      <c r="H250" s="113">
        <v>569</v>
      </c>
    </row>
    <row r="251" spans="1:8">
      <c r="A251" s="102" t="s">
        <v>356</v>
      </c>
      <c r="B251" s="24" t="s">
        <v>655</v>
      </c>
      <c r="C251" s="103" t="s">
        <v>301</v>
      </c>
      <c r="D251" s="104">
        <v>73229</v>
      </c>
      <c r="E251" s="104">
        <v>3773</v>
      </c>
      <c r="F251" s="124"/>
      <c r="G251" s="113">
        <v>89339</v>
      </c>
      <c r="H251" s="113">
        <v>3131</v>
      </c>
    </row>
    <row r="252" spans="1:8">
      <c r="A252" s="102" t="s">
        <v>357</v>
      </c>
      <c r="B252" s="24" t="s">
        <v>656</v>
      </c>
      <c r="C252" s="103" t="s">
        <v>45</v>
      </c>
      <c r="D252" s="104">
        <v>164201</v>
      </c>
      <c r="E252" s="104">
        <v>13285</v>
      </c>
      <c r="F252" s="124"/>
      <c r="G252" s="113">
        <v>180866</v>
      </c>
      <c r="H252" s="113">
        <v>3870</v>
      </c>
    </row>
    <row r="253" spans="1:8">
      <c r="A253" s="102" t="s">
        <v>358</v>
      </c>
      <c r="B253" s="24" t="s">
        <v>657</v>
      </c>
      <c r="C253" s="103" t="s">
        <v>219</v>
      </c>
      <c r="D253" s="104">
        <v>766555</v>
      </c>
      <c r="E253" s="104">
        <v>13094</v>
      </c>
      <c r="F253" s="124"/>
      <c r="G253" s="113">
        <v>766389</v>
      </c>
      <c r="H253" s="113">
        <v>11207</v>
      </c>
    </row>
    <row r="254" spans="1:8">
      <c r="A254" s="102" t="s">
        <v>359</v>
      </c>
      <c r="B254" s="24" t="s">
        <v>360</v>
      </c>
      <c r="C254" s="103" t="s">
        <v>349</v>
      </c>
      <c r="D254" s="104">
        <v>12113</v>
      </c>
      <c r="E254" s="104">
        <v>117</v>
      </c>
      <c r="F254" s="124"/>
      <c r="G254" s="113">
        <v>11515</v>
      </c>
      <c r="H254" s="113">
        <v>152</v>
      </c>
    </row>
    <row r="255" spans="1:8">
      <c r="A255" s="102" t="s">
        <v>361</v>
      </c>
      <c r="B255" s="24" t="s">
        <v>658</v>
      </c>
      <c r="C255" s="103" t="s">
        <v>362</v>
      </c>
      <c r="D255" s="104">
        <v>21510</v>
      </c>
      <c r="E255" s="104">
        <v>528</v>
      </c>
      <c r="F255" s="124"/>
      <c r="G255" s="113">
        <v>35762</v>
      </c>
      <c r="H255" s="113">
        <v>132</v>
      </c>
    </row>
    <row r="256" spans="1:8">
      <c r="A256" s="102" t="s">
        <v>363</v>
      </c>
      <c r="B256" s="24" t="s">
        <v>45</v>
      </c>
      <c r="C256" s="103" t="s">
        <v>45</v>
      </c>
      <c r="D256" s="104">
        <v>624144</v>
      </c>
      <c r="E256" s="104">
        <v>5263</v>
      </c>
      <c r="F256" s="124"/>
      <c r="G256" s="113">
        <v>615832</v>
      </c>
      <c r="H256" s="113">
        <v>6432</v>
      </c>
    </row>
    <row r="257" spans="1:8">
      <c r="A257" s="102" t="s">
        <v>364</v>
      </c>
      <c r="B257" s="24" t="s">
        <v>659</v>
      </c>
      <c r="C257" s="103" t="s">
        <v>325</v>
      </c>
      <c r="D257" s="104">
        <v>46716</v>
      </c>
      <c r="E257" s="104">
        <v>1650</v>
      </c>
      <c r="F257" s="124"/>
      <c r="G257" s="113">
        <v>44459</v>
      </c>
      <c r="H257" s="113">
        <v>1598</v>
      </c>
    </row>
    <row r="258" spans="1:8">
      <c r="A258" s="102" t="s">
        <v>365</v>
      </c>
      <c r="B258" s="25" t="s">
        <v>660</v>
      </c>
      <c r="C258" s="103" t="s">
        <v>30</v>
      </c>
      <c r="D258" s="104">
        <v>11847</v>
      </c>
      <c r="E258" s="104">
        <v>1670</v>
      </c>
      <c r="F258" s="124"/>
      <c r="G258" s="127" t="s">
        <v>21</v>
      </c>
      <c r="H258" s="127" t="s">
        <v>21</v>
      </c>
    </row>
    <row r="259" spans="1:8">
      <c r="A259" s="102" t="s">
        <v>366</v>
      </c>
      <c r="B259" s="24" t="s">
        <v>661</v>
      </c>
      <c r="C259" s="103" t="s">
        <v>325</v>
      </c>
      <c r="D259" s="104">
        <v>29771</v>
      </c>
      <c r="E259" s="104">
        <v>1047</v>
      </c>
      <c r="F259" s="124"/>
      <c r="G259" s="113">
        <v>24395</v>
      </c>
      <c r="H259" s="113">
        <v>764</v>
      </c>
    </row>
    <row r="260" spans="1:8">
      <c r="A260" s="102" t="s">
        <v>367</v>
      </c>
      <c r="B260" s="24" t="s">
        <v>662</v>
      </c>
      <c r="C260" s="103" t="s">
        <v>245</v>
      </c>
      <c r="D260" s="104">
        <v>804837</v>
      </c>
      <c r="E260" s="104">
        <v>11097</v>
      </c>
      <c r="F260" s="124"/>
      <c r="G260" s="113">
        <v>579965</v>
      </c>
      <c r="H260" s="113">
        <v>11840</v>
      </c>
    </row>
    <row r="261" spans="1:8">
      <c r="A261" s="102" t="s">
        <v>368</v>
      </c>
      <c r="B261" s="24" t="s">
        <v>663</v>
      </c>
      <c r="C261" s="103" t="s">
        <v>45</v>
      </c>
      <c r="D261" s="104">
        <v>582035</v>
      </c>
      <c r="E261" s="104">
        <v>8585</v>
      </c>
      <c r="F261" s="124"/>
      <c r="G261" s="113">
        <v>555792</v>
      </c>
      <c r="H261" s="113">
        <v>10682</v>
      </c>
    </row>
    <row r="262" spans="1:8">
      <c r="A262" s="102" t="s">
        <v>369</v>
      </c>
      <c r="B262" s="24" t="s">
        <v>664</v>
      </c>
      <c r="C262" s="103" t="s">
        <v>273</v>
      </c>
      <c r="D262" s="104">
        <v>25543</v>
      </c>
      <c r="E262" s="104">
        <v>252</v>
      </c>
      <c r="F262" s="124"/>
      <c r="G262" s="113">
        <v>29462</v>
      </c>
      <c r="H262" s="113">
        <v>235</v>
      </c>
    </row>
    <row r="263" spans="1:8">
      <c r="A263" s="102" t="s">
        <v>370</v>
      </c>
      <c r="B263" s="24" t="s">
        <v>665</v>
      </c>
      <c r="C263" s="103" t="s">
        <v>256</v>
      </c>
      <c r="D263" s="104">
        <v>153749</v>
      </c>
      <c r="E263" s="104">
        <v>2245</v>
      </c>
      <c r="F263" s="124"/>
      <c r="G263" s="113">
        <v>198935</v>
      </c>
      <c r="H263" s="113">
        <v>2899</v>
      </c>
    </row>
    <row r="264" spans="1:8">
      <c r="A264" s="102" t="s">
        <v>371</v>
      </c>
      <c r="B264" s="24" t="s">
        <v>666</v>
      </c>
      <c r="C264" s="103" t="s">
        <v>282</v>
      </c>
      <c r="D264" s="104">
        <v>89926</v>
      </c>
      <c r="E264" s="104">
        <v>1445</v>
      </c>
      <c r="F264" s="124"/>
      <c r="G264" s="113">
        <v>86137</v>
      </c>
      <c r="H264" s="113">
        <v>1685</v>
      </c>
    </row>
    <row r="265" spans="1:8">
      <c r="A265" s="102" t="s">
        <v>372</v>
      </c>
      <c r="B265" s="24" t="s">
        <v>667</v>
      </c>
      <c r="C265" s="103" t="s">
        <v>373</v>
      </c>
      <c r="D265" s="104">
        <v>45384</v>
      </c>
      <c r="E265" s="104">
        <v>866</v>
      </c>
      <c r="F265" s="124"/>
      <c r="G265" s="113">
        <v>71917</v>
      </c>
      <c r="H265" s="113">
        <v>1446</v>
      </c>
    </row>
    <row r="266" spans="1:8">
      <c r="A266" s="102" t="s">
        <v>374</v>
      </c>
      <c r="B266" s="24" t="s">
        <v>668</v>
      </c>
      <c r="C266" s="103" t="s">
        <v>373</v>
      </c>
      <c r="D266" s="104">
        <v>54220</v>
      </c>
      <c r="E266" s="104">
        <v>1313</v>
      </c>
      <c r="F266" s="124"/>
      <c r="G266" s="113">
        <v>70902</v>
      </c>
      <c r="H266" s="113">
        <v>1713</v>
      </c>
    </row>
    <row r="267" spans="1:8">
      <c r="A267" s="102" t="s">
        <v>375</v>
      </c>
      <c r="B267" s="24" t="s">
        <v>669</v>
      </c>
      <c r="C267" s="103" t="s">
        <v>45</v>
      </c>
      <c r="D267" s="104">
        <v>314145</v>
      </c>
      <c r="E267" s="104">
        <v>5726</v>
      </c>
      <c r="F267" s="124"/>
      <c r="G267" s="113">
        <v>422748</v>
      </c>
      <c r="H267" s="113">
        <v>7195</v>
      </c>
    </row>
    <row r="268" spans="1:8">
      <c r="A268" s="102" t="s">
        <v>376</v>
      </c>
      <c r="B268" s="24" t="s">
        <v>670</v>
      </c>
      <c r="C268" s="103" t="s">
        <v>373</v>
      </c>
      <c r="D268" s="104">
        <v>388391</v>
      </c>
      <c r="E268" s="104">
        <v>8803</v>
      </c>
      <c r="F268" s="124"/>
      <c r="G268" s="113">
        <v>448911</v>
      </c>
      <c r="H268" s="113">
        <v>9993</v>
      </c>
    </row>
    <row r="269" spans="1:8">
      <c r="A269" s="102" t="s">
        <v>377</v>
      </c>
      <c r="B269" s="24" t="s">
        <v>671</v>
      </c>
      <c r="C269" s="103" t="s">
        <v>378</v>
      </c>
      <c r="D269" s="104">
        <v>178352</v>
      </c>
      <c r="E269" s="104">
        <v>2837</v>
      </c>
      <c r="F269" s="124"/>
      <c r="G269" s="113">
        <v>259293</v>
      </c>
      <c r="H269" s="113">
        <v>3967</v>
      </c>
    </row>
    <row r="270" spans="1:8">
      <c r="A270" s="102" t="s">
        <v>379</v>
      </c>
      <c r="B270" s="24" t="s">
        <v>672</v>
      </c>
      <c r="C270" s="103" t="s">
        <v>380</v>
      </c>
      <c r="D270" s="104">
        <v>45317</v>
      </c>
      <c r="E270" s="104">
        <v>424</v>
      </c>
      <c r="F270" s="124"/>
      <c r="G270" s="113">
        <v>80722</v>
      </c>
      <c r="H270" s="113">
        <v>616</v>
      </c>
    </row>
    <row r="271" spans="1:8">
      <c r="A271" s="102" t="s">
        <v>381</v>
      </c>
      <c r="B271" s="24" t="s">
        <v>673</v>
      </c>
      <c r="C271" s="103" t="s">
        <v>382</v>
      </c>
      <c r="D271" s="104">
        <v>16957</v>
      </c>
      <c r="E271" s="104">
        <v>87</v>
      </c>
      <c r="F271" s="124"/>
      <c r="G271" s="113">
        <v>21593</v>
      </c>
      <c r="H271" s="113">
        <v>602</v>
      </c>
    </row>
    <row r="272" spans="1:8">
      <c r="A272" s="102" t="s">
        <v>383</v>
      </c>
      <c r="B272" s="24" t="s">
        <v>674</v>
      </c>
      <c r="C272" s="103" t="s">
        <v>45</v>
      </c>
      <c r="D272" s="104">
        <v>448049</v>
      </c>
      <c r="E272" s="104">
        <v>5522</v>
      </c>
      <c r="F272" s="124"/>
      <c r="G272" s="113">
        <v>429033</v>
      </c>
      <c r="H272" s="113">
        <v>7613</v>
      </c>
    </row>
    <row r="273" spans="1:8">
      <c r="A273" s="102" t="s">
        <v>384</v>
      </c>
      <c r="B273" s="24" t="s">
        <v>675</v>
      </c>
      <c r="C273" s="103" t="s">
        <v>373</v>
      </c>
      <c r="D273" s="104">
        <v>267573</v>
      </c>
      <c r="E273" s="104">
        <v>5001</v>
      </c>
      <c r="F273" s="124"/>
      <c r="G273" s="113">
        <v>354117</v>
      </c>
      <c r="H273" s="113">
        <v>5902</v>
      </c>
    </row>
    <row r="274" spans="1:8">
      <c r="A274" s="102" t="s">
        <v>385</v>
      </c>
      <c r="B274" s="24" t="s">
        <v>676</v>
      </c>
      <c r="C274" s="103" t="s">
        <v>373</v>
      </c>
      <c r="D274" s="104">
        <v>2752</v>
      </c>
      <c r="E274" s="104">
        <v>58</v>
      </c>
      <c r="F274" s="124"/>
      <c r="G274" s="113">
        <v>3871</v>
      </c>
      <c r="H274" s="113">
        <v>70</v>
      </c>
    </row>
    <row r="275" spans="1:8">
      <c r="A275" s="102" t="s">
        <v>386</v>
      </c>
      <c r="B275" s="24" t="s">
        <v>677</v>
      </c>
      <c r="C275" s="103" t="s">
        <v>290</v>
      </c>
      <c r="D275" s="104">
        <v>145609</v>
      </c>
      <c r="E275" s="104">
        <v>2744</v>
      </c>
      <c r="F275" s="124"/>
      <c r="G275" s="113">
        <v>162972</v>
      </c>
      <c r="H275" s="113">
        <v>3610</v>
      </c>
    </row>
    <row r="276" spans="1:8">
      <c r="A276" s="102" t="s">
        <v>387</v>
      </c>
      <c r="B276" s="24" t="s">
        <v>678</v>
      </c>
      <c r="C276" s="103" t="s">
        <v>328</v>
      </c>
      <c r="D276" s="104">
        <v>15783</v>
      </c>
      <c r="E276" s="104">
        <v>174</v>
      </c>
      <c r="F276" s="124"/>
      <c r="G276" s="113">
        <v>19400</v>
      </c>
      <c r="H276" s="113">
        <v>44</v>
      </c>
    </row>
    <row r="277" spans="1:8">
      <c r="A277" s="102" t="s">
        <v>388</v>
      </c>
      <c r="B277" s="24" t="s">
        <v>679</v>
      </c>
      <c r="C277" s="103" t="s">
        <v>389</v>
      </c>
      <c r="D277" s="104">
        <v>360373</v>
      </c>
      <c r="E277" s="104">
        <v>4458</v>
      </c>
      <c r="F277" s="124"/>
      <c r="G277" s="113">
        <v>555695</v>
      </c>
      <c r="H277" s="113">
        <v>10959</v>
      </c>
    </row>
    <row r="278" spans="1:8">
      <c r="A278" s="102" t="s">
        <v>390</v>
      </c>
      <c r="B278" s="24" t="s">
        <v>680</v>
      </c>
      <c r="C278" s="103" t="s">
        <v>16</v>
      </c>
      <c r="D278" s="104">
        <v>18657</v>
      </c>
      <c r="E278" s="104">
        <v>356</v>
      </c>
      <c r="F278" s="124"/>
      <c r="G278" s="113">
        <v>24900</v>
      </c>
      <c r="H278" s="113">
        <v>648</v>
      </c>
    </row>
    <row r="279" spans="1:8">
      <c r="A279" s="102" t="s">
        <v>391</v>
      </c>
      <c r="B279" s="24" t="s">
        <v>681</v>
      </c>
      <c r="C279" s="103" t="s">
        <v>16</v>
      </c>
      <c r="D279" s="104">
        <v>6786</v>
      </c>
      <c r="E279" s="104">
        <v>0</v>
      </c>
      <c r="F279" s="124"/>
      <c r="G279" s="113">
        <v>27996</v>
      </c>
      <c r="H279" s="113">
        <v>493</v>
      </c>
    </row>
    <row r="280" spans="1:8">
      <c r="A280" s="102" t="s">
        <v>392</v>
      </c>
      <c r="B280" s="24" t="s">
        <v>682</v>
      </c>
      <c r="C280" s="103" t="s">
        <v>249</v>
      </c>
      <c r="D280" s="104">
        <v>11847</v>
      </c>
      <c r="E280" s="104">
        <v>213</v>
      </c>
      <c r="F280" s="124"/>
      <c r="G280" s="113">
        <v>22831</v>
      </c>
      <c r="H280" s="113">
        <v>458</v>
      </c>
    </row>
    <row r="281" spans="1:8">
      <c r="A281" s="102" t="s">
        <v>393</v>
      </c>
      <c r="B281" s="24" t="s">
        <v>683</v>
      </c>
      <c r="C281" s="103" t="s">
        <v>394</v>
      </c>
      <c r="D281" s="104">
        <v>450242</v>
      </c>
      <c r="E281" s="104">
        <v>8273</v>
      </c>
      <c r="F281" s="124"/>
      <c r="G281" s="113">
        <v>358678</v>
      </c>
      <c r="H281" s="113">
        <v>3917</v>
      </c>
    </row>
    <row r="282" spans="1:8">
      <c r="A282" s="102" t="s">
        <v>395</v>
      </c>
      <c r="B282" s="24" t="s">
        <v>684</v>
      </c>
      <c r="C282" s="103" t="s">
        <v>290</v>
      </c>
      <c r="D282" s="104">
        <v>57102</v>
      </c>
      <c r="E282" s="104">
        <v>1088</v>
      </c>
      <c r="F282" s="124"/>
      <c r="G282" s="113">
        <v>67902</v>
      </c>
      <c r="H282" s="113">
        <v>1322</v>
      </c>
    </row>
    <row r="283" spans="1:8">
      <c r="A283" s="102" t="s">
        <v>396</v>
      </c>
      <c r="B283" s="24" t="s">
        <v>685</v>
      </c>
      <c r="C283" s="103" t="s">
        <v>382</v>
      </c>
      <c r="D283" s="104">
        <v>50818</v>
      </c>
      <c r="E283" s="104">
        <v>938</v>
      </c>
      <c r="F283" s="124"/>
      <c r="G283" s="113">
        <v>40582</v>
      </c>
      <c r="H283" s="113">
        <v>703</v>
      </c>
    </row>
    <row r="284" spans="1:8">
      <c r="A284" s="102" t="s">
        <v>397</v>
      </c>
      <c r="B284" s="24" t="s">
        <v>686</v>
      </c>
      <c r="C284" s="103" t="s">
        <v>394</v>
      </c>
      <c r="D284" s="104">
        <v>51880</v>
      </c>
      <c r="E284" s="104">
        <v>998</v>
      </c>
      <c r="F284" s="124"/>
      <c r="G284" s="113">
        <v>61223</v>
      </c>
      <c r="H284" s="113">
        <v>1271</v>
      </c>
    </row>
    <row r="285" spans="1:8">
      <c r="A285" s="102" t="s">
        <v>398</v>
      </c>
      <c r="B285" s="24" t="s">
        <v>687</v>
      </c>
      <c r="C285" s="103" t="s">
        <v>282</v>
      </c>
      <c r="D285" s="104">
        <v>111716</v>
      </c>
      <c r="E285" s="104">
        <v>2426</v>
      </c>
      <c r="F285" s="124"/>
      <c r="G285" s="113">
        <v>114098</v>
      </c>
      <c r="H285" s="113">
        <v>2074</v>
      </c>
    </row>
    <row r="286" spans="1:8">
      <c r="A286" s="102" t="s">
        <v>399</v>
      </c>
      <c r="B286" s="24" t="s">
        <v>688</v>
      </c>
      <c r="C286" s="103" t="s">
        <v>34</v>
      </c>
      <c r="D286" s="104">
        <v>14950</v>
      </c>
      <c r="E286" s="104">
        <v>359</v>
      </c>
      <c r="F286" s="124"/>
      <c r="G286" s="113">
        <v>16217</v>
      </c>
      <c r="H286" s="113">
        <v>183</v>
      </c>
    </row>
    <row r="287" spans="1:8">
      <c r="A287" s="102" t="s">
        <v>400</v>
      </c>
      <c r="B287" s="24" t="s">
        <v>689</v>
      </c>
      <c r="C287" s="103" t="s">
        <v>290</v>
      </c>
      <c r="D287" s="104">
        <v>44363</v>
      </c>
      <c r="E287" s="104">
        <v>913</v>
      </c>
      <c r="F287" s="124"/>
      <c r="G287" s="113">
        <v>45740</v>
      </c>
      <c r="H287" s="113">
        <v>1241</v>
      </c>
    </row>
    <row r="288" spans="1:8">
      <c r="A288" s="102" t="s">
        <v>401</v>
      </c>
      <c r="B288" s="24" t="s">
        <v>690</v>
      </c>
      <c r="C288" s="103" t="s">
        <v>247</v>
      </c>
      <c r="D288" s="104">
        <v>57082</v>
      </c>
      <c r="E288" s="104">
        <v>345</v>
      </c>
      <c r="F288" s="124"/>
      <c r="G288" s="113">
        <v>68436</v>
      </c>
      <c r="H288" s="113">
        <v>6537</v>
      </c>
    </row>
    <row r="289" spans="1:8">
      <c r="A289" s="102" t="s">
        <v>402</v>
      </c>
      <c r="B289" s="24" t="s">
        <v>691</v>
      </c>
      <c r="C289" s="103" t="s">
        <v>284</v>
      </c>
      <c r="D289" s="104">
        <v>763381</v>
      </c>
      <c r="E289" s="104">
        <v>9369</v>
      </c>
      <c r="F289" s="124"/>
      <c r="G289" s="113">
        <v>898780</v>
      </c>
      <c r="H289" s="113">
        <v>13196</v>
      </c>
    </row>
    <row r="290" spans="1:8">
      <c r="A290" s="102" t="s">
        <v>403</v>
      </c>
      <c r="B290" s="24" t="s">
        <v>692</v>
      </c>
      <c r="C290" s="103" t="s">
        <v>42</v>
      </c>
      <c r="D290" s="104">
        <v>361252</v>
      </c>
      <c r="E290" s="104">
        <v>5782</v>
      </c>
      <c r="F290" s="124"/>
      <c r="G290" s="113">
        <v>365589</v>
      </c>
      <c r="H290" s="113">
        <v>5557</v>
      </c>
    </row>
    <row r="291" spans="1:8">
      <c r="A291" s="102" t="s">
        <v>404</v>
      </c>
      <c r="B291" s="24" t="s">
        <v>693</v>
      </c>
      <c r="C291" s="103" t="s">
        <v>224</v>
      </c>
      <c r="D291" s="104">
        <v>271506</v>
      </c>
      <c r="E291" s="104">
        <v>4105</v>
      </c>
      <c r="F291" s="124"/>
      <c r="G291" s="113">
        <v>336537</v>
      </c>
      <c r="H291" s="113">
        <v>4121</v>
      </c>
    </row>
    <row r="292" spans="1:8">
      <c r="A292" s="102" t="s">
        <v>405</v>
      </c>
      <c r="B292" s="24" t="s">
        <v>694</v>
      </c>
      <c r="C292" s="103" t="s">
        <v>42</v>
      </c>
      <c r="D292" s="104">
        <v>14969</v>
      </c>
      <c r="E292" s="104">
        <v>0</v>
      </c>
      <c r="F292" s="124"/>
      <c r="G292" s="113">
        <v>54542</v>
      </c>
      <c r="H292" s="113">
        <v>657</v>
      </c>
    </row>
    <row r="293" spans="1:8">
      <c r="A293" s="102" t="s">
        <v>406</v>
      </c>
      <c r="B293" s="24" t="s">
        <v>695</v>
      </c>
      <c r="C293" s="103" t="s">
        <v>306</v>
      </c>
      <c r="D293" s="104">
        <v>211216</v>
      </c>
      <c r="E293" s="104">
        <v>3494</v>
      </c>
      <c r="F293" s="124"/>
      <c r="G293" s="113">
        <v>223304</v>
      </c>
      <c r="H293" s="113">
        <v>3019</v>
      </c>
    </row>
    <row r="294" spans="1:8">
      <c r="A294" s="102" t="s">
        <v>407</v>
      </c>
      <c r="B294" s="24" t="s">
        <v>696</v>
      </c>
      <c r="C294" s="103" t="s">
        <v>408</v>
      </c>
      <c r="D294" s="104">
        <v>88654</v>
      </c>
      <c r="E294" s="104">
        <v>1259</v>
      </c>
      <c r="F294" s="124"/>
      <c r="G294" s="113">
        <v>68196</v>
      </c>
      <c r="H294" s="113">
        <v>1192</v>
      </c>
    </row>
    <row r="295" spans="1:8">
      <c r="A295" s="102" t="s">
        <v>409</v>
      </c>
      <c r="B295" s="24" t="s">
        <v>697</v>
      </c>
      <c r="C295" s="103" t="s">
        <v>410</v>
      </c>
      <c r="D295" s="104">
        <v>201976</v>
      </c>
      <c r="E295" s="104">
        <v>3192</v>
      </c>
      <c r="F295" s="124"/>
      <c r="G295" s="113">
        <v>184193</v>
      </c>
      <c r="H295" s="113">
        <v>2834</v>
      </c>
    </row>
    <row r="296" spans="1:8">
      <c r="A296" s="102" t="s">
        <v>411</v>
      </c>
      <c r="B296" s="24" t="s">
        <v>698</v>
      </c>
      <c r="C296" s="103" t="s">
        <v>410</v>
      </c>
      <c r="D296" s="104">
        <v>15876</v>
      </c>
      <c r="E296" s="104">
        <v>114</v>
      </c>
      <c r="F296" s="124"/>
      <c r="G296" s="113">
        <v>22572</v>
      </c>
      <c r="H296" s="113">
        <v>190</v>
      </c>
    </row>
    <row r="297" spans="1:8">
      <c r="A297" s="102" t="s">
        <v>412</v>
      </c>
      <c r="B297" s="24" t="s">
        <v>699</v>
      </c>
      <c r="C297" s="103" t="s">
        <v>224</v>
      </c>
      <c r="D297" s="104">
        <v>2653730</v>
      </c>
      <c r="E297" s="104">
        <v>15245</v>
      </c>
      <c r="F297" s="124"/>
      <c r="G297" s="113">
        <v>3068982</v>
      </c>
      <c r="H297" s="113">
        <v>19208</v>
      </c>
    </row>
    <row r="298" spans="1:8">
      <c r="A298" s="102" t="s">
        <v>413</v>
      </c>
      <c r="B298" s="24" t="s">
        <v>700</v>
      </c>
      <c r="C298" s="103" t="s">
        <v>247</v>
      </c>
      <c r="D298" s="104">
        <v>47299</v>
      </c>
      <c r="E298" s="104">
        <v>904</v>
      </c>
      <c r="F298" s="124"/>
      <c r="G298" s="113">
        <v>74539</v>
      </c>
      <c r="H298" s="113">
        <v>5914</v>
      </c>
    </row>
    <row r="299" spans="1:8">
      <c r="A299" s="102" t="s">
        <v>414</v>
      </c>
      <c r="B299" s="24" t="s">
        <v>701</v>
      </c>
      <c r="C299" s="103" t="s">
        <v>306</v>
      </c>
      <c r="D299" s="104">
        <v>64312</v>
      </c>
      <c r="E299" s="104">
        <v>1569</v>
      </c>
      <c r="F299" s="124"/>
      <c r="G299" s="113">
        <v>60008</v>
      </c>
      <c r="H299" s="113">
        <v>933</v>
      </c>
    </row>
    <row r="300" spans="1:8">
      <c r="A300" s="102" t="s">
        <v>415</v>
      </c>
      <c r="B300" s="24" t="s">
        <v>702</v>
      </c>
      <c r="C300" s="103" t="s">
        <v>38</v>
      </c>
      <c r="D300" s="104">
        <v>2907345</v>
      </c>
      <c r="E300" s="104">
        <v>9466</v>
      </c>
      <c r="F300" s="124"/>
      <c r="G300" s="113">
        <v>2917177</v>
      </c>
      <c r="H300" s="113">
        <v>9100</v>
      </c>
    </row>
    <row r="301" spans="1:8">
      <c r="A301" s="102" t="s">
        <v>416</v>
      </c>
      <c r="B301" s="24" t="s">
        <v>703</v>
      </c>
      <c r="C301" s="103" t="s">
        <v>219</v>
      </c>
      <c r="D301" s="104">
        <v>2350978</v>
      </c>
      <c r="E301" s="104">
        <v>15806</v>
      </c>
      <c r="F301" s="124"/>
      <c r="G301" s="113">
        <v>2460498</v>
      </c>
      <c r="H301" s="113">
        <v>14509</v>
      </c>
    </row>
    <row r="302" spans="1:8">
      <c r="A302" s="102" t="s">
        <v>417</v>
      </c>
      <c r="B302" s="24" t="s">
        <v>704</v>
      </c>
      <c r="C302" s="103" t="s">
        <v>222</v>
      </c>
      <c r="D302" s="104">
        <v>11379</v>
      </c>
      <c r="E302" s="104">
        <v>189</v>
      </c>
      <c r="F302" s="124"/>
      <c r="G302" s="113">
        <v>778</v>
      </c>
      <c r="H302" s="113">
        <v>10</v>
      </c>
    </row>
    <row r="303" spans="1:8">
      <c r="A303" s="102" t="s">
        <v>418</v>
      </c>
      <c r="B303" s="24" t="s">
        <v>705</v>
      </c>
      <c r="C303" s="103" t="s">
        <v>419</v>
      </c>
      <c r="D303" s="104">
        <v>223602</v>
      </c>
      <c r="E303" s="104">
        <v>2083</v>
      </c>
      <c r="F303" s="124"/>
      <c r="G303" s="113">
        <v>294900</v>
      </c>
      <c r="H303" s="113">
        <v>2368</v>
      </c>
    </row>
    <row r="304" spans="1:8">
      <c r="A304" s="102" t="s">
        <v>420</v>
      </c>
      <c r="B304" s="24" t="s">
        <v>706</v>
      </c>
      <c r="C304" s="103" t="s">
        <v>419</v>
      </c>
      <c r="D304" s="104">
        <v>54485</v>
      </c>
      <c r="E304" s="104">
        <v>682</v>
      </c>
      <c r="F304" s="124"/>
      <c r="G304" s="113">
        <v>55871</v>
      </c>
      <c r="H304" s="113">
        <v>553</v>
      </c>
    </row>
    <row r="305" spans="1:8">
      <c r="A305" s="102" t="s">
        <v>421</v>
      </c>
      <c r="B305" s="24" t="s">
        <v>707</v>
      </c>
      <c r="C305" s="103" t="s">
        <v>419</v>
      </c>
      <c r="D305" s="104">
        <v>31792</v>
      </c>
      <c r="E305" s="104">
        <v>404</v>
      </c>
      <c r="F305" s="124"/>
      <c r="G305" s="113">
        <v>89626</v>
      </c>
      <c r="H305" s="113">
        <v>789</v>
      </c>
    </row>
    <row r="306" spans="1:8">
      <c r="A306" s="102" t="s">
        <v>422</v>
      </c>
      <c r="B306" s="24" t="s">
        <v>708</v>
      </c>
      <c r="C306" s="103" t="s">
        <v>419</v>
      </c>
      <c r="D306" s="104">
        <v>217928</v>
      </c>
      <c r="E306" s="104">
        <v>2979</v>
      </c>
      <c r="F306" s="124"/>
      <c r="G306" s="113">
        <v>261883</v>
      </c>
      <c r="H306" s="113">
        <v>3062</v>
      </c>
    </row>
    <row r="307" spans="1:8">
      <c r="A307" s="102" t="s">
        <v>423</v>
      </c>
      <c r="B307" s="24" t="s">
        <v>709</v>
      </c>
      <c r="C307" s="103" t="s">
        <v>261</v>
      </c>
      <c r="D307" s="104">
        <v>15671</v>
      </c>
      <c r="E307" s="104">
        <v>216</v>
      </c>
      <c r="F307" s="124"/>
      <c r="G307" s="113">
        <v>18626</v>
      </c>
      <c r="H307" s="113">
        <v>237</v>
      </c>
    </row>
    <row r="308" spans="1:8">
      <c r="A308" s="102" t="s">
        <v>424</v>
      </c>
      <c r="B308" s="24" t="s">
        <v>710</v>
      </c>
      <c r="C308" s="103" t="s">
        <v>306</v>
      </c>
      <c r="D308" s="104">
        <v>68809</v>
      </c>
      <c r="E308" s="104">
        <v>785</v>
      </c>
      <c r="F308" s="124"/>
      <c r="G308" s="113">
        <v>72477</v>
      </c>
      <c r="H308" s="113">
        <v>563</v>
      </c>
    </row>
    <row r="309" spans="1:8">
      <c r="A309" s="102" t="s">
        <v>425</v>
      </c>
      <c r="B309" s="24" t="s">
        <v>711</v>
      </c>
      <c r="C309" s="103" t="s">
        <v>232</v>
      </c>
      <c r="D309" s="104">
        <v>22171</v>
      </c>
      <c r="E309" s="104">
        <v>337</v>
      </c>
      <c r="F309" s="124"/>
      <c r="G309" s="113">
        <v>21285</v>
      </c>
      <c r="H309" s="113">
        <v>357</v>
      </c>
    </row>
    <row r="310" spans="1:8">
      <c r="A310" s="102" t="s">
        <v>426</v>
      </c>
      <c r="B310" s="24" t="s">
        <v>712</v>
      </c>
      <c r="C310" s="103" t="s">
        <v>242</v>
      </c>
      <c r="D310" s="104">
        <v>13017</v>
      </c>
      <c r="E310" s="104">
        <v>207</v>
      </c>
      <c r="F310" s="124"/>
      <c r="G310" s="113">
        <v>3576</v>
      </c>
      <c r="H310" s="113">
        <v>69</v>
      </c>
    </row>
    <row r="311" spans="1:8" ht="15.75" thickBot="1">
      <c r="A311" s="102" t="s">
        <v>427</v>
      </c>
      <c r="B311" s="24" t="s">
        <v>713</v>
      </c>
      <c r="C311" s="103" t="s">
        <v>77</v>
      </c>
      <c r="D311" s="110">
        <v>8047254</v>
      </c>
      <c r="E311" s="110">
        <v>36894</v>
      </c>
      <c r="F311" s="124"/>
      <c r="G311" s="116">
        <v>10294783</v>
      </c>
      <c r="H311" s="116">
        <v>39801</v>
      </c>
    </row>
    <row r="312" spans="1:8" ht="15.75" thickTop="1">
      <c r="A312" s="102"/>
      <c r="B312" s="103"/>
      <c r="C312" s="103"/>
      <c r="F312" s="124"/>
    </row>
    <row r="313" spans="1:8">
      <c r="A313" s="105" t="s">
        <v>428</v>
      </c>
      <c r="B313" s="106"/>
      <c r="C313" s="107"/>
      <c r="D313" s="104">
        <v>92441550</v>
      </c>
      <c r="E313" s="104">
        <v>1071216</v>
      </c>
      <c r="F313" s="124"/>
      <c r="G313" s="113">
        <v>100188842</v>
      </c>
      <c r="H313" s="113">
        <v>1135714</v>
      </c>
    </row>
  </sheetData>
  <mergeCells count="2">
    <mergeCell ref="D1:E1"/>
    <mergeCell ref="G1:H1"/>
  </mergeCells>
  <printOptions horizontalCentered="1" gridLines="1"/>
  <pageMargins left="0.45" right="0.45" top="0.5" bottom="0.5" header="0.3" footer="0.3"/>
  <pageSetup scale="77" orientation="portrait" r:id="rId1"/>
  <headerFooter>
    <oddFooter>&amp;R&amp;9SF1002.xlsx (MOTOR VEH FY04 &amp; FY09)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E3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"/>
  <cols>
    <col min="1" max="1" width="9.140625" style="23"/>
    <col min="2" max="2" width="22" style="4" customWidth="1"/>
    <col min="3" max="3" width="15.140625" style="4" customWidth="1"/>
    <col min="4" max="4" width="12.28515625" style="4" bestFit="1" customWidth="1"/>
    <col min="5" max="5" width="11.5703125" style="4" bestFit="1" customWidth="1"/>
    <col min="6" max="16384" width="9.140625" style="4"/>
  </cols>
  <sheetData>
    <row r="1" spans="1:5">
      <c r="A1" s="42">
        <v>40387</v>
      </c>
      <c r="B1" s="46"/>
      <c r="C1" s="46"/>
      <c r="D1" s="46"/>
      <c r="E1" s="49" t="s">
        <v>717</v>
      </c>
    </row>
    <row r="2" spans="1:5">
      <c r="A2" s="36"/>
      <c r="B2" s="36"/>
      <c r="C2" s="36"/>
      <c r="D2" s="36" t="s">
        <v>717</v>
      </c>
      <c r="E2" s="49" t="s">
        <v>719</v>
      </c>
    </row>
    <row r="3" spans="1:5" ht="12.75" thickBot="1">
      <c r="A3" s="40" t="s">
        <v>716</v>
      </c>
      <c r="B3" s="78" t="s">
        <v>10</v>
      </c>
      <c r="C3" s="78" t="s">
        <v>3</v>
      </c>
      <c r="D3" s="40" t="s">
        <v>718</v>
      </c>
      <c r="E3" s="59">
        <v>4012</v>
      </c>
    </row>
    <row r="4" spans="1:5">
      <c r="A4" s="46">
        <v>101</v>
      </c>
      <c r="B4" s="25" t="s">
        <v>433</v>
      </c>
      <c r="C4" s="25" t="s">
        <v>14</v>
      </c>
      <c r="D4" s="52">
        <v>0</v>
      </c>
      <c r="E4" s="27">
        <f>D4*$E$3</f>
        <v>0</v>
      </c>
    </row>
    <row r="5" spans="1:5">
      <c r="A5" s="46">
        <v>102</v>
      </c>
      <c r="B5" s="25" t="s">
        <v>434</v>
      </c>
      <c r="C5" s="25" t="s">
        <v>16</v>
      </c>
      <c r="D5" s="52">
        <v>4.5</v>
      </c>
      <c r="E5" s="27">
        <f t="shared" ref="E5:E67" si="0">D5*$E$3</f>
        <v>18054</v>
      </c>
    </row>
    <row r="6" spans="1:5">
      <c r="A6" s="46">
        <v>103</v>
      </c>
      <c r="B6" s="25" t="s">
        <v>435</v>
      </c>
      <c r="C6" s="25" t="s">
        <v>18</v>
      </c>
      <c r="D6" s="52">
        <v>0</v>
      </c>
      <c r="E6" s="27">
        <f t="shared" si="0"/>
        <v>0</v>
      </c>
    </row>
    <row r="7" spans="1:5">
      <c r="A7" s="46">
        <v>105</v>
      </c>
      <c r="B7" s="25" t="s">
        <v>437</v>
      </c>
      <c r="C7" s="25" t="s">
        <v>23</v>
      </c>
      <c r="D7" s="52">
        <v>0</v>
      </c>
      <c r="E7" s="27">
        <f t="shared" si="0"/>
        <v>0</v>
      </c>
    </row>
    <row r="8" spans="1:5">
      <c r="A8" s="46">
        <v>106</v>
      </c>
      <c r="B8" s="25" t="s">
        <v>438</v>
      </c>
      <c r="C8" s="25" t="s">
        <v>25</v>
      </c>
      <c r="D8" s="52">
        <v>0</v>
      </c>
      <c r="E8" s="27">
        <f t="shared" si="0"/>
        <v>0</v>
      </c>
    </row>
    <row r="9" spans="1:5">
      <c r="A9" s="46">
        <v>107</v>
      </c>
      <c r="B9" s="25" t="s">
        <v>439</v>
      </c>
      <c r="C9" s="25" t="s">
        <v>20</v>
      </c>
      <c r="D9" s="52">
        <v>0</v>
      </c>
      <c r="E9" s="27">
        <f t="shared" si="0"/>
        <v>0</v>
      </c>
    </row>
    <row r="10" spans="1:5">
      <c r="A10" s="46">
        <v>108</v>
      </c>
      <c r="B10" s="25" t="s">
        <v>440</v>
      </c>
      <c r="C10" s="25" t="s">
        <v>28</v>
      </c>
      <c r="D10" s="52">
        <v>0</v>
      </c>
      <c r="E10" s="27">
        <f t="shared" si="0"/>
        <v>0</v>
      </c>
    </row>
    <row r="11" spans="1:5">
      <c r="A11" s="46">
        <v>109</v>
      </c>
      <c r="B11" s="25" t="s">
        <v>441</v>
      </c>
      <c r="C11" s="25" t="s">
        <v>30</v>
      </c>
      <c r="D11" s="52">
        <v>0</v>
      </c>
      <c r="E11" s="27">
        <f t="shared" si="0"/>
        <v>0</v>
      </c>
    </row>
    <row r="12" spans="1:5">
      <c r="A12" s="46">
        <v>110</v>
      </c>
      <c r="B12" s="25" t="s">
        <v>442</v>
      </c>
      <c r="C12" s="25" t="s">
        <v>32</v>
      </c>
      <c r="D12" s="52">
        <v>0</v>
      </c>
      <c r="E12" s="27">
        <f t="shared" si="0"/>
        <v>0</v>
      </c>
    </row>
    <row r="13" spans="1:5">
      <c r="A13" s="46">
        <v>111</v>
      </c>
      <c r="B13" s="25" t="s">
        <v>443</v>
      </c>
      <c r="C13" s="25" t="s">
        <v>34</v>
      </c>
      <c r="D13" s="52">
        <v>0</v>
      </c>
      <c r="E13" s="27">
        <f t="shared" si="0"/>
        <v>0</v>
      </c>
    </row>
    <row r="14" spans="1:5">
      <c r="A14" s="46">
        <v>200</v>
      </c>
      <c r="B14" s="25" t="s">
        <v>444</v>
      </c>
      <c r="C14" s="25" t="s">
        <v>36</v>
      </c>
      <c r="D14" s="52">
        <v>0</v>
      </c>
      <c r="E14" s="27">
        <f t="shared" si="0"/>
        <v>0</v>
      </c>
    </row>
    <row r="15" spans="1:5">
      <c r="A15" s="46">
        <v>202</v>
      </c>
      <c r="B15" s="25" t="s">
        <v>445</v>
      </c>
      <c r="C15" s="25" t="s">
        <v>38</v>
      </c>
      <c r="D15" s="52">
        <v>0</v>
      </c>
      <c r="E15" s="27">
        <f t="shared" si="0"/>
        <v>0</v>
      </c>
    </row>
    <row r="16" spans="1:5">
      <c r="A16" s="46">
        <v>203</v>
      </c>
      <c r="B16" s="25" t="s">
        <v>446</v>
      </c>
      <c r="C16" s="25" t="s">
        <v>38</v>
      </c>
      <c r="D16" s="52">
        <v>0</v>
      </c>
      <c r="E16" s="27">
        <f t="shared" si="0"/>
        <v>0</v>
      </c>
    </row>
    <row r="17" spans="1:5">
      <c r="A17" s="46">
        <v>204</v>
      </c>
      <c r="B17" s="25" t="s">
        <v>447</v>
      </c>
      <c r="C17" s="25" t="s">
        <v>38</v>
      </c>
      <c r="D17" s="52">
        <v>1.1000000000000001</v>
      </c>
      <c r="E17" s="27">
        <f t="shared" si="0"/>
        <v>4413.2000000000007</v>
      </c>
    </row>
    <row r="18" spans="1:5">
      <c r="A18" s="46">
        <v>205</v>
      </c>
      <c r="B18" s="25" t="s">
        <v>448</v>
      </c>
      <c r="C18" s="25" t="s">
        <v>42</v>
      </c>
      <c r="D18" s="52">
        <v>21</v>
      </c>
      <c r="E18" s="27">
        <f t="shared" si="0"/>
        <v>84252</v>
      </c>
    </row>
    <row r="19" spans="1:5">
      <c r="A19" s="46">
        <v>206</v>
      </c>
      <c r="B19" s="25" t="s">
        <v>449</v>
      </c>
      <c r="C19" s="25" t="s">
        <v>42</v>
      </c>
      <c r="D19" s="52">
        <v>9.5</v>
      </c>
      <c r="E19" s="27">
        <f t="shared" si="0"/>
        <v>38114</v>
      </c>
    </row>
    <row r="20" spans="1:5">
      <c r="A20" s="46">
        <v>207</v>
      </c>
      <c r="B20" s="25" t="s">
        <v>450</v>
      </c>
      <c r="C20" s="25" t="s">
        <v>45</v>
      </c>
      <c r="D20" s="52">
        <v>0</v>
      </c>
      <c r="E20" s="27">
        <f t="shared" si="0"/>
        <v>0</v>
      </c>
    </row>
    <row r="21" spans="1:5">
      <c r="A21" s="46">
        <v>208</v>
      </c>
      <c r="B21" s="25" t="s">
        <v>451</v>
      </c>
      <c r="C21" s="25" t="s">
        <v>47</v>
      </c>
      <c r="D21" s="52">
        <v>0</v>
      </c>
      <c r="E21" s="27">
        <f t="shared" si="0"/>
        <v>0</v>
      </c>
    </row>
    <row r="22" spans="1:5">
      <c r="A22" s="46">
        <v>209</v>
      </c>
      <c r="B22" s="25" t="s">
        <v>452</v>
      </c>
      <c r="C22" s="25" t="s">
        <v>49</v>
      </c>
      <c r="D22" s="52">
        <v>0</v>
      </c>
      <c r="E22" s="27">
        <f t="shared" si="0"/>
        <v>0</v>
      </c>
    </row>
    <row r="23" spans="1:5">
      <c r="A23" s="46">
        <v>210</v>
      </c>
      <c r="B23" s="25" t="s">
        <v>453</v>
      </c>
      <c r="C23" s="25" t="s">
        <v>49</v>
      </c>
      <c r="D23" s="52">
        <v>0.8</v>
      </c>
      <c r="E23" s="27">
        <f t="shared" si="0"/>
        <v>3209.6000000000004</v>
      </c>
    </row>
    <row r="24" spans="1:5">
      <c r="A24" s="46">
        <v>211</v>
      </c>
      <c r="B24" s="25" t="s">
        <v>52</v>
      </c>
      <c r="C24" s="25" t="s">
        <v>52</v>
      </c>
      <c r="D24" s="52">
        <v>0</v>
      </c>
      <c r="E24" s="27">
        <f t="shared" si="0"/>
        <v>0</v>
      </c>
    </row>
    <row r="25" spans="1:5">
      <c r="A25" s="46">
        <v>212</v>
      </c>
      <c r="B25" s="25" t="s">
        <v>454</v>
      </c>
      <c r="C25" s="25" t="s">
        <v>52</v>
      </c>
      <c r="D25" s="52">
        <v>0</v>
      </c>
      <c r="E25" s="27">
        <f t="shared" si="0"/>
        <v>0</v>
      </c>
    </row>
    <row r="26" spans="1:5">
      <c r="A26" s="46">
        <v>213</v>
      </c>
      <c r="B26" s="25" t="s">
        <v>455</v>
      </c>
      <c r="C26" s="25" t="s">
        <v>52</v>
      </c>
      <c r="D26" s="52">
        <v>0</v>
      </c>
      <c r="E26" s="27">
        <f t="shared" si="0"/>
        <v>0</v>
      </c>
    </row>
    <row r="27" spans="1:5">
      <c r="A27" s="46">
        <v>214</v>
      </c>
      <c r="B27" s="25" t="s">
        <v>456</v>
      </c>
      <c r="C27" s="25" t="s">
        <v>56</v>
      </c>
      <c r="D27" s="52">
        <v>17.5</v>
      </c>
      <c r="E27" s="27">
        <f t="shared" si="0"/>
        <v>70210</v>
      </c>
    </row>
    <row r="28" spans="1:5">
      <c r="A28" s="46">
        <v>215</v>
      </c>
      <c r="B28" s="25" t="s">
        <v>457</v>
      </c>
      <c r="C28" s="25" t="s">
        <v>58</v>
      </c>
      <c r="D28" s="52">
        <v>0</v>
      </c>
      <c r="E28" s="27">
        <f t="shared" si="0"/>
        <v>0</v>
      </c>
    </row>
    <row r="29" spans="1:5">
      <c r="A29" s="46">
        <v>216</v>
      </c>
      <c r="B29" s="25" t="s">
        <v>458</v>
      </c>
      <c r="C29" s="25" t="s">
        <v>58</v>
      </c>
      <c r="D29" s="52">
        <v>0</v>
      </c>
      <c r="E29" s="27">
        <f t="shared" si="0"/>
        <v>0</v>
      </c>
    </row>
    <row r="30" spans="1:5">
      <c r="A30" s="46">
        <v>217</v>
      </c>
      <c r="B30" s="25" t="s">
        <v>459</v>
      </c>
      <c r="C30" s="25" t="s">
        <v>61</v>
      </c>
      <c r="D30" s="52">
        <v>0</v>
      </c>
      <c r="E30" s="27">
        <f t="shared" si="0"/>
        <v>0</v>
      </c>
    </row>
    <row r="31" spans="1:5">
      <c r="A31" s="46">
        <v>218</v>
      </c>
      <c r="B31" s="25" t="s">
        <v>460</v>
      </c>
      <c r="C31" s="25" t="s">
        <v>61</v>
      </c>
      <c r="D31" s="52">
        <v>109.5</v>
      </c>
      <c r="E31" s="27">
        <f t="shared" si="0"/>
        <v>439314</v>
      </c>
    </row>
    <row r="32" spans="1:5">
      <c r="A32" s="46">
        <v>219</v>
      </c>
      <c r="B32" s="25" t="s">
        <v>461</v>
      </c>
      <c r="C32" s="25" t="s">
        <v>64</v>
      </c>
      <c r="D32" s="52">
        <v>0</v>
      </c>
      <c r="E32" s="27">
        <f t="shared" si="0"/>
        <v>0</v>
      </c>
    </row>
    <row r="33" spans="1:5">
      <c r="A33" s="46">
        <v>220</v>
      </c>
      <c r="B33" s="25" t="s">
        <v>462</v>
      </c>
      <c r="C33" s="25" t="s">
        <v>64</v>
      </c>
      <c r="D33" s="52">
        <v>0</v>
      </c>
      <c r="E33" s="27">
        <f t="shared" si="0"/>
        <v>0</v>
      </c>
    </row>
    <row r="34" spans="1:5">
      <c r="A34" s="46">
        <v>223</v>
      </c>
      <c r="B34" s="25" t="s">
        <v>464</v>
      </c>
      <c r="C34" s="25" t="s">
        <v>28</v>
      </c>
      <c r="D34" s="52">
        <v>0</v>
      </c>
      <c r="E34" s="27">
        <f t="shared" si="0"/>
        <v>0</v>
      </c>
    </row>
    <row r="35" spans="1:5">
      <c r="A35" s="46">
        <v>224</v>
      </c>
      <c r="B35" s="25" t="s">
        <v>465</v>
      </c>
      <c r="C35" s="25" t="s">
        <v>28</v>
      </c>
      <c r="D35" s="52">
        <v>0</v>
      </c>
      <c r="E35" s="27">
        <f t="shared" si="0"/>
        <v>0</v>
      </c>
    </row>
    <row r="36" spans="1:5">
      <c r="A36" s="46">
        <v>225</v>
      </c>
      <c r="B36" s="25" t="s">
        <v>466</v>
      </c>
      <c r="C36" s="25" t="s">
        <v>71</v>
      </c>
      <c r="D36" s="52">
        <v>0</v>
      </c>
      <c r="E36" s="27">
        <f t="shared" si="0"/>
        <v>0</v>
      </c>
    </row>
    <row r="37" spans="1:5">
      <c r="A37" s="46">
        <v>226</v>
      </c>
      <c r="B37" s="25" t="s">
        <v>71</v>
      </c>
      <c r="C37" s="25" t="s">
        <v>71</v>
      </c>
      <c r="D37" s="52">
        <v>0</v>
      </c>
      <c r="E37" s="27">
        <f t="shared" si="0"/>
        <v>0</v>
      </c>
    </row>
    <row r="38" spans="1:5">
      <c r="A38" s="46">
        <v>227</v>
      </c>
      <c r="B38" s="25" t="s">
        <v>467</v>
      </c>
      <c r="C38" s="25" t="s">
        <v>74</v>
      </c>
      <c r="D38" s="52">
        <v>0</v>
      </c>
      <c r="E38" s="27">
        <f t="shared" si="0"/>
        <v>0</v>
      </c>
    </row>
    <row r="39" spans="1:5">
      <c r="A39" s="46">
        <v>228</v>
      </c>
      <c r="B39" s="25" t="s">
        <v>468</v>
      </c>
      <c r="C39" s="25" t="s">
        <v>74</v>
      </c>
      <c r="D39" s="52">
        <v>0</v>
      </c>
      <c r="E39" s="27">
        <f t="shared" si="0"/>
        <v>0</v>
      </c>
    </row>
    <row r="40" spans="1:5">
      <c r="A40" s="46">
        <v>229</v>
      </c>
      <c r="B40" s="25" t="s">
        <v>469</v>
      </c>
      <c r="C40" s="25" t="s">
        <v>77</v>
      </c>
      <c r="D40" s="52">
        <v>0.4</v>
      </c>
      <c r="E40" s="27">
        <f t="shared" si="0"/>
        <v>1604.8000000000002</v>
      </c>
    </row>
    <row r="41" spans="1:5">
      <c r="A41" s="46">
        <v>230</v>
      </c>
      <c r="B41" s="25" t="s">
        <v>470</v>
      </c>
      <c r="C41" s="25" t="s">
        <v>77</v>
      </c>
      <c r="D41" s="52">
        <v>945.8</v>
      </c>
      <c r="E41" s="27">
        <f t="shared" si="0"/>
        <v>3794549.5999999996</v>
      </c>
    </row>
    <row r="42" spans="1:5">
      <c r="A42" s="46">
        <v>231</v>
      </c>
      <c r="B42" s="25" t="s">
        <v>471</v>
      </c>
      <c r="C42" s="25" t="s">
        <v>77</v>
      </c>
      <c r="D42" s="52">
        <v>0</v>
      </c>
      <c r="E42" s="27">
        <f t="shared" si="0"/>
        <v>0</v>
      </c>
    </row>
    <row r="43" spans="1:5">
      <c r="A43" s="46">
        <v>232</v>
      </c>
      <c r="B43" s="25" t="s">
        <v>472</v>
      </c>
      <c r="C43" s="25" t="s">
        <v>77</v>
      </c>
      <c r="D43" s="52">
        <v>0</v>
      </c>
      <c r="E43" s="27">
        <f t="shared" si="0"/>
        <v>0</v>
      </c>
    </row>
    <row r="44" spans="1:5">
      <c r="A44" s="46">
        <v>233</v>
      </c>
      <c r="B44" s="25" t="s">
        <v>473</v>
      </c>
      <c r="C44" s="25" t="s">
        <v>77</v>
      </c>
      <c r="D44" s="52">
        <v>0.9</v>
      </c>
      <c r="E44" s="27">
        <f t="shared" si="0"/>
        <v>3610.8</v>
      </c>
    </row>
    <row r="45" spans="1:5">
      <c r="A45" s="46">
        <v>234</v>
      </c>
      <c r="B45" s="25" t="s">
        <v>474</v>
      </c>
      <c r="C45" s="25" t="s">
        <v>83</v>
      </c>
      <c r="D45" s="52">
        <v>0</v>
      </c>
      <c r="E45" s="27">
        <f t="shared" si="0"/>
        <v>0</v>
      </c>
    </row>
    <row r="46" spans="1:5">
      <c r="A46" s="46">
        <v>235</v>
      </c>
      <c r="B46" s="25" t="s">
        <v>475</v>
      </c>
      <c r="C46" s="25" t="s">
        <v>83</v>
      </c>
      <c r="D46" s="52">
        <v>0</v>
      </c>
      <c r="E46" s="27">
        <f t="shared" si="0"/>
        <v>0</v>
      </c>
    </row>
    <row r="47" spans="1:5">
      <c r="A47" s="46">
        <v>237</v>
      </c>
      <c r="B47" s="25" t="s">
        <v>476</v>
      </c>
      <c r="C47" s="25" t="s">
        <v>86</v>
      </c>
      <c r="D47" s="52">
        <v>0</v>
      </c>
      <c r="E47" s="27">
        <f t="shared" si="0"/>
        <v>0</v>
      </c>
    </row>
    <row r="48" spans="1:5">
      <c r="A48" s="46">
        <v>239</v>
      </c>
      <c r="B48" s="25" t="s">
        <v>478</v>
      </c>
      <c r="C48" s="25" t="s">
        <v>89</v>
      </c>
      <c r="D48" s="52">
        <v>0</v>
      </c>
      <c r="E48" s="27">
        <f t="shared" si="0"/>
        <v>0</v>
      </c>
    </row>
    <row r="49" spans="1:5">
      <c r="A49" s="46">
        <v>240</v>
      </c>
      <c r="B49" s="25" t="s">
        <v>479</v>
      </c>
      <c r="C49" s="25" t="s">
        <v>89</v>
      </c>
      <c r="D49" s="52">
        <v>0</v>
      </c>
      <c r="E49" s="27">
        <f t="shared" si="0"/>
        <v>0</v>
      </c>
    </row>
    <row r="50" spans="1:5">
      <c r="A50" s="46">
        <v>241</v>
      </c>
      <c r="B50" s="25" t="s">
        <v>92</v>
      </c>
      <c r="C50" s="25" t="s">
        <v>92</v>
      </c>
      <c r="D50" s="52">
        <v>0</v>
      </c>
      <c r="E50" s="27">
        <f t="shared" si="0"/>
        <v>0</v>
      </c>
    </row>
    <row r="51" spans="1:5">
      <c r="A51" s="46">
        <v>242</v>
      </c>
      <c r="B51" s="25" t="s">
        <v>480</v>
      </c>
      <c r="C51" s="25" t="s">
        <v>92</v>
      </c>
      <c r="D51" s="52">
        <v>0</v>
      </c>
      <c r="E51" s="27">
        <f t="shared" si="0"/>
        <v>0</v>
      </c>
    </row>
    <row r="52" spans="1:5">
      <c r="A52" s="46">
        <v>243</v>
      </c>
      <c r="B52" s="25" t="s">
        <v>481</v>
      </c>
      <c r="C52" s="25" t="s">
        <v>95</v>
      </c>
      <c r="D52" s="52">
        <v>0</v>
      </c>
      <c r="E52" s="27">
        <f t="shared" si="0"/>
        <v>0</v>
      </c>
    </row>
    <row r="53" spans="1:5">
      <c r="A53" s="46">
        <v>244</v>
      </c>
      <c r="B53" s="25" t="s">
        <v>482</v>
      </c>
      <c r="C53" s="25" t="s">
        <v>95</v>
      </c>
      <c r="D53" s="52">
        <v>0</v>
      </c>
      <c r="E53" s="27">
        <f t="shared" si="0"/>
        <v>0</v>
      </c>
    </row>
    <row r="54" spans="1:5">
      <c r="A54" s="46">
        <v>245</v>
      </c>
      <c r="B54" s="25" t="s">
        <v>483</v>
      </c>
      <c r="C54" s="25" t="s">
        <v>95</v>
      </c>
      <c r="D54" s="52">
        <v>0</v>
      </c>
      <c r="E54" s="27">
        <f t="shared" si="0"/>
        <v>0</v>
      </c>
    </row>
    <row r="55" spans="1:5">
      <c r="A55" s="46">
        <v>246</v>
      </c>
      <c r="B55" s="25" t="s">
        <v>484</v>
      </c>
      <c r="C55" s="25" t="s">
        <v>99</v>
      </c>
      <c r="D55" s="52">
        <v>0</v>
      </c>
      <c r="E55" s="27">
        <f t="shared" si="0"/>
        <v>0</v>
      </c>
    </row>
    <row r="56" spans="1:5">
      <c r="A56" s="46">
        <v>247</v>
      </c>
      <c r="B56" s="25" t="s">
        <v>306</v>
      </c>
      <c r="C56" s="25" t="s">
        <v>99</v>
      </c>
      <c r="D56" s="52">
        <v>0</v>
      </c>
      <c r="E56" s="27">
        <f t="shared" si="0"/>
        <v>0</v>
      </c>
    </row>
    <row r="57" spans="1:5">
      <c r="A57" s="46">
        <v>248</v>
      </c>
      <c r="B57" s="25" t="s">
        <v>485</v>
      </c>
      <c r="C57" s="25" t="s">
        <v>99</v>
      </c>
      <c r="D57" s="52">
        <v>0</v>
      </c>
      <c r="E57" s="27">
        <f t="shared" si="0"/>
        <v>0</v>
      </c>
    </row>
    <row r="58" spans="1:5">
      <c r="A58" s="46">
        <v>249</v>
      </c>
      <c r="B58" s="25" t="s">
        <v>486</v>
      </c>
      <c r="C58" s="25" t="s">
        <v>99</v>
      </c>
      <c r="D58" s="52">
        <v>0</v>
      </c>
      <c r="E58" s="27">
        <f t="shared" si="0"/>
        <v>0</v>
      </c>
    </row>
    <row r="59" spans="1:5">
      <c r="A59" s="46">
        <v>250</v>
      </c>
      <c r="B59" s="25" t="s">
        <v>487</v>
      </c>
      <c r="C59" s="25" t="s">
        <v>99</v>
      </c>
      <c r="D59" s="52">
        <v>0</v>
      </c>
      <c r="E59" s="27">
        <f t="shared" si="0"/>
        <v>0</v>
      </c>
    </row>
    <row r="60" spans="1:5">
      <c r="A60" s="46">
        <v>251</v>
      </c>
      <c r="B60" s="25" t="s">
        <v>488</v>
      </c>
      <c r="C60" s="25" t="s">
        <v>105</v>
      </c>
      <c r="D60" s="52">
        <v>0</v>
      </c>
      <c r="E60" s="27">
        <f t="shared" si="0"/>
        <v>0</v>
      </c>
    </row>
    <row r="61" spans="1:5">
      <c r="A61" s="46">
        <v>252</v>
      </c>
      <c r="B61" s="25" t="s">
        <v>489</v>
      </c>
      <c r="C61" s="25" t="s">
        <v>105</v>
      </c>
      <c r="D61" s="52">
        <v>0</v>
      </c>
      <c r="E61" s="27">
        <f t="shared" si="0"/>
        <v>0</v>
      </c>
    </row>
    <row r="62" spans="1:5">
      <c r="A62" s="46">
        <v>253</v>
      </c>
      <c r="B62" s="25" t="s">
        <v>490</v>
      </c>
      <c r="C62" s="25" t="s">
        <v>105</v>
      </c>
      <c r="D62" s="52">
        <v>89.1</v>
      </c>
      <c r="E62" s="27">
        <f t="shared" si="0"/>
        <v>357469.19999999995</v>
      </c>
    </row>
    <row r="63" spans="1:5">
      <c r="A63" s="46">
        <v>254</v>
      </c>
      <c r="B63" s="25" t="s">
        <v>491</v>
      </c>
      <c r="C63" s="25" t="s">
        <v>109</v>
      </c>
      <c r="D63" s="52">
        <v>0</v>
      </c>
      <c r="E63" s="27">
        <f t="shared" si="0"/>
        <v>0</v>
      </c>
    </row>
    <row r="64" spans="1:5">
      <c r="A64" s="46">
        <v>255</v>
      </c>
      <c r="B64" s="25" t="s">
        <v>492</v>
      </c>
      <c r="C64" s="25" t="s">
        <v>109</v>
      </c>
      <c r="D64" s="52">
        <v>0</v>
      </c>
      <c r="E64" s="27">
        <f t="shared" si="0"/>
        <v>0</v>
      </c>
    </row>
    <row r="65" spans="1:5">
      <c r="A65" s="46">
        <v>256</v>
      </c>
      <c r="B65" s="25" t="s">
        <v>493</v>
      </c>
      <c r="C65" s="25" t="s">
        <v>112</v>
      </c>
      <c r="D65" s="52">
        <v>0</v>
      </c>
      <c r="E65" s="27">
        <f t="shared" si="0"/>
        <v>0</v>
      </c>
    </row>
    <row r="66" spans="1:5">
      <c r="A66" s="46">
        <v>257</v>
      </c>
      <c r="B66" s="25" t="s">
        <v>494</v>
      </c>
      <c r="C66" s="25" t="s">
        <v>112</v>
      </c>
      <c r="D66" s="52">
        <v>17.399999999999999</v>
      </c>
      <c r="E66" s="27">
        <f t="shared" si="0"/>
        <v>69808.799999999988</v>
      </c>
    </row>
    <row r="67" spans="1:5">
      <c r="A67" s="46">
        <v>258</v>
      </c>
      <c r="B67" s="25" t="s">
        <v>495</v>
      </c>
      <c r="C67" s="25" t="s">
        <v>112</v>
      </c>
      <c r="D67" s="52">
        <v>0</v>
      </c>
      <c r="E67" s="27">
        <f t="shared" si="0"/>
        <v>0</v>
      </c>
    </row>
    <row r="68" spans="1:5">
      <c r="A68" s="46">
        <v>259</v>
      </c>
      <c r="B68" s="25" t="s">
        <v>380</v>
      </c>
      <c r="C68" s="25" t="s">
        <v>116</v>
      </c>
      <c r="D68" s="52">
        <v>321</v>
      </c>
      <c r="E68" s="27">
        <f t="shared" ref="E68:E129" si="1">D68*$E$3</f>
        <v>1287852</v>
      </c>
    </row>
    <row r="69" spans="1:5">
      <c r="A69" s="46">
        <v>260</v>
      </c>
      <c r="B69" s="25" t="s">
        <v>496</v>
      </c>
      <c r="C69" s="25" t="s">
        <v>116</v>
      </c>
      <c r="D69" s="52">
        <v>12.3</v>
      </c>
      <c r="E69" s="27">
        <f t="shared" si="1"/>
        <v>49347.600000000006</v>
      </c>
    </row>
    <row r="70" spans="1:5">
      <c r="A70" s="46">
        <v>261</v>
      </c>
      <c r="B70" s="25" t="s">
        <v>497</v>
      </c>
      <c r="C70" s="25" t="s">
        <v>116</v>
      </c>
      <c r="D70" s="52">
        <v>42.9</v>
      </c>
      <c r="E70" s="27">
        <f t="shared" si="1"/>
        <v>172114.8</v>
      </c>
    </row>
    <row r="71" spans="1:5">
      <c r="A71" s="46">
        <v>262</v>
      </c>
      <c r="B71" s="25" t="s">
        <v>498</v>
      </c>
      <c r="C71" s="25" t="s">
        <v>116</v>
      </c>
      <c r="D71" s="52">
        <v>63.6</v>
      </c>
      <c r="E71" s="27">
        <f t="shared" si="1"/>
        <v>255163.2</v>
      </c>
    </row>
    <row r="72" spans="1:5">
      <c r="A72" s="46">
        <v>263</v>
      </c>
      <c r="B72" s="25" t="s">
        <v>499</v>
      </c>
      <c r="C72" s="25" t="s">
        <v>116</v>
      </c>
      <c r="D72" s="52">
        <v>0</v>
      </c>
      <c r="E72" s="27">
        <f t="shared" si="1"/>
        <v>0</v>
      </c>
    </row>
    <row r="73" spans="1:5">
      <c r="A73" s="46">
        <v>264</v>
      </c>
      <c r="B73" s="25" t="s">
        <v>500</v>
      </c>
      <c r="C73" s="25" t="s">
        <v>116</v>
      </c>
      <c r="D73" s="52">
        <v>0</v>
      </c>
      <c r="E73" s="27">
        <f t="shared" si="1"/>
        <v>0</v>
      </c>
    </row>
    <row r="74" spans="1:5">
      <c r="A74" s="46">
        <v>265</v>
      </c>
      <c r="B74" s="25" t="s">
        <v>501</v>
      </c>
      <c r="C74" s="25" t="s">
        <v>116</v>
      </c>
      <c r="D74" s="52">
        <v>0</v>
      </c>
      <c r="E74" s="27">
        <f t="shared" si="1"/>
        <v>0</v>
      </c>
    </row>
    <row r="75" spans="1:5">
      <c r="A75" s="46">
        <v>266</v>
      </c>
      <c r="B75" s="25" t="s">
        <v>502</v>
      </c>
      <c r="C75" s="25" t="s">
        <v>116</v>
      </c>
      <c r="D75" s="52">
        <v>1.4</v>
      </c>
      <c r="E75" s="27">
        <f t="shared" si="1"/>
        <v>5616.7999999999993</v>
      </c>
    </row>
    <row r="76" spans="1:5">
      <c r="A76" s="46">
        <v>267</v>
      </c>
      <c r="B76" s="25" t="s">
        <v>503</v>
      </c>
      <c r="C76" s="25" t="s">
        <v>116</v>
      </c>
      <c r="D76" s="52">
        <v>0</v>
      </c>
      <c r="E76" s="27">
        <f t="shared" si="1"/>
        <v>0</v>
      </c>
    </row>
    <row r="77" spans="1:5">
      <c r="A77" s="46">
        <v>268</v>
      </c>
      <c r="B77" s="25" t="s">
        <v>504</v>
      </c>
      <c r="C77" s="25" t="s">
        <v>116</v>
      </c>
      <c r="D77" s="52">
        <v>0</v>
      </c>
      <c r="E77" s="27">
        <f t="shared" si="1"/>
        <v>0</v>
      </c>
    </row>
    <row r="78" spans="1:5">
      <c r="A78" s="46">
        <v>269</v>
      </c>
      <c r="B78" s="25" t="s">
        <v>505</v>
      </c>
      <c r="C78" s="25" t="s">
        <v>127</v>
      </c>
      <c r="D78" s="52">
        <v>0</v>
      </c>
      <c r="E78" s="27">
        <f t="shared" si="1"/>
        <v>0</v>
      </c>
    </row>
    <row r="79" spans="1:5">
      <c r="A79" s="46">
        <v>270</v>
      </c>
      <c r="B79" s="25" t="s">
        <v>506</v>
      </c>
      <c r="C79" s="25" t="s">
        <v>127</v>
      </c>
      <c r="D79" s="52">
        <v>0</v>
      </c>
      <c r="E79" s="27">
        <f t="shared" si="1"/>
        <v>0</v>
      </c>
    </row>
    <row r="80" spans="1:5">
      <c r="A80" s="46">
        <v>271</v>
      </c>
      <c r="B80" s="25" t="s">
        <v>507</v>
      </c>
      <c r="C80" s="25" t="s">
        <v>127</v>
      </c>
      <c r="D80" s="52">
        <v>0</v>
      </c>
      <c r="E80" s="27">
        <f t="shared" si="1"/>
        <v>0</v>
      </c>
    </row>
    <row r="81" spans="1:5">
      <c r="A81" s="46">
        <v>272</v>
      </c>
      <c r="B81" s="25" t="s">
        <v>508</v>
      </c>
      <c r="C81" s="25" t="s">
        <v>131</v>
      </c>
      <c r="D81" s="52">
        <v>0</v>
      </c>
      <c r="E81" s="27">
        <f t="shared" si="1"/>
        <v>0</v>
      </c>
    </row>
    <row r="82" spans="1:5">
      <c r="A82" s="46">
        <v>273</v>
      </c>
      <c r="B82" s="25" t="s">
        <v>509</v>
      </c>
      <c r="C82" s="25" t="s">
        <v>131</v>
      </c>
      <c r="D82" s="52">
        <v>0</v>
      </c>
      <c r="E82" s="27">
        <f t="shared" si="1"/>
        <v>0</v>
      </c>
    </row>
    <row r="83" spans="1:5">
      <c r="A83" s="46">
        <v>274</v>
      </c>
      <c r="B83" s="25" t="s">
        <v>510</v>
      </c>
      <c r="C83" s="25" t="s">
        <v>134</v>
      </c>
      <c r="D83" s="52">
        <v>0</v>
      </c>
      <c r="E83" s="27">
        <f t="shared" si="1"/>
        <v>0</v>
      </c>
    </row>
    <row r="84" spans="1:5">
      <c r="A84" s="46">
        <v>275</v>
      </c>
      <c r="B84" s="25" t="s">
        <v>511</v>
      </c>
      <c r="C84" s="25" t="s">
        <v>134</v>
      </c>
      <c r="D84" s="52">
        <v>0</v>
      </c>
      <c r="E84" s="27">
        <f t="shared" si="1"/>
        <v>0</v>
      </c>
    </row>
    <row r="85" spans="1:5">
      <c r="A85" s="46">
        <v>281</v>
      </c>
      <c r="B85" s="25" t="s">
        <v>513</v>
      </c>
      <c r="C85" s="25" t="s">
        <v>139</v>
      </c>
      <c r="D85" s="52">
        <v>0</v>
      </c>
      <c r="E85" s="27">
        <f t="shared" si="1"/>
        <v>0</v>
      </c>
    </row>
    <row r="86" spans="1:5">
      <c r="A86" s="46">
        <v>282</v>
      </c>
      <c r="B86" s="25" t="s">
        <v>514</v>
      </c>
      <c r="C86" s="25" t="s">
        <v>141</v>
      </c>
      <c r="D86" s="52">
        <v>0</v>
      </c>
      <c r="E86" s="27">
        <f t="shared" si="1"/>
        <v>0</v>
      </c>
    </row>
    <row r="87" spans="1:5">
      <c r="A87" s="46">
        <v>283</v>
      </c>
      <c r="B87" s="25" t="s">
        <v>515</v>
      </c>
      <c r="C87" s="25" t="s">
        <v>141</v>
      </c>
      <c r="D87" s="52">
        <v>0</v>
      </c>
      <c r="E87" s="27">
        <f t="shared" si="1"/>
        <v>0</v>
      </c>
    </row>
    <row r="88" spans="1:5">
      <c r="A88" s="46">
        <v>284</v>
      </c>
      <c r="B88" s="25" t="s">
        <v>516</v>
      </c>
      <c r="C88" s="25" t="s">
        <v>144</v>
      </c>
      <c r="D88" s="52">
        <v>0</v>
      </c>
      <c r="E88" s="27">
        <f t="shared" si="1"/>
        <v>0</v>
      </c>
    </row>
    <row r="89" spans="1:5">
      <c r="A89" s="46">
        <v>285</v>
      </c>
      <c r="B89" s="25" t="s">
        <v>517</v>
      </c>
      <c r="C89" s="25" t="s">
        <v>146</v>
      </c>
      <c r="D89" s="52">
        <v>0</v>
      </c>
      <c r="E89" s="27">
        <f t="shared" si="1"/>
        <v>0</v>
      </c>
    </row>
    <row r="90" spans="1:5">
      <c r="A90" s="46">
        <v>286</v>
      </c>
      <c r="B90" s="25" t="s">
        <v>146</v>
      </c>
      <c r="C90" s="25" t="s">
        <v>146</v>
      </c>
      <c r="D90" s="52">
        <v>0</v>
      </c>
      <c r="E90" s="27">
        <f t="shared" si="1"/>
        <v>0</v>
      </c>
    </row>
    <row r="91" spans="1:5">
      <c r="A91" s="46">
        <v>287</v>
      </c>
      <c r="B91" s="25" t="s">
        <v>518</v>
      </c>
      <c r="C91" s="25" t="s">
        <v>149</v>
      </c>
      <c r="D91" s="52">
        <v>0</v>
      </c>
      <c r="E91" s="27">
        <f t="shared" si="1"/>
        <v>0</v>
      </c>
    </row>
    <row r="92" spans="1:5">
      <c r="A92" s="46">
        <v>288</v>
      </c>
      <c r="B92" s="25" t="s">
        <v>519</v>
      </c>
      <c r="C92" s="25" t="s">
        <v>149</v>
      </c>
      <c r="D92" s="52">
        <v>0</v>
      </c>
      <c r="E92" s="27">
        <f t="shared" si="1"/>
        <v>0</v>
      </c>
    </row>
    <row r="93" spans="1:5">
      <c r="A93" s="46">
        <v>289</v>
      </c>
      <c r="B93" s="25" t="s">
        <v>520</v>
      </c>
      <c r="C93" s="25" t="s">
        <v>149</v>
      </c>
      <c r="D93" s="52">
        <v>0</v>
      </c>
      <c r="E93" s="27">
        <f t="shared" si="1"/>
        <v>0</v>
      </c>
    </row>
    <row r="94" spans="1:5">
      <c r="A94" s="46">
        <v>290</v>
      </c>
      <c r="B94" s="25" t="s">
        <v>89</v>
      </c>
      <c r="C94" s="25" t="s">
        <v>149</v>
      </c>
      <c r="D94" s="52">
        <v>0</v>
      </c>
      <c r="E94" s="27">
        <f t="shared" si="1"/>
        <v>0</v>
      </c>
    </row>
    <row r="95" spans="1:5">
      <c r="A95" s="46">
        <v>291</v>
      </c>
      <c r="B95" s="25" t="s">
        <v>521</v>
      </c>
      <c r="C95" s="25" t="s">
        <v>154</v>
      </c>
      <c r="D95" s="52">
        <v>0</v>
      </c>
      <c r="E95" s="27">
        <f t="shared" si="1"/>
        <v>0</v>
      </c>
    </row>
    <row r="96" spans="1:5">
      <c r="A96" s="46">
        <v>292</v>
      </c>
      <c r="B96" s="25" t="s">
        <v>522</v>
      </c>
      <c r="C96" s="25" t="s">
        <v>154</v>
      </c>
      <c r="D96" s="52">
        <v>0</v>
      </c>
      <c r="E96" s="27">
        <f t="shared" si="1"/>
        <v>0</v>
      </c>
    </row>
    <row r="97" spans="1:5">
      <c r="A97" s="46">
        <v>293</v>
      </c>
      <c r="B97" s="25" t="s">
        <v>523</v>
      </c>
      <c r="C97" s="25" t="s">
        <v>154</v>
      </c>
      <c r="D97" s="52">
        <v>0</v>
      </c>
      <c r="E97" s="27">
        <f t="shared" si="1"/>
        <v>0</v>
      </c>
    </row>
    <row r="98" spans="1:5">
      <c r="A98" s="46">
        <v>294</v>
      </c>
      <c r="B98" s="25" t="s">
        <v>524</v>
      </c>
      <c r="C98" s="25" t="s">
        <v>158</v>
      </c>
      <c r="D98" s="52">
        <v>0</v>
      </c>
      <c r="E98" s="27">
        <f t="shared" si="1"/>
        <v>0</v>
      </c>
    </row>
    <row r="99" spans="1:5">
      <c r="A99" s="46">
        <v>297</v>
      </c>
      <c r="B99" s="25" t="s">
        <v>526</v>
      </c>
      <c r="C99" s="25" t="s">
        <v>18</v>
      </c>
      <c r="D99" s="52">
        <v>0</v>
      </c>
      <c r="E99" s="27">
        <f t="shared" si="1"/>
        <v>0</v>
      </c>
    </row>
    <row r="100" spans="1:5">
      <c r="A100" s="46">
        <v>298</v>
      </c>
      <c r="B100" s="25" t="s">
        <v>162</v>
      </c>
      <c r="C100" s="25" t="s">
        <v>162</v>
      </c>
      <c r="D100" s="52">
        <v>0</v>
      </c>
      <c r="E100" s="27">
        <f t="shared" si="1"/>
        <v>0</v>
      </c>
    </row>
    <row r="101" spans="1:5">
      <c r="A101" s="46">
        <v>299</v>
      </c>
      <c r="B101" s="25" t="s">
        <v>527</v>
      </c>
      <c r="C101" s="25" t="s">
        <v>162</v>
      </c>
      <c r="D101" s="52">
        <v>14.6</v>
      </c>
      <c r="E101" s="27">
        <f t="shared" si="1"/>
        <v>58575.199999999997</v>
      </c>
    </row>
    <row r="102" spans="1:5">
      <c r="A102" s="46">
        <v>300</v>
      </c>
      <c r="B102" s="25" t="s">
        <v>528</v>
      </c>
      <c r="C102" s="25" t="s">
        <v>165</v>
      </c>
      <c r="D102" s="52">
        <v>0</v>
      </c>
      <c r="E102" s="27">
        <f t="shared" si="1"/>
        <v>0</v>
      </c>
    </row>
    <row r="103" spans="1:5">
      <c r="A103" s="46">
        <v>303</v>
      </c>
      <c r="B103" s="25" t="s">
        <v>531</v>
      </c>
      <c r="C103" s="25" t="s">
        <v>25</v>
      </c>
      <c r="D103" s="52">
        <v>0</v>
      </c>
      <c r="E103" s="27">
        <f t="shared" si="1"/>
        <v>0</v>
      </c>
    </row>
    <row r="104" spans="1:5">
      <c r="A104" s="46">
        <v>305</v>
      </c>
      <c r="B104" s="25" t="s">
        <v>533</v>
      </c>
      <c r="C104" s="25" t="s">
        <v>171</v>
      </c>
      <c r="D104" s="52">
        <v>0</v>
      </c>
      <c r="E104" s="27">
        <f t="shared" si="1"/>
        <v>0</v>
      </c>
    </row>
    <row r="105" spans="1:5">
      <c r="A105" s="46">
        <v>306</v>
      </c>
      <c r="B105" s="25" t="s">
        <v>534</v>
      </c>
      <c r="C105" s="25" t="s">
        <v>171</v>
      </c>
      <c r="D105" s="52">
        <v>0</v>
      </c>
      <c r="E105" s="27">
        <f t="shared" si="1"/>
        <v>0</v>
      </c>
    </row>
    <row r="106" spans="1:5">
      <c r="A106" s="46">
        <v>307</v>
      </c>
      <c r="B106" s="25" t="s">
        <v>535</v>
      </c>
      <c r="C106" s="25" t="s">
        <v>171</v>
      </c>
      <c r="D106" s="52">
        <v>0</v>
      </c>
      <c r="E106" s="27">
        <f t="shared" si="1"/>
        <v>0</v>
      </c>
    </row>
    <row r="107" spans="1:5">
      <c r="A107" s="46">
        <v>308</v>
      </c>
      <c r="B107" s="25" t="s">
        <v>536</v>
      </c>
      <c r="C107" s="25" t="s">
        <v>175</v>
      </c>
      <c r="D107" s="52">
        <v>0</v>
      </c>
      <c r="E107" s="27">
        <f t="shared" si="1"/>
        <v>0</v>
      </c>
    </row>
    <row r="108" spans="1:5">
      <c r="A108" s="46">
        <v>309</v>
      </c>
      <c r="B108" s="25" t="s">
        <v>537</v>
      </c>
      <c r="C108" s="25" t="s">
        <v>175</v>
      </c>
      <c r="D108" s="52">
        <v>0</v>
      </c>
      <c r="E108" s="27">
        <f t="shared" si="1"/>
        <v>0</v>
      </c>
    </row>
    <row r="109" spans="1:5">
      <c r="A109" s="46">
        <v>310</v>
      </c>
      <c r="B109" s="25" t="s">
        <v>538</v>
      </c>
      <c r="C109" s="25" t="s">
        <v>175</v>
      </c>
      <c r="D109" s="52">
        <v>0</v>
      </c>
      <c r="E109" s="27">
        <f t="shared" si="1"/>
        <v>0</v>
      </c>
    </row>
    <row r="110" spans="1:5">
      <c r="A110" s="46">
        <v>311</v>
      </c>
      <c r="B110" s="25" t="s">
        <v>539</v>
      </c>
      <c r="C110" s="25" t="s">
        <v>175</v>
      </c>
      <c r="D110" s="52">
        <v>0</v>
      </c>
      <c r="E110" s="27">
        <f t="shared" si="1"/>
        <v>0</v>
      </c>
    </row>
    <row r="111" spans="1:5">
      <c r="A111" s="46">
        <v>312</v>
      </c>
      <c r="B111" s="25" t="s">
        <v>540</v>
      </c>
      <c r="C111" s="25" t="s">
        <v>175</v>
      </c>
      <c r="D111" s="52">
        <v>20.9</v>
      </c>
      <c r="E111" s="27">
        <f t="shared" si="1"/>
        <v>83850.799999999988</v>
      </c>
    </row>
    <row r="112" spans="1:5">
      <c r="A112" s="46">
        <v>313</v>
      </c>
      <c r="B112" s="25" t="s">
        <v>541</v>
      </c>
      <c r="C112" s="25" t="s">
        <v>175</v>
      </c>
      <c r="D112" s="52">
        <v>0</v>
      </c>
      <c r="E112" s="27">
        <f t="shared" si="1"/>
        <v>0</v>
      </c>
    </row>
    <row r="113" spans="1:5">
      <c r="A113" s="46">
        <v>314</v>
      </c>
      <c r="B113" s="25" t="s">
        <v>542</v>
      </c>
      <c r="C113" s="25" t="s">
        <v>182</v>
      </c>
      <c r="D113" s="52">
        <v>0</v>
      </c>
      <c r="E113" s="27">
        <f t="shared" si="1"/>
        <v>0</v>
      </c>
    </row>
    <row r="114" spans="1:5">
      <c r="A114" s="46">
        <v>315</v>
      </c>
      <c r="B114" s="25" t="s">
        <v>543</v>
      </c>
      <c r="C114" s="25" t="s">
        <v>182</v>
      </c>
      <c r="D114" s="52">
        <v>1.1000000000000001</v>
      </c>
      <c r="E114" s="27">
        <f t="shared" si="1"/>
        <v>4413.2000000000007</v>
      </c>
    </row>
    <row r="115" spans="1:5">
      <c r="A115" s="46">
        <v>316</v>
      </c>
      <c r="B115" s="25" t="s">
        <v>544</v>
      </c>
      <c r="C115" s="25" t="s">
        <v>182</v>
      </c>
      <c r="D115" s="52">
        <v>0</v>
      </c>
      <c r="E115" s="27">
        <f t="shared" si="1"/>
        <v>0</v>
      </c>
    </row>
    <row r="116" spans="1:5">
      <c r="A116" s="46">
        <v>320</v>
      </c>
      <c r="B116" s="25" t="s">
        <v>545</v>
      </c>
      <c r="C116" s="25" t="s">
        <v>186</v>
      </c>
      <c r="D116" s="52">
        <v>0</v>
      </c>
      <c r="E116" s="27">
        <f t="shared" si="1"/>
        <v>0</v>
      </c>
    </row>
    <row r="117" spans="1:5">
      <c r="A117" s="46">
        <v>321</v>
      </c>
      <c r="B117" s="25" t="s">
        <v>546</v>
      </c>
      <c r="C117" s="25" t="s">
        <v>186</v>
      </c>
      <c r="D117" s="52">
        <v>0</v>
      </c>
      <c r="E117" s="27">
        <f t="shared" si="1"/>
        <v>0</v>
      </c>
    </row>
    <row r="118" spans="1:5">
      <c r="A118" s="46">
        <v>322</v>
      </c>
      <c r="B118" s="25" t="s">
        <v>547</v>
      </c>
      <c r="C118" s="25" t="s">
        <v>186</v>
      </c>
      <c r="D118" s="52">
        <v>0</v>
      </c>
      <c r="E118" s="27">
        <f t="shared" si="1"/>
        <v>0</v>
      </c>
    </row>
    <row r="119" spans="1:5">
      <c r="A119" s="46">
        <v>323</v>
      </c>
      <c r="B119" s="25" t="s">
        <v>548</v>
      </c>
      <c r="C119" s="25" t="s">
        <v>186</v>
      </c>
      <c r="D119" s="52">
        <v>0</v>
      </c>
      <c r="E119" s="27">
        <f t="shared" si="1"/>
        <v>0</v>
      </c>
    </row>
    <row r="120" spans="1:5">
      <c r="A120" s="46">
        <v>325</v>
      </c>
      <c r="B120" s="25" t="s">
        <v>550</v>
      </c>
      <c r="C120" s="25" t="s">
        <v>32</v>
      </c>
      <c r="D120" s="52">
        <v>0</v>
      </c>
      <c r="E120" s="27">
        <f t="shared" si="1"/>
        <v>0</v>
      </c>
    </row>
    <row r="121" spans="1:5">
      <c r="A121" s="46">
        <v>326</v>
      </c>
      <c r="B121" s="25" t="s">
        <v>134</v>
      </c>
      <c r="C121" s="25" t="s">
        <v>32</v>
      </c>
      <c r="D121" s="52">
        <v>0</v>
      </c>
      <c r="E121" s="27">
        <f t="shared" si="1"/>
        <v>0</v>
      </c>
    </row>
    <row r="122" spans="1:5">
      <c r="A122" s="46">
        <v>327</v>
      </c>
      <c r="B122" s="25" t="s">
        <v>194</v>
      </c>
      <c r="C122" s="25" t="s">
        <v>194</v>
      </c>
      <c r="D122" s="52">
        <v>0</v>
      </c>
      <c r="E122" s="27">
        <f t="shared" si="1"/>
        <v>0</v>
      </c>
    </row>
    <row r="123" spans="1:5">
      <c r="A123" s="46">
        <v>328</v>
      </c>
      <c r="B123" s="25" t="s">
        <v>551</v>
      </c>
      <c r="C123" s="25" t="s">
        <v>194</v>
      </c>
      <c r="D123" s="52">
        <v>44.3</v>
      </c>
      <c r="E123" s="27">
        <f t="shared" si="1"/>
        <v>177731.59999999998</v>
      </c>
    </row>
    <row r="124" spans="1:5">
      <c r="A124" s="46">
        <v>329</v>
      </c>
      <c r="B124" s="25" t="s">
        <v>552</v>
      </c>
      <c r="C124" s="25" t="s">
        <v>197</v>
      </c>
      <c r="D124" s="52">
        <v>0</v>
      </c>
      <c r="E124" s="27">
        <f t="shared" si="1"/>
        <v>0</v>
      </c>
    </row>
    <row r="125" spans="1:5">
      <c r="A125" s="46">
        <v>330</v>
      </c>
      <c r="B125" s="25" t="s">
        <v>553</v>
      </c>
      <c r="C125" s="25" t="s">
        <v>197</v>
      </c>
      <c r="D125" s="52">
        <v>0</v>
      </c>
      <c r="E125" s="27">
        <f t="shared" si="1"/>
        <v>0</v>
      </c>
    </row>
    <row r="126" spans="1:5">
      <c r="A126" s="46">
        <v>331</v>
      </c>
      <c r="B126" s="25" t="s">
        <v>200</v>
      </c>
      <c r="C126" s="25" t="s">
        <v>200</v>
      </c>
      <c r="D126" s="52">
        <v>0</v>
      </c>
      <c r="E126" s="27">
        <f t="shared" si="1"/>
        <v>0</v>
      </c>
    </row>
    <row r="127" spans="1:5">
      <c r="A127" s="46">
        <v>332</v>
      </c>
      <c r="B127" s="25" t="s">
        <v>554</v>
      </c>
      <c r="C127" s="25" t="s">
        <v>200</v>
      </c>
      <c r="D127" s="52">
        <v>0</v>
      </c>
      <c r="E127" s="27">
        <f t="shared" si="1"/>
        <v>0</v>
      </c>
    </row>
    <row r="128" spans="1:5">
      <c r="A128" s="46">
        <v>333</v>
      </c>
      <c r="B128" s="25" t="s">
        <v>555</v>
      </c>
      <c r="C128" s="25" t="s">
        <v>203</v>
      </c>
      <c r="D128" s="52">
        <v>0</v>
      </c>
      <c r="E128" s="27">
        <f t="shared" si="1"/>
        <v>0</v>
      </c>
    </row>
    <row r="129" spans="1:5">
      <c r="A129" s="46">
        <v>334</v>
      </c>
      <c r="B129" s="25" t="s">
        <v>556</v>
      </c>
      <c r="C129" s="25" t="s">
        <v>203</v>
      </c>
      <c r="D129" s="52">
        <v>0</v>
      </c>
      <c r="E129" s="27">
        <f t="shared" si="1"/>
        <v>0</v>
      </c>
    </row>
    <row r="130" spans="1:5">
      <c r="A130" s="46">
        <v>335</v>
      </c>
      <c r="B130" s="25" t="s">
        <v>557</v>
      </c>
      <c r="C130" s="25" t="s">
        <v>206</v>
      </c>
      <c r="D130" s="52">
        <v>0</v>
      </c>
      <c r="E130" s="27">
        <f t="shared" ref="E130:E193" si="2">D130*$E$3</f>
        <v>0</v>
      </c>
    </row>
    <row r="131" spans="1:5">
      <c r="A131" s="46">
        <v>336</v>
      </c>
      <c r="B131" s="25" t="s">
        <v>558</v>
      </c>
      <c r="C131" s="25" t="s">
        <v>206</v>
      </c>
      <c r="D131" s="52">
        <v>0</v>
      </c>
      <c r="E131" s="27">
        <f t="shared" si="2"/>
        <v>0</v>
      </c>
    </row>
    <row r="132" spans="1:5">
      <c r="A132" s="46">
        <v>337</v>
      </c>
      <c r="B132" s="25" t="s">
        <v>559</v>
      </c>
      <c r="C132" s="25" t="s">
        <v>206</v>
      </c>
      <c r="D132" s="52">
        <v>0</v>
      </c>
      <c r="E132" s="27">
        <f t="shared" si="2"/>
        <v>0</v>
      </c>
    </row>
    <row r="133" spans="1:5">
      <c r="A133" s="46">
        <v>338</v>
      </c>
      <c r="B133" s="25" t="s">
        <v>560</v>
      </c>
      <c r="C133" s="25" t="s">
        <v>210</v>
      </c>
      <c r="D133" s="52">
        <v>0</v>
      </c>
      <c r="E133" s="27">
        <f t="shared" si="2"/>
        <v>0</v>
      </c>
    </row>
    <row r="134" spans="1:5">
      <c r="A134" s="46">
        <v>339</v>
      </c>
      <c r="B134" s="25" t="s">
        <v>561</v>
      </c>
      <c r="C134" s="25" t="s">
        <v>210</v>
      </c>
      <c r="D134" s="52">
        <v>0</v>
      </c>
      <c r="E134" s="27">
        <f t="shared" si="2"/>
        <v>0</v>
      </c>
    </row>
    <row r="135" spans="1:5">
      <c r="A135" s="46">
        <v>340</v>
      </c>
      <c r="B135" s="25" t="s">
        <v>562</v>
      </c>
      <c r="C135" s="25" t="s">
        <v>210</v>
      </c>
      <c r="D135" s="52">
        <v>0</v>
      </c>
      <c r="E135" s="27">
        <f t="shared" si="2"/>
        <v>0</v>
      </c>
    </row>
    <row r="136" spans="1:5">
      <c r="A136" s="46">
        <v>341</v>
      </c>
      <c r="B136" s="25" t="s">
        <v>563</v>
      </c>
      <c r="C136" s="25" t="s">
        <v>210</v>
      </c>
      <c r="D136" s="52">
        <v>0</v>
      </c>
      <c r="E136" s="27">
        <f t="shared" si="2"/>
        <v>0</v>
      </c>
    </row>
    <row r="137" spans="1:5">
      <c r="A137" s="46">
        <v>342</v>
      </c>
      <c r="B137" s="25" t="s">
        <v>564</v>
      </c>
      <c r="C137" s="25" t="s">
        <v>210</v>
      </c>
      <c r="D137" s="52">
        <v>0</v>
      </c>
      <c r="E137" s="27">
        <f t="shared" si="2"/>
        <v>0</v>
      </c>
    </row>
    <row r="138" spans="1:5">
      <c r="A138" s="46">
        <v>343</v>
      </c>
      <c r="B138" s="25" t="s">
        <v>565</v>
      </c>
      <c r="C138" s="25" t="s">
        <v>210</v>
      </c>
      <c r="D138" s="52">
        <v>0</v>
      </c>
      <c r="E138" s="27">
        <f t="shared" si="2"/>
        <v>0</v>
      </c>
    </row>
    <row r="139" spans="1:5">
      <c r="A139" s="46">
        <v>344</v>
      </c>
      <c r="B139" s="25" t="s">
        <v>566</v>
      </c>
      <c r="C139" s="25" t="s">
        <v>217</v>
      </c>
      <c r="D139" s="52">
        <v>0</v>
      </c>
      <c r="E139" s="27">
        <f t="shared" si="2"/>
        <v>0</v>
      </c>
    </row>
    <row r="140" spans="1:5">
      <c r="A140" s="46">
        <v>345</v>
      </c>
      <c r="B140" s="25" t="s">
        <v>567</v>
      </c>
      <c r="C140" s="25" t="s">
        <v>219</v>
      </c>
      <c r="D140" s="52">
        <v>0</v>
      </c>
      <c r="E140" s="27">
        <f t="shared" si="2"/>
        <v>0</v>
      </c>
    </row>
    <row r="141" spans="1:5">
      <c r="A141" s="46">
        <v>346</v>
      </c>
      <c r="B141" s="25" t="s">
        <v>568</v>
      </c>
      <c r="C141" s="25" t="s">
        <v>217</v>
      </c>
      <c r="D141" s="52">
        <v>0</v>
      </c>
      <c r="E141" s="27">
        <f t="shared" si="2"/>
        <v>0</v>
      </c>
    </row>
    <row r="142" spans="1:5">
      <c r="A142" s="46">
        <v>347</v>
      </c>
      <c r="B142" s="25" t="s">
        <v>569</v>
      </c>
      <c r="C142" s="25" t="s">
        <v>222</v>
      </c>
      <c r="D142" s="52">
        <v>0</v>
      </c>
      <c r="E142" s="27">
        <f t="shared" si="2"/>
        <v>0</v>
      </c>
    </row>
    <row r="143" spans="1:5">
      <c r="A143" s="46">
        <v>348</v>
      </c>
      <c r="B143" s="25" t="s">
        <v>570</v>
      </c>
      <c r="C143" s="25" t="s">
        <v>224</v>
      </c>
      <c r="D143" s="52">
        <v>0</v>
      </c>
      <c r="E143" s="27">
        <f t="shared" si="2"/>
        <v>0</v>
      </c>
    </row>
    <row r="144" spans="1:5">
      <c r="A144" s="46">
        <v>349</v>
      </c>
      <c r="B144" s="25" t="s">
        <v>226</v>
      </c>
      <c r="C144" s="25" t="s">
        <v>226</v>
      </c>
      <c r="D144" s="52">
        <v>0</v>
      </c>
      <c r="E144" s="27">
        <f t="shared" si="2"/>
        <v>0</v>
      </c>
    </row>
    <row r="145" spans="1:5">
      <c r="A145" s="46">
        <v>350</v>
      </c>
      <c r="B145" s="25" t="s">
        <v>571</v>
      </c>
      <c r="C145" s="25" t="s">
        <v>226</v>
      </c>
      <c r="D145" s="52">
        <v>0</v>
      </c>
      <c r="E145" s="27">
        <f t="shared" si="2"/>
        <v>0</v>
      </c>
    </row>
    <row r="146" spans="1:5">
      <c r="A146" s="46">
        <v>351</v>
      </c>
      <c r="B146" s="25" t="s">
        <v>572</v>
      </c>
      <c r="C146" s="25" t="s">
        <v>226</v>
      </c>
      <c r="D146" s="52">
        <v>0</v>
      </c>
      <c r="E146" s="27">
        <f t="shared" si="2"/>
        <v>0</v>
      </c>
    </row>
    <row r="147" spans="1:5">
      <c r="A147" s="46">
        <v>352</v>
      </c>
      <c r="B147" s="25" t="s">
        <v>573</v>
      </c>
      <c r="C147" s="25" t="s">
        <v>230</v>
      </c>
      <c r="D147" s="52">
        <v>0</v>
      </c>
      <c r="E147" s="27">
        <f t="shared" si="2"/>
        <v>0</v>
      </c>
    </row>
    <row r="148" spans="1:5">
      <c r="A148" s="46">
        <v>353</v>
      </c>
      <c r="B148" s="25" t="s">
        <v>574</v>
      </c>
      <c r="C148" s="25" t="s">
        <v>232</v>
      </c>
      <c r="D148" s="52">
        <v>0</v>
      </c>
      <c r="E148" s="27">
        <f t="shared" si="2"/>
        <v>0</v>
      </c>
    </row>
    <row r="149" spans="1:5">
      <c r="A149" s="46">
        <v>354</v>
      </c>
      <c r="B149" s="25" t="s">
        <v>575</v>
      </c>
      <c r="C149" s="25" t="s">
        <v>234</v>
      </c>
      <c r="D149" s="52">
        <v>0</v>
      </c>
      <c r="E149" s="27">
        <f t="shared" si="2"/>
        <v>0</v>
      </c>
    </row>
    <row r="150" spans="1:5">
      <c r="A150" s="46">
        <v>355</v>
      </c>
      <c r="B150" s="25" t="s">
        <v>576</v>
      </c>
      <c r="C150" s="25" t="s">
        <v>234</v>
      </c>
      <c r="D150" s="52">
        <v>0</v>
      </c>
      <c r="E150" s="27">
        <f t="shared" si="2"/>
        <v>0</v>
      </c>
    </row>
    <row r="151" spans="1:5">
      <c r="A151" s="46">
        <v>356</v>
      </c>
      <c r="B151" s="25" t="s">
        <v>577</v>
      </c>
      <c r="C151" s="25" t="s">
        <v>232</v>
      </c>
      <c r="D151" s="52">
        <v>0</v>
      </c>
      <c r="E151" s="27">
        <f t="shared" si="2"/>
        <v>0</v>
      </c>
    </row>
    <row r="152" spans="1:5">
      <c r="A152" s="46">
        <v>357</v>
      </c>
      <c r="B152" s="25" t="s">
        <v>578</v>
      </c>
      <c r="C152" s="25" t="s">
        <v>232</v>
      </c>
      <c r="D152" s="52">
        <v>0</v>
      </c>
      <c r="E152" s="27">
        <f t="shared" si="2"/>
        <v>0</v>
      </c>
    </row>
    <row r="153" spans="1:5">
      <c r="A153" s="46">
        <v>358</v>
      </c>
      <c r="B153" s="25" t="s">
        <v>579</v>
      </c>
      <c r="C153" s="25" t="s">
        <v>232</v>
      </c>
      <c r="D153" s="52">
        <v>0</v>
      </c>
      <c r="E153" s="27">
        <f t="shared" si="2"/>
        <v>0</v>
      </c>
    </row>
    <row r="154" spans="1:5">
      <c r="A154" s="46">
        <v>359</v>
      </c>
      <c r="B154" s="25" t="s">
        <v>580</v>
      </c>
      <c r="C154" s="25" t="s">
        <v>232</v>
      </c>
      <c r="D154" s="52">
        <v>0</v>
      </c>
      <c r="E154" s="27">
        <f t="shared" si="2"/>
        <v>0</v>
      </c>
    </row>
    <row r="155" spans="1:5">
      <c r="A155" s="46">
        <v>360</v>
      </c>
      <c r="B155" s="25" t="s">
        <v>581</v>
      </c>
      <c r="C155" s="25" t="s">
        <v>232</v>
      </c>
      <c r="D155" s="52">
        <v>0</v>
      </c>
      <c r="E155" s="27">
        <f t="shared" si="2"/>
        <v>0</v>
      </c>
    </row>
    <row r="156" spans="1:5">
      <c r="A156" s="46">
        <v>361</v>
      </c>
      <c r="B156" s="25" t="s">
        <v>582</v>
      </c>
      <c r="C156" s="25" t="s">
        <v>242</v>
      </c>
      <c r="D156" s="52">
        <v>0</v>
      </c>
      <c r="E156" s="27">
        <f t="shared" si="2"/>
        <v>0</v>
      </c>
    </row>
    <row r="157" spans="1:5">
      <c r="A157" s="46">
        <v>362</v>
      </c>
      <c r="B157" s="25" t="s">
        <v>583</v>
      </c>
      <c r="C157" s="25" t="s">
        <v>217</v>
      </c>
      <c r="D157" s="52">
        <v>0</v>
      </c>
      <c r="E157" s="27">
        <f t="shared" si="2"/>
        <v>0</v>
      </c>
    </row>
    <row r="158" spans="1:5">
      <c r="A158" s="46">
        <v>363</v>
      </c>
      <c r="B158" s="25" t="s">
        <v>584</v>
      </c>
      <c r="C158" s="25" t="s">
        <v>245</v>
      </c>
      <c r="D158" s="52">
        <v>4.5999999999999996</v>
      </c>
      <c r="E158" s="27">
        <f t="shared" si="2"/>
        <v>18455.199999999997</v>
      </c>
    </row>
    <row r="159" spans="1:5">
      <c r="A159" s="46">
        <v>364</v>
      </c>
      <c r="B159" s="25" t="s">
        <v>585</v>
      </c>
      <c r="C159" s="25" t="s">
        <v>247</v>
      </c>
      <c r="D159" s="52">
        <v>0</v>
      </c>
      <c r="E159" s="27">
        <f t="shared" si="2"/>
        <v>0</v>
      </c>
    </row>
    <row r="160" spans="1:5">
      <c r="A160" s="46">
        <v>365</v>
      </c>
      <c r="B160" s="25" t="s">
        <v>586</v>
      </c>
      <c r="C160" s="25" t="s">
        <v>249</v>
      </c>
      <c r="D160" s="52">
        <v>0</v>
      </c>
      <c r="E160" s="27">
        <f t="shared" si="2"/>
        <v>0</v>
      </c>
    </row>
    <row r="161" spans="1:5">
      <c r="A161" s="46">
        <v>366</v>
      </c>
      <c r="B161" s="25" t="s">
        <v>251</v>
      </c>
      <c r="C161" s="25" t="s">
        <v>251</v>
      </c>
      <c r="D161" s="52">
        <v>0</v>
      </c>
      <c r="E161" s="27">
        <f t="shared" si="2"/>
        <v>0</v>
      </c>
    </row>
    <row r="162" spans="1:5">
      <c r="A162" s="46">
        <v>367</v>
      </c>
      <c r="B162" s="25" t="s">
        <v>587</v>
      </c>
      <c r="C162" s="25" t="s">
        <v>253</v>
      </c>
      <c r="D162" s="52">
        <v>0</v>
      </c>
      <c r="E162" s="27">
        <f t="shared" si="2"/>
        <v>0</v>
      </c>
    </row>
    <row r="163" spans="1:5">
      <c r="A163" s="46">
        <v>368</v>
      </c>
      <c r="B163" s="25" t="s">
        <v>588</v>
      </c>
      <c r="C163" s="25" t="s">
        <v>253</v>
      </c>
      <c r="D163" s="52">
        <v>0</v>
      </c>
      <c r="E163" s="27">
        <f t="shared" si="2"/>
        <v>0</v>
      </c>
    </row>
    <row r="164" spans="1:5">
      <c r="A164" s="46">
        <v>369</v>
      </c>
      <c r="B164" s="25" t="s">
        <v>589</v>
      </c>
      <c r="C164" s="25" t="s">
        <v>256</v>
      </c>
      <c r="D164" s="52">
        <v>0</v>
      </c>
      <c r="E164" s="27">
        <f t="shared" si="2"/>
        <v>0</v>
      </c>
    </row>
    <row r="165" spans="1:5">
      <c r="A165" s="46">
        <v>371</v>
      </c>
      <c r="B165" s="25" t="s">
        <v>590</v>
      </c>
      <c r="C165" s="25" t="s">
        <v>16</v>
      </c>
      <c r="D165" s="52">
        <v>2.2999999999999998</v>
      </c>
      <c r="E165" s="27">
        <f t="shared" si="2"/>
        <v>9227.5999999999985</v>
      </c>
    </row>
    <row r="166" spans="1:5">
      <c r="A166" s="46">
        <v>372</v>
      </c>
      <c r="B166" s="25" t="s">
        <v>591</v>
      </c>
      <c r="C166" s="25" t="s">
        <v>219</v>
      </c>
      <c r="D166" s="52">
        <v>0</v>
      </c>
      <c r="E166" s="27">
        <f t="shared" si="2"/>
        <v>0</v>
      </c>
    </row>
    <row r="167" spans="1:5">
      <c r="A167" s="46">
        <v>373</v>
      </c>
      <c r="B167" s="25" t="s">
        <v>592</v>
      </c>
      <c r="C167" s="25" t="s">
        <v>256</v>
      </c>
      <c r="D167" s="52">
        <v>0</v>
      </c>
      <c r="E167" s="27">
        <f t="shared" si="2"/>
        <v>0</v>
      </c>
    </row>
    <row r="168" spans="1:5">
      <c r="A168" s="46">
        <v>374</v>
      </c>
      <c r="B168" s="25" t="s">
        <v>593</v>
      </c>
      <c r="C168" s="25" t="s">
        <v>261</v>
      </c>
      <c r="D168" s="52">
        <v>9.3000000000000007</v>
      </c>
      <c r="E168" s="27">
        <f t="shared" si="2"/>
        <v>37311.600000000006</v>
      </c>
    </row>
    <row r="169" spans="1:5">
      <c r="A169" s="46">
        <v>375</v>
      </c>
      <c r="B169" s="25" t="s">
        <v>594</v>
      </c>
      <c r="C169" s="25" t="s">
        <v>42</v>
      </c>
      <c r="D169" s="52">
        <v>17.899999999999999</v>
      </c>
      <c r="E169" s="27">
        <f t="shared" si="2"/>
        <v>71814.799999999988</v>
      </c>
    </row>
    <row r="170" spans="1:5">
      <c r="A170" s="46">
        <v>376</v>
      </c>
      <c r="B170" s="25" t="s">
        <v>595</v>
      </c>
      <c r="C170" s="25" t="s">
        <v>264</v>
      </c>
      <c r="D170" s="52">
        <v>0</v>
      </c>
      <c r="E170" s="27">
        <f t="shared" si="2"/>
        <v>0</v>
      </c>
    </row>
    <row r="171" spans="1:5">
      <c r="A171" s="46">
        <v>377</v>
      </c>
      <c r="B171" s="25" t="s">
        <v>596</v>
      </c>
      <c r="C171" s="25" t="s">
        <v>266</v>
      </c>
      <c r="D171" s="52">
        <v>0</v>
      </c>
      <c r="E171" s="27">
        <f t="shared" si="2"/>
        <v>0</v>
      </c>
    </row>
    <row r="172" spans="1:5">
      <c r="A172" s="46">
        <v>378</v>
      </c>
      <c r="B172" s="25" t="s">
        <v>597</v>
      </c>
      <c r="C172" s="25" t="s">
        <v>268</v>
      </c>
      <c r="D172" s="52">
        <v>0</v>
      </c>
      <c r="E172" s="27">
        <f t="shared" si="2"/>
        <v>0</v>
      </c>
    </row>
    <row r="173" spans="1:5">
      <c r="A173" s="46">
        <v>379</v>
      </c>
      <c r="B173" s="25" t="s">
        <v>598</v>
      </c>
      <c r="C173" s="25" t="s">
        <v>270</v>
      </c>
      <c r="D173" s="52">
        <v>0</v>
      </c>
      <c r="E173" s="27">
        <f t="shared" si="2"/>
        <v>0</v>
      </c>
    </row>
    <row r="174" spans="1:5">
      <c r="A174" s="46">
        <v>380</v>
      </c>
      <c r="B174" s="25" t="s">
        <v>599</v>
      </c>
      <c r="C174" s="25" t="s">
        <v>247</v>
      </c>
      <c r="D174" s="52">
        <v>0</v>
      </c>
      <c r="E174" s="27">
        <f t="shared" si="2"/>
        <v>0</v>
      </c>
    </row>
    <row r="175" spans="1:5">
      <c r="A175" s="46">
        <v>381</v>
      </c>
      <c r="B175" s="25" t="s">
        <v>600</v>
      </c>
      <c r="C175" s="25" t="s">
        <v>273</v>
      </c>
      <c r="D175" s="52">
        <v>0</v>
      </c>
      <c r="E175" s="27">
        <f t="shared" si="2"/>
        <v>0</v>
      </c>
    </row>
    <row r="176" spans="1:5">
      <c r="A176" s="46">
        <v>382</v>
      </c>
      <c r="B176" s="25" t="s">
        <v>275</v>
      </c>
      <c r="C176" s="25" t="s">
        <v>275</v>
      </c>
      <c r="D176" s="52">
        <v>0</v>
      </c>
      <c r="E176" s="27">
        <f t="shared" si="2"/>
        <v>0</v>
      </c>
    </row>
    <row r="177" spans="1:5">
      <c r="A177" s="46">
        <v>383</v>
      </c>
      <c r="B177" s="25" t="s">
        <v>601</v>
      </c>
      <c r="C177" s="25" t="s">
        <v>268</v>
      </c>
      <c r="D177" s="52">
        <v>329.4</v>
      </c>
      <c r="E177" s="27">
        <f t="shared" si="2"/>
        <v>1321552.7999999998</v>
      </c>
    </row>
    <row r="178" spans="1:5">
      <c r="A178" s="46">
        <v>384</v>
      </c>
      <c r="B178" s="25" t="s">
        <v>469</v>
      </c>
      <c r="C178" s="25" t="s">
        <v>268</v>
      </c>
      <c r="D178" s="52">
        <v>0</v>
      </c>
      <c r="E178" s="27">
        <f t="shared" si="2"/>
        <v>0</v>
      </c>
    </row>
    <row r="179" spans="1:5">
      <c r="A179" s="46">
        <v>385</v>
      </c>
      <c r="B179" s="25" t="s">
        <v>602</v>
      </c>
      <c r="C179" s="25" t="s">
        <v>42</v>
      </c>
      <c r="D179" s="52">
        <v>23</v>
      </c>
      <c r="E179" s="27">
        <f t="shared" si="2"/>
        <v>92276</v>
      </c>
    </row>
    <row r="180" spans="1:5">
      <c r="A180" s="46">
        <v>386</v>
      </c>
      <c r="B180" s="25" t="s">
        <v>603</v>
      </c>
      <c r="C180" s="25" t="s">
        <v>280</v>
      </c>
      <c r="D180" s="52">
        <v>0</v>
      </c>
      <c r="E180" s="27">
        <f t="shared" si="2"/>
        <v>0</v>
      </c>
    </row>
    <row r="181" spans="1:5">
      <c r="A181" s="46">
        <v>387</v>
      </c>
      <c r="B181" s="25" t="s">
        <v>604</v>
      </c>
      <c r="C181" s="25" t="s">
        <v>282</v>
      </c>
      <c r="D181" s="52">
        <v>0</v>
      </c>
      <c r="E181" s="27">
        <f t="shared" si="2"/>
        <v>0</v>
      </c>
    </row>
    <row r="182" spans="1:5">
      <c r="A182" s="46">
        <v>388</v>
      </c>
      <c r="B182" s="25" t="s">
        <v>284</v>
      </c>
      <c r="C182" s="25" t="s">
        <v>284</v>
      </c>
      <c r="D182" s="52">
        <v>0</v>
      </c>
      <c r="E182" s="27">
        <f t="shared" si="2"/>
        <v>0</v>
      </c>
    </row>
    <row r="183" spans="1:5">
      <c r="A183" s="46">
        <v>389</v>
      </c>
      <c r="B183" s="25" t="s">
        <v>605</v>
      </c>
      <c r="C183" s="25" t="s">
        <v>280</v>
      </c>
      <c r="D183" s="52">
        <v>0</v>
      </c>
      <c r="E183" s="27">
        <f t="shared" si="2"/>
        <v>0</v>
      </c>
    </row>
    <row r="184" spans="1:5">
      <c r="A184" s="46">
        <v>390</v>
      </c>
      <c r="B184" s="25" t="s">
        <v>408</v>
      </c>
      <c r="C184" s="25" t="s">
        <v>280</v>
      </c>
      <c r="D184" s="52">
        <v>0</v>
      </c>
      <c r="E184" s="27">
        <f t="shared" si="2"/>
        <v>0</v>
      </c>
    </row>
    <row r="185" spans="1:5">
      <c r="A185" s="46">
        <v>392</v>
      </c>
      <c r="B185" s="25" t="s">
        <v>288</v>
      </c>
      <c r="C185" s="25" t="s">
        <v>288</v>
      </c>
      <c r="D185" s="52">
        <v>0</v>
      </c>
      <c r="E185" s="27">
        <f t="shared" si="2"/>
        <v>0</v>
      </c>
    </row>
    <row r="186" spans="1:5">
      <c r="A186" s="46">
        <v>393</v>
      </c>
      <c r="B186" s="25" t="s">
        <v>606</v>
      </c>
      <c r="C186" s="25" t="s">
        <v>290</v>
      </c>
      <c r="D186" s="52">
        <v>0</v>
      </c>
      <c r="E186" s="27">
        <f t="shared" si="2"/>
        <v>0</v>
      </c>
    </row>
    <row r="187" spans="1:5">
      <c r="A187" s="46">
        <v>394</v>
      </c>
      <c r="B187" s="25" t="s">
        <v>607</v>
      </c>
      <c r="C187" s="25" t="s">
        <v>42</v>
      </c>
      <c r="D187" s="52">
        <v>0</v>
      </c>
      <c r="E187" s="27">
        <f t="shared" si="2"/>
        <v>0</v>
      </c>
    </row>
    <row r="188" spans="1:5">
      <c r="A188" s="46">
        <v>395</v>
      </c>
      <c r="B188" s="25" t="s">
        <v>608</v>
      </c>
      <c r="C188" s="25" t="s">
        <v>293</v>
      </c>
      <c r="D188" s="52">
        <v>0</v>
      </c>
      <c r="E188" s="27">
        <f t="shared" si="2"/>
        <v>0</v>
      </c>
    </row>
    <row r="189" spans="1:5">
      <c r="A189" s="46">
        <v>396</v>
      </c>
      <c r="B189" s="25" t="s">
        <v>609</v>
      </c>
      <c r="C189" s="25" t="s">
        <v>42</v>
      </c>
      <c r="D189" s="52">
        <v>12.6</v>
      </c>
      <c r="E189" s="27">
        <f t="shared" si="2"/>
        <v>50551.199999999997</v>
      </c>
    </row>
    <row r="190" spans="1:5">
      <c r="A190" s="46">
        <v>397</v>
      </c>
      <c r="B190" s="25" t="s">
        <v>610</v>
      </c>
      <c r="C190" s="25" t="s">
        <v>296</v>
      </c>
      <c r="D190" s="52">
        <v>0</v>
      </c>
      <c r="E190" s="27">
        <f t="shared" si="2"/>
        <v>0</v>
      </c>
    </row>
    <row r="191" spans="1:5">
      <c r="A191" s="46">
        <v>398</v>
      </c>
      <c r="B191" s="25" t="s">
        <v>611</v>
      </c>
      <c r="C191" s="25" t="s">
        <v>296</v>
      </c>
      <c r="D191" s="52">
        <v>0</v>
      </c>
      <c r="E191" s="27">
        <f t="shared" si="2"/>
        <v>0</v>
      </c>
    </row>
    <row r="192" spans="1:5">
      <c r="A192" s="46">
        <v>399</v>
      </c>
      <c r="B192" s="25" t="s">
        <v>612</v>
      </c>
      <c r="C192" s="25" t="s">
        <v>299</v>
      </c>
      <c r="D192" s="52">
        <v>1.1000000000000001</v>
      </c>
      <c r="E192" s="27">
        <f t="shared" si="2"/>
        <v>4413.2000000000007</v>
      </c>
    </row>
    <row r="193" spans="1:5">
      <c r="A193" s="46">
        <v>400</v>
      </c>
      <c r="B193" s="25" t="s">
        <v>613</v>
      </c>
      <c r="C193" s="25" t="s">
        <v>301</v>
      </c>
      <c r="D193" s="52">
        <v>30.1</v>
      </c>
      <c r="E193" s="27">
        <f t="shared" si="2"/>
        <v>120761.20000000001</v>
      </c>
    </row>
    <row r="194" spans="1:5">
      <c r="A194" s="46">
        <v>401</v>
      </c>
      <c r="B194" s="25" t="s">
        <v>144</v>
      </c>
      <c r="C194" s="25" t="s">
        <v>264</v>
      </c>
      <c r="D194" s="52">
        <v>0</v>
      </c>
      <c r="E194" s="27">
        <f t="shared" ref="E194:E255" si="3">D194*$E$3</f>
        <v>0</v>
      </c>
    </row>
    <row r="195" spans="1:5">
      <c r="A195" s="46">
        <v>402</v>
      </c>
      <c r="B195" s="25" t="s">
        <v>614</v>
      </c>
      <c r="C195" s="25" t="s">
        <v>42</v>
      </c>
      <c r="D195" s="52">
        <v>0</v>
      </c>
      <c r="E195" s="27">
        <f t="shared" si="3"/>
        <v>0</v>
      </c>
    </row>
    <row r="196" spans="1:5">
      <c r="A196" s="46">
        <v>403</v>
      </c>
      <c r="B196" s="25" t="s">
        <v>615</v>
      </c>
      <c r="C196" s="25" t="s">
        <v>293</v>
      </c>
      <c r="D196" s="52">
        <v>0</v>
      </c>
      <c r="E196" s="27">
        <f t="shared" si="3"/>
        <v>0</v>
      </c>
    </row>
    <row r="197" spans="1:5">
      <c r="A197" s="46">
        <v>404</v>
      </c>
      <c r="B197" s="25" t="s">
        <v>616</v>
      </c>
      <c r="C197" s="25" t="s">
        <v>306</v>
      </c>
      <c r="D197" s="52">
        <v>2.1</v>
      </c>
      <c r="E197" s="27">
        <f t="shared" si="3"/>
        <v>8425.2000000000007</v>
      </c>
    </row>
    <row r="198" spans="1:5">
      <c r="A198" s="46">
        <v>405</v>
      </c>
      <c r="B198" s="25" t="s">
        <v>617</v>
      </c>
      <c r="C198" s="25" t="s">
        <v>264</v>
      </c>
      <c r="D198" s="52">
        <v>3.6</v>
      </c>
      <c r="E198" s="27">
        <f t="shared" si="3"/>
        <v>14443.2</v>
      </c>
    </row>
    <row r="199" spans="1:5">
      <c r="A199" s="46">
        <v>406</v>
      </c>
      <c r="B199" s="25" t="s">
        <v>618</v>
      </c>
      <c r="C199" s="25" t="s">
        <v>34</v>
      </c>
      <c r="D199" s="52">
        <v>0</v>
      </c>
      <c r="E199" s="27">
        <f t="shared" si="3"/>
        <v>0</v>
      </c>
    </row>
    <row r="200" spans="1:5">
      <c r="A200" s="46">
        <v>407</v>
      </c>
      <c r="B200" s="25" t="s">
        <v>619</v>
      </c>
      <c r="C200" s="25" t="s">
        <v>299</v>
      </c>
      <c r="D200" s="52">
        <v>0</v>
      </c>
      <c r="E200" s="27">
        <f t="shared" si="3"/>
        <v>0</v>
      </c>
    </row>
    <row r="201" spans="1:5">
      <c r="A201" s="46">
        <v>408</v>
      </c>
      <c r="B201" s="25" t="s">
        <v>296</v>
      </c>
      <c r="C201" s="25" t="s">
        <v>296</v>
      </c>
      <c r="D201" s="52">
        <v>0</v>
      </c>
      <c r="E201" s="27">
        <f t="shared" si="3"/>
        <v>0</v>
      </c>
    </row>
    <row r="202" spans="1:5">
      <c r="A202" s="46">
        <v>409</v>
      </c>
      <c r="B202" s="25" t="s">
        <v>266</v>
      </c>
      <c r="C202" s="25" t="s">
        <v>266</v>
      </c>
      <c r="D202" s="52">
        <v>0</v>
      </c>
      <c r="E202" s="27">
        <f t="shared" si="3"/>
        <v>0</v>
      </c>
    </row>
    <row r="203" spans="1:5">
      <c r="A203" s="46">
        <v>410</v>
      </c>
      <c r="B203" s="25" t="s">
        <v>620</v>
      </c>
      <c r="C203" s="25" t="s">
        <v>296</v>
      </c>
      <c r="D203" s="52">
        <v>0</v>
      </c>
      <c r="E203" s="27">
        <f t="shared" si="3"/>
        <v>0</v>
      </c>
    </row>
    <row r="204" spans="1:5">
      <c r="A204" s="46">
        <v>411</v>
      </c>
      <c r="B204" s="25" t="s">
        <v>621</v>
      </c>
      <c r="C204" s="25" t="s">
        <v>296</v>
      </c>
      <c r="D204" s="52">
        <v>0</v>
      </c>
      <c r="E204" s="27">
        <f t="shared" si="3"/>
        <v>0</v>
      </c>
    </row>
    <row r="205" spans="1:5">
      <c r="A205" s="46">
        <v>412</v>
      </c>
      <c r="B205" s="25" t="s">
        <v>622</v>
      </c>
      <c r="C205" s="25" t="s">
        <v>315</v>
      </c>
      <c r="D205" s="52">
        <v>0.7</v>
      </c>
      <c r="E205" s="27">
        <f t="shared" si="3"/>
        <v>2808.3999999999996</v>
      </c>
    </row>
    <row r="206" spans="1:5">
      <c r="A206" s="46">
        <v>413</v>
      </c>
      <c r="B206" s="25" t="s">
        <v>623</v>
      </c>
      <c r="C206" s="25" t="s">
        <v>14</v>
      </c>
      <c r="D206" s="52">
        <v>0</v>
      </c>
      <c r="E206" s="27">
        <f t="shared" si="3"/>
        <v>0</v>
      </c>
    </row>
    <row r="207" spans="1:5">
      <c r="A207" s="46">
        <v>415</v>
      </c>
      <c r="B207" s="25" t="s">
        <v>624</v>
      </c>
      <c r="C207" s="25" t="s">
        <v>318</v>
      </c>
      <c r="D207" s="52">
        <v>0</v>
      </c>
      <c r="E207" s="27">
        <f t="shared" si="3"/>
        <v>0</v>
      </c>
    </row>
    <row r="208" spans="1:5">
      <c r="A208" s="46">
        <v>416</v>
      </c>
      <c r="B208" s="25" t="s">
        <v>625</v>
      </c>
      <c r="C208" s="25" t="s">
        <v>253</v>
      </c>
      <c r="D208" s="52">
        <v>0.5</v>
      </c>
      <c r="E208" s="27">
        <f t="shared" si="3"/>
        <v>2006</v>
      </c>
    </row>
    <row r="209" spans="1:5">
      <c r="A209" s="46">
        <v>417</v>
      </c>
      <c r="B209" s="25" t="s">
        <v>626</v>
      </c>
      <c r="C209" s="25" t="s">
        <v>321</v>
      </c>
      <c r="D209" s="52">
        <v>0</v>
      </c>
      <c r="E209" s="27">
        <f t="shared" si="3"/>
        <v>0</v>
      </c>
    </row>
    <row r="210" spans="1:5">
      <c r="A210" s="46">
        <v>418</v>
      </c>
      <c r="B210" s="25" t="s">
        <v>301</v>
      </c>
      <c r="C210" s="25" t="s">
        <v>301</v>
      </c>
      <c r="D210" s="52">
        <v>0</v>
      </c>
      <c r="E210" s="27">
        <f t="shared" si="3"/>
        <v>0</v>
      </c>
    </row>
    <row r="211" spans="1:5">
      <c r="A211" s="46">
        <v>419</v>
      </c>
      <c r="B211" s="25" t="s">
        <v>627</v>
      </c>
      <c r="C211" s="25" t="s">
        <v>301</v>
      </c>
      <c r="D211" s="52">
        <v>0</v>
      </c>
      <c r="E211" s="27">
        <f t="shared" si="3"/>
        <v>0</v>
      </c>
    </row>
    <row r="212" spans="1:5">
      <c r="A212" s="46">
        <v>420</v>
      </c>
      <c r="B212" s="25" t="s">
        <v>628</v>
      </c>
      <c r="C212" s="25" t="s">
        <v>325</v>
      </c>
      <c r="D212" s="52">
        <v>0</v>
      </c>
      <c r="E212" s="27">
        <f t="shared" si="3"/>
        <v>0</v>
      </c>
    </row>
    <row r="213" spans="1:5">
      <c r="A213" s="46">
        <v>421</v>
      </c>
      <c r="B213" s="25" t="s">
        <v>629</v>
      </c>
      <c r="C213" s="25" t="s">
        <v>325</v>
      </c>
      <c r="D213" s="52">
        <v>0</v>
      </c>
      <c r="E213" s="27">
        <f t="shared" si="3"/>
        <v>0</v>
      </c>
    </row>
    <row r="214" spans="1:5">
      <c r="A214" s="46">
        <v>422</v>
      </c>
      <c r="B214" s="25" t="s">
        <v>630</v>
      </c>
      <c r="C214" s="25" t="s">
        <v>328</v>
      </c>
      <c r="D214" s="52">
        <v>0</v>
      </c>
      <c r="E214" s="27">
        <f t="shared" si="3"/>
        <v>0</v>
      </c>
    </row>
    <row r="215" spans="1:5">
      <c r="A215" s="46">
        <v>423</v>
      </c>
      <c r="B215" s="25" t="s">
        <v>631</v>
      </c>
      <c r="C215" s="25" t="s">
        <v>301</v>
      </c>
      <c r="D215" s="52">
        <v>0</v>
      </c>
      <c r="E215" s="27">
        <f t="shared" si="3"/>
        <v>0</v>
      </c>
    </row>
    <row r="216" spans="1:5">
      <c r="A216" s="46">
        <v>424</v>
      </c>
      <c r="B216" s="25" t="s">
        <v>632</v>
      </c>
      <c r="C216" s="25" t="s">
        <v>328</v>
      </c>
      <c r="D216" s="52">
        <v>183.8</v>
      </c>
      <c r="E216" s="27">
        <f t="shared" si="3"/>
        <v>737405.60000000009</v>
      </c>
    </row>
    <row r="217" spans="1:5">
      <c r="A217" s="46">
        <v>426</v>
      </c>
      <c r="B217" s="25" t="s">
        <v>634</v>
      </c>
      <c r="C217" s="25" t="s">
        <v>30</v>
      </c>
      <c r="D217" s="52">
        <v>0</v>
      </c>
      <c r="E217" s="27">
        <f t="shared" si="3"/>
        <v>0</v>
      </c>
    </row>
    <row r="218" spans="1:5">
      <c r="A218" s="46">
        <v>428</v>
      </c>
      <c r="B218" s="25" t="s">
        <v>636</v>
      </c>
      <c r="C218" s="25" t="s">
        <v>234</v>
      </c>
      <c r="D218" s="52">
        <v>1.1000000000000001</v>
      </c>
      <c r="E218" s="27">
        <f t="shared" si="3"/>
        <v>4413.2000000000007</v>
      </c>
    </row>
    <row r="219" spans="1:5">
      <c r="A219" s="46">
        <v>429</v>
      </c>
      <c r="B219" s="25" t="s">
        <v>637</v>
      </c>
      <c r="C219" s="25" t="s">
        <v>34</v>
      </c>
      <c r="D219" s="52">
        <v>0</v>
      </c>
      <c r="E219" s="27">
        <f t="shared" si="3"/>
        <v>0</v>
      </c>
    </row>
    <row r="220" spans="1:5">
      <c r="A220" s="46">
        <v>430</v>
      </c>
      <c r="B220" s="25" t="s">
        <v>638</v>
      </c>
      <c r="C220" s="25" t="s">
        <v>318</v>
      </c>
      <c r="D220" s="52">
        <v>8.4</v>
      </c>
      <c r="E220" s="27">
        <f t="shared" si="3"/>
        <v>33700.800000000003</v>
      </c>
    </row>
    <row r="221" spans="1:5">
      <c r="A221" s="46">
        <v>431</v>
      </c>
      <c r="B221" s="25" t="s">
        <v>639</v>
      </c>
      <c r="C221" s="25" t="s">
        <v>234</v>
      </c>
      <c r="D221" s="52">
        <v>0</v>
      </c>
      <c r="E221" s="27">
        <f t="shared" si="3"/>
        <v>0</v>
      </c>
    </row>
    <row r="222" spans="1:5">
      <c r="A222" s="46">
        <v>432</v>
      </c>
      <c r="B222" s="25" t="s">
        <v>640</v>
      </c>
      <c r="C222" s="25" t="s">
        <v>284</v>
      </c>
      <c r="D222" s="52">
        <v>0</v>
      </c>
      <c r="E222" s="27">
        <f t="shared" si="3"/>
        <v>0</v>
      </c>
    </row>
    <row r="223" spans="1:5">
      <c r="A223" s="46">
        <v>434</v>
      </c>
      <c r="B223" s="25" t="s">
        <v>642</v>
      </c>
      <c r="C223" s="25" t="s">
        <v>325</v>
      </c>
      <c r="D223" s="52">
        <v>0</v>
      </c>
      <c r="E223" s="27">
        <f t="shared" si="3"/>
        <v>0</v>
      </c>
    </row>
    <row r="224" spans="1:5">
      <c r="A224" s="46">
        <v>435</v>
      </c>
      <c r="B224" s="25" t="s">
        <v>643</v>
      </c>
      <c r="C224" s="25" t="s">
        <v>290</v>
      </c>
      <c r="D224" s="52">
        <v>26.3</v>
      </c>
      <c r="E224" s="27">
        <f t="shared" si="3"/>
        <v>105515.6</v>
      </c>
    </row>
    <row r="225" spans="1:5">
      <c r="A225" s="46">
        <v>436</v>
      </c>
      <c r="B225" s="25" t="s">
        <v>644</v>
      </c>
      <c r="C225" s="25" t="s">
        <v>343</v>
      </c>
      <c r="D225" s="52">
        <v>36.6</v>
      </c>
      <c r="E225" s="27">
        <f t="shared" si="3"/>
        <v>146839.20000000001</v>
      </c>
    </row>
    <row r="226" spans="1:5">
      <c r="A226" s="46">
        <v>437</v>
      </c>
      <c r="B226" s="25" t="s">
        <v>645</v>
      </c>
      <c r="C226" s="25" t="s">
        <v>219</v>
      </c>
      <c r="D226" s="52">
        <v>0</v>
      </c>
      <c r="E226" s="27">
        <f t="shared" si="3"/>
        <v>0</v>
      </c>
    </row>
    <row r="227" spans="1:5">
      <c r="A227" s="46">
        <v>438</v>
      </c>
      <c r="B227" s="25" t="s">
        <v>646</v>
      </c>
      <c r="C227" s="25" t="s">
        <v>275</v>
      </c>
      <c r="D227" s="52">
        <v>0</v>
      </c>
      <c r="E227" s="27">
        <f t="shared" si="3"/>
        <v>0</v>
      </c>
    </row>
    <row r="228" spans="1:5">
      <c r="A228" s="46">
        <v>439</v>
      </c>
      <c r="B228" s="25" t="s">
        <v>116</v>
      </c>
      <c r="C228" s="25" t="s">
        <v>256</v>
      </c>
      <c r="D228" s="52">
        <v>0</v>
      </c>
      <c r="E228" s="27">
        <f t="shared" si="3"/>
        <v>0</v>
      </c>
    </row>
    <row r="229" spans="1:5">
      <c r="A229" s="46">
        <v>440</v>
      </c>
      <c r="B229" s="25" t="s">
        <v>647</v>
      </c>
      <c r="C229" s="25" t="s">
        <v>256</v>
      </c>
      <c r="D229" s="52">
        <v>0</v>
      </c>
      <c r="E229" s="27">
        <f t="shared" si="3"/>
        <v>0</v>
      </c>
    </row>
    <row r="230" spans="1:5">
      <c r="A230" s="46">
        <v>441</v>
      </c>
      <c r="B230" s="25" t="s">
        <v>648</v>
      </c>
      <c r="C230" s="25" t="s">
        <v>349</v>
      </c>
      <c r="D230" s="52">
        <v>0</v>
      </c>
      <c r="E230" s="27">
        <f t="shared" si="3"/>
        <v>0</v>
      </c>
    </row>
    <row r="231" spans="1:5">
      <c r="A231" s="46">
        <v>442</v>
      </c>
      <c r="B231" s="25" t="s">
        <v>649</v>
      </c>
      <c r="C231" s="25" t="s">
        <v>349</v>
      </c>
      <c r="D231" s="52">
        <v>0</v>
      </c>
      <c r="E231" s="27">
        <f t="shared" si="3"/>
        <v>0</v>
      </c>
    </row>
    <row r="232" spans="1:5">
      <c r="A232" s="46">
        <v>443</v>
      </c>
      <c r="B232" s="25" t="s">
        <v>650</v>
      </c>
      <c r="C232" s="25" t="s">
        <v>273</v>
      </c>
      <c r="D232" s="52">
        <v>12.9</v>
      </c>
      <c r="E232" s="27">
        <f t="shared" si="3"/>
        <v>51754.8</v>
      </c>
    </row>
    <row r="233" spans="1:5">
      <c r="A233" s="46">
        <v>444</v>
      </c>
      <c r="B233" s="25" t="s">
        <v>651</v>
      </c>
      <c r="C233" s="25" t="s">
        <v>264</v>
      </c>
      <c r="D233" s="52">
        <v>5.8</v>
      </c>
      <c r="E233" s="27">
        <f t="shared" si="3"/>
        <v>23269.599999999999</v>
      </c>
    </row>
    <row r="234" spans="1:5">
      <c r="A234" s="46">
        <v>445</v>
      </c>
      <c r="B234" s="25" t="s">
        <v>652</v>
      </c>
      <c r="C234" s="25" t="s">
        <v>343</v>
      </c>
      <c r="D234" s="52">
        <v>0</v>
      </c>
      <c r="E234" s="27">
        <f t="shared" si="3"/>
        <v>0</v>
      </c>
    </row>
    <row r="235" spans="1:5">
      <c r="A235" s="46">
        <v>446</v>
      </c>
      <c r="B235" s="25" t="s">
        <v>653</v>
      </c>
      <c r="C235" s="25" t="s">
        <v>343</v>
      </c>
      <c r="D235" s="52">
        <v>1.2</v>
      </c>
      <c r="E235" s="27">
        <f t="shared" si="3"/>
        <v>4814.3999999999996</v>
      </c>
    </row>
    <row r="236" spans="1:5">
      <c r="A236" s="46">
        <v>447</v>
      </c>
      <c r="B236" s="25" t="s">
        <v>654</v>
      </c>
      <c r="C236" s="25" t="s">
        <v>343</v>
      </c>
      <c r="D236" s="52">
        <v>132</v>
      </c>
      <c r="E236" s="27">
        <f t="shared" si="3"/>
        <v>529584</v>
      </c>
    </row>
    <row r="237" spans="1:5">
      <c r="A237" s="46">
        <v>448</v>
      </c>
      <c r="B237" s="25" t="s">
        <v>655</v>
      </c>
      <c r="C237" s="25" t="s">
        <v>301</v>
      </c>
      <c r="D237" s="52">
        <v>0</v>
      </c>
      <c r="E237" s="27">
        <f t="shared" si="3"/>
        <v>0</v>
      </c>
    </row>
    <row r="238" spans="1:5">
      <c r="A238" s="46">
        <v>449</v>
      </c>
      <c r="B238" s="25" t="s">
        <v>656</v>
      </c>
      <c r="C238" s="25" t="s">
        <v>45</v>
      </c>
      <c r="D238" s="52">
        <v>0</v>
      </c>
      <c r="E238" s="27">
        <f t="shared" si="3"/>
        <v>0</v>
      </c>
    </row>
    <row r="239" spans="1:5">
      <c r="A239" s="46">
        <v>450</v>
      </c>
      <c r="B239" s="25" t="s">
        <v>657</v>
      </c>
      <c r="C239" s="25" t="s">
        <v>219</v>
      </c>
      <c r="D239" s="52">
        <v>0</v>
      </c>
      <c r="E239" s="27">
        <f t="shared" si="3"/>
        <v>0</v>
      </c>
    </row>
    <row r="240" spans="1:5">
      <c r="A240" s="46">
        <v>451</v>
      </c>
      <c r="B240" s="25" t="s">
        <v>360</v>
      </c>
      <c r="C240" s="25" t="s">
        <v>349</v>
      </c>
      <c r="D240" s="52">
        <v>0</v>
      </c>
      <c r="E240" s="27">
        <f t="shared" si="3"/>
        <v>0</v>
      </c>
    </row>
    <row r="241" spans="1:5">
      <c r="A241" s="46">
        <v>452</v>
      </c>
      <c r="B241" s="25" t="s">
        <v>658</v>
      </c>
      <c r="C241" s="25" t="s">
        <v>362</v>
      </c>
      <c r="D241" s="52">
        <v>0</v>
      </c>
      <c r="E241" s="27">
        <f t="shared" si="3"/>
        <v>0</v>
      </c>
    </row>
    <row r="242" spans="1:5">
      <c r="A242" s="46">
        <v>453</v>
      </c>
      <c r="B242" s="25" t="s">
        <v>45</v>
      </c>
      <c r="C242" s="25" t="s">
        <v>45</v>
      </c>
      <c r="D242" s="52">
        <v>213.4</v>
      </c>
      <c r="E242" s="27">
        <f t="shared" si="3"/>
        <v>856160.8</v>
      </c>
    </row>
    <row r="243" spans="1:5">
      <c r="A243" s="46">
        <v>454</v>
      </c>
      <c r="B243" s="25" t="s">
        <v>659</v>
      </c>
      <c r="C243" s="25" t="s">
        <v>325</v>
      </c>
      <c r="D243" s="52">
        <v>0</v>
      </c>
      <c r="E243" s="27">
        <f t="shared" si="3"/>
        <v>0</v>
      </c>
    </row>
    <row r="244" spans="1:5">
      <c r="A244" s="46">
        <v>456</v>
      </c>
      <c r="B244" s="25" t="s">
        <v>661</v>
      </c>
      <c r="C244" s="25" t="s">
        <v>325</v>
      </c>
      <c r="D244" s="52">
        <v>0</v>
      </c>
      <c r="E244" s="27">
        <f t="shared" si="3"/>
        <v>0</v>
      </c>
    </row>
    <row r="245" spans="1:5">
      <c r="A245" s="46">
        <v>457</v>
      </c>
      <c r="B245" s="25" t="s">
        <v>662</v>
      </c>
      <c r="C245" s="25" t="s">
        <v>245</v>
      </c>
      <c r="D245" s="52">
        <v>0</v>
      </c>
      <c r="E245" s="27">
        <f t="shared" si="3"/>
        <v>0</v>
      </c>
    </row>
    <row r="246" spans="1:5">
      <c r="A246" s="46">
        <v>458</v>
      </c>
      <c r="B246" s="25" t="s">
        <v>663</v>
      </c>
      <c r="C246" s="25" t="s">
        <v>45</v>
      </c>
      <c r="D246" s="52">
        <v>330</v>
      </c>
      <c r="E246" s="27">
        <f t="shared" si="3"/>
        <v>1323960</v>
      </c>
    </row>
    <row r="247" spans="1:5">
      <c r="A247" s="46">
        <v>459</v>
      </c>
      <c r="B247" s="25" t="s">
        <v>664</v>
      </c>
      <c r="C247" s="25" t="s">
        <v>273</v>
      </c>
      <c r="D247" s="52">
        <v>0</v>
      </c>
      <c r="E247" s="27">
        <f t="shared" si="3"/>
        <v>0</v>
      </c>
    </row>
    <row r="248" spans="1:5">
      <c r="A248" s="46">
        <v>460</v>
      </c>
      <c r="B248" s="25" t="s">
        <v>665</v>
      </c>
      <c r="C248" s="25" t="s">
        <v>256</v>
      </c>
      <c r="D248" s="52">
        <v>0</v>
      </c>
      <c r="E248" s="27">
        <f t="shared" si="3"/>
        <v>0</v>
      </c>
    </row>
    <row r="249" spans="1:5">
      <c r="A249" s="46">
        <v>461</v>
      </c>
      <c r="B249" s="25" t="s">
        <v>666</v>
      </c>
      <c r="C249" s="25" t="s">
        <v>282</v>
      </c>
      <c r="D249" s="52">
        <v>0</v>
      </c>
      <c r="E249" s="27">
        <f t="shared" si="3"/>
        <v>0</v>
      </c>
    </row>
    <row r="250" spans="1:5">
      <c r="A250" s="46">
        <v>462</v>
      </c>
      <c r="B250" s="25" t="s">
        <v>667</v>
      </c>
      <c r="C250" s="25" t="s">
        <v>373</v>
      </c>
      <c r="D250" s="52">
        <v>0</v>
      </c>
      <c r="E250" s="27">
        <f t="shared" si="3"/>
        <v>0</v>
      </c>
    </row>
    <row r="251" spans="1:5">
      <c r="A251" s="46">
        <v>463</v>
      </c>
      <c r="B251" s="25" t="s">
        <v>668</v>
      </c>
      <c r="C251" s="25" t="s">
        <v>373</v>
      </c>
      <c r="D251" s="52">
        <v>0</v>
      </c>
      <c r="E251" s="27">
        <f t="shared" si="3"/>
        <v>0</v>
      </c>
    </row>
    <row r="252" spans="1:5">
      <c r="A252" s="46">
        <v>464</v>
      </c>
      <c r="B252" s="25" t="s">
        <v>669</v>
      </c>
      <c r="C252" s="25" t="s">
        <v>45</v>
      </c>
      <c r="D252" s="52">
        <v>0</v>
      </c>
      <c r="E252" s="27">
        <f t="shared" si="3"/>
        <v>0</v>
      </c>
    </row>
    <row r="253" spans="1:5">
      <c r="A253" s="46">
        <v>465</v>
      </c>
      <c r="B253" s="25" t="s">
        <v>670</v>
      </c>
      <c r="C253" s="25" t="s">
        <v>373</v>
      </c>
      <c r="D253" s="52">
        <v>0</v>
      </c>
      <c r="E253" s="27">
        <f t="shared" si="3"/>
        <v>0</v>
      </c>
    </row>
    <row r="254" spans="1:5">
      <c r="A254" s="46">
        <v>466</v>
      </c>
      <c r="B254" s="25" t="s">
        <v>671</v>
      </c>
      <c r="C254" s="25" t="s">
        <v>378</v>
      </c>
      <c r="D254" s="52">
        <v>22.3</v>
      </c>
      <c r="E254" s="27">
        <f t="shared" si="3"/>
        <v>89467.6</v>
      </c>
    </row>
    <row r="255" spans="1:5">
      <c r="A255" s="46">
        <v>467</v>
      </c>
      <c r="B255" s="25" t="s">
        <v>672</v>
      </c>
      <c r="C255" s="25" t="s">
        <v>380</v>
      </c>
      <c r="D255" s="52">
        <v>0</v>
      </c>
      <c r="E255" s="27">
        <f t="shared" si="3"/>
        <v>0</v>
      </c>
    </row>
    <row r="256" spans="1:5">
      <c r="A256" s="46">
        <v>468</v>
      </c>
      <c r="B256" s="25" t="s">
        <v>673</v>
      </c>
      <c r="C256" s="25" t="s">
        <v>382</v>
      </c>
      <c r="D256" s="52">
        <v>0</v>
      </c>
      <c r="E256" s="27">
        <f t="shared" ref="E256:E296" si="4">D256*$E$3</f>
        <v>0</v>
      </c>
    </row>
    <row r="257" spans="1:5">
      <c r="A257" s="46">
        <v>469</v>
      </c>
      <c r="B257" s="25" t="s">
        <v>674</v>
      </c>
      <c r="C257" s="25" t="s">
        <v>45</v>
      </c>
      <c r="D257" s="52">
        <v>0</v>
      </c>
      <c r="E257" s="27">
        <f t="shared" si="4"/>
        <v>0</v>
      </c>
    </row>
    <row r="258" spans="1:5">
      <c r="A258" s="46">
        <v>470</v>
      </c>
      <c r="B258" s="25" t="s">
        <v>675</v>
      </c>
      <c r="C258" s="25" t="s">
        <v>373</v>
      </c>
      <c r="D258" s="52">
        <v>0</v>
      </c>
      <c r="E258" s="27">
        <f t="shared" si="4"/>
        <v>0</v>
      </c>
    </row>
    <row r="259" spans="1:5">
      <c r="A259" s="46">
        <v>471</v>
      </c>
      <c r="B259" s="25" t="s">
        <v>676</v>
      </c>
      <c r="C259" s="25" t="s">
        <v>373</v>
      </c>
      <c r="D259" s="52">
        <v>0</v>
      </c>
      <c r="E259" s="27">
        <f t="shared" si="4"/>
        <v>0</v>
      </c>
    </row>
    <row r="260" spans="1:5">
      <c r="A260" s="46">
        <v>473</v>
      </c>
      <c r="B260" s="25" t="s">
        <v>677</v>
      </c>
      <c r="C260" s="25" t="s">
        <v>290</v>
      </c>
      <c r="D260" s="52">
        <v>0</v>
      </c>
      <c r="E260" s="27">
        <f t="shared" si="4"/>
        <v>0</v>
      </c>
    </row>
    <row r="261" spans="1:5">
      <c r="A261" s="46">
        <v>474</v>
      </c>
      <c r="B261" s="25" t="s">
        <v>678</v>
      </c>
      <c r="C261" s="25" t="s">
        <v>328</v>
      </c>
      <c r="D261" s="52">
        <v>0</v>
      </c>
      <c r="E261" s="27">
        <f t="shared" si="4"/>
        <v>0</v>
      </c>
    </row>
    <row r="262" spans="1:5">
      <c r="A262" s="46">
        <v>475</v>
      </c>
      <c r="B262" s="25" t="s">
        <v>679</v>
      </c>
      <c r="C262" s="25" t="s">
        <v>389</v>
      </c>
      <c r="D262" s="52">
        <v>0</v>
      </c>
      <c r="E262" s="27">
        <f t="shared" si="4"/>
        <v>0</v>
      </c>
    </row>
    <row r="263" spans="1:5">
      <c r="A263" s="46">
        <v>476</v>
      </c>
      <c r="B263" s="25" t="s">
        <v>680</v>
      </c>
      <c r="C263" s="25" t="s">
        <v>16</v>
      </c>
      <c r="D263" s="52">
        <v>0</v>
      </c>
      <c r="E263" s="27">
        <f t="shared" si="4"/>
        <v>0</v>
      </c>
    </row>
    <row r="264" spans="1:5">
      <c r="A264" s="46">
        <v>477</v>
      </c>
      <c r="B264" s="25" t="s">
        <v>681</v>
      </c>
      <c r="C264" s="25" t="s">
        <v>16</v>
      </c>
      <c r="D264" s="52">
        <v>0</v>
      </c>
      <c r="E264" s="27">
        <f t="shared" si="4"/>
        <v>0</v>
      </c>
    </row>
    <row r="265" spans="1:5">
      <c r="A265" s="46">
        <v>479</v>
      </c>
      <c r="B265" s="25" t="s">
        <v>682</v>
      </c>
      <c r="C265" s="25" t="s">
        <v>249</v>
      </c>
      <c r="D265" s="52">
        <v>0</v>
      </c>
      <c r="E265" s="27">
        <f t="shared" si="4"/>
        <v>0</v>
      </c>
    </row>
    <row r="266" spans="1:5">
      <c r="A266" s="46">
        <v>480</v>
      </c>
      <c r="B266" s="25" t="s">
        <v>683</v>
      </c>
      <c r="C266" s="25" t="s">
        <v>394</v>
      </c>
      <c r="D266" s="52">
        <v>0</v>
      </c>
      <c r="E266" s="27">
        <f t="shared" si="4"/>
        <v>0</v>
      </c>
    </row>
    <row r="267" spans="1:5">
      <c r="A267" s="46">
        <v>481</v>
      </c>
      <c r="B267" s="25" t="s">
        <v>684</v>
      </c>
      <c r="C267" s="25" t="s">
        <v>290</v>
      </c>
      <c r="D267" s="52">
        <v>0</v>
      </c>
      <c r="E267" s="27">
        <f t="shared" si="4"/>
        <v>0</v>
      </c>
    </row>
    <row r="268" spans="1:5">
      <c r="A268" s="46">
        <v>482</v>
      </c>
      <c r="B268" s="25" t="s">
        <v>685</v>
      </c>
      <c r="C268" s="25" t="s">
        <v>382</v>
      </c>
      <c r="D268" s="52">
        <v>0</v>
      </c>
      <c r="E268" s="27">
        <f t="shared" si="4"/>
        <v>0</v>
      </c>
    </row>
    <row r="269" spans="1:5">
      <c r="A269" s="46">
        <v>483</v>
      </c>
      <c r="B269" s="25" t="s">
        <v>686</v>
      </c>
      <c r="C269" s="25" t="s">
        <v>394</v>
      </c>
      <c r="D269" s="52">
        <v>0</v>
      </c>
      <c r="E269" s="27">
        <f t="shared" si="4"/>
        <v>0</v>
      </c>
    </row>
    <row r="270" spans="1:5">
      <c r="A270" s="46">
        <v>484</v>
      </c>
      <c r="B270" s="25" t="s">
        <v>687</v>
      </c>
      <c r="C270" s="25" t="s">
        <v>282</v>
      </c>
      <c r="D270" s="52">
        <v>0</v>
      </c>
      <c r="E270" s="27">
        <f t="shared" si="4"/>
        <v>0</v>
      </c>
    </row>
    <row r="271" spans="1:5">
      <c r="A271" s="46">
        <v>486</v>
      </c>
      <c r="B271" s="25" t="s">
        <v>688</v>
      </c>
      <c r="C271" s="25" t="s">
        <v>34</v>
      </c>
      <c r="D271" s="52">
        <v>0</v>
      </c>
      <c r="E271" s="27">
        <f t="shared" si="4"/>
        <v>0</v>
      </c>
    </row>
    <row r="272" spans="1:5">
      <c r="A272" s="46">
        <v>487</v>
      </c>
      <c r="B272" s="25" t="s">
        <v>689</v>
      </c>
      <c r="C272" s="25" t="s">
        <v>290</v>
      </c>
      <c r="D272" s="52">
        <v>0</v>
      </c>
      <c r="E272" s="27">
        <f t="shared" si="4"/>
        <v>0</v>
      </c>
    </row>
    <row r="273" spans="1:5">
      <c r="A273" s="46">
        <v>488</v>
      </c>
      <c r="B273" s="25" t="s">
        <v>690</v>
      </c>
      <c r="C273" s="25" t="s">
        <v>247</v>
      </c>
      <c r="D273" s="52">
        <v>0</v>
      </c>
      <c r="E273" s="27">
        <f t="shared" si="4"/>
        <v>0</v>
      </c>
    </row>
    <row r="274" spans="1:5">
      <c r="A274" s="46">
        <v>489</v>
      </c>
      <c r="B274" s="25" t="s">
        <v>691</v>
      </c>
      <c r="C274" s="25" t="s">
        <v>284</v>
      </c>
      <c r="D274" s="52">
        <v>15.8</v>
      </c>
      <c r="E274" s="27">
        <f t="shared" si="4"/>
        <v>63389.600000000006</v>
      </c>
    </row>
    <row r="275" spans="1:5">
      <c r="A275" s="46">
        <v>490</v>
      </c>
      <c r="B275" s="25" t="s">
        <v>692</v>
      </c>
      <c r="C275" s="25" t="s">
        <v>42</v>
      </c>
      <c r="D275" s="52">
        <v>1.1000000000000001</v>
      </c>
      <c r="E275" s="27">
        <f t="shared" si="4"/>
        <v>4413.2000000000007</v>
      </c>
    </row>
    <row r="276" spans="1:5">
      <c r="A276" s="46">
        <v>491</v>
      </c>
      <c r="B276" s="25" t="s">
        <v>693</v>
      </c>
      <c r="C276" s="25" t="s">
        <v>224</v>
      </c>
      <c r="D276" s="52">
        <v>0</v>
      </c>
      <c r="E276" s="27">
        <f t="shared" si="4"/>
        <v>0</v>
      </c>
    </row>
    <row r="277" spans="1:5">
      <c r="A277" s="46">
        <v>492</v>
      </c>
      <c r="B277" s="25" t="s">
        <v>694</v>
      </c>
      <c r="C277" s="25" t="s">
        <v>42</v>
      </c>
      <c r="D277" s="52">
        <v>0</v>
      </c>
      <c r="E277" s="27">
        <f t="shared" si="4"/>
        <v>0</v>
      </c>
    </row>
    <row r="278" spans="1:5">
      <c r="A278" s="46">
        <v>493</v>
      </c>
      <c r="B278" s="25" t="s">
        <v>695</v>
      </c>
      <c r="C278" s="25" t="s">
        <v>306</v>
      </c>
      <c r="D278" s="52">
        <v>1.1000000000000001</v>
      </c>
      <c r="E278" s="27">
        <f t="shared" si="4"/>
        <v>4413.2000000000007</v>
      </c>
    </row>
    <row r="279" spans="1:5">
      <c r="A279" s="46">
        <v>494</v>
      </c>
      <c r="B279" s="25" t="s">
        <v>696</v>
      </c>
      <c r="C279" s="25" t="s">
        <v>408</v>
      </c>
      <c r="D279" s="52">
        <v>0</v>
      </c>
      <c r="E279" s="27">
        <f t="shared" si="4"/>
        <v>0</v>
      </c>
    </row>
    <row r="280" spans="1:5">
      <c r="A280" s="46">
        <v>495</v>
      </c>
      <c r="B280" s="25" t="s">
        <v>697</v>
      </c>
      <c r="C280" s="25" t="s">
        <v>410</v>
      </c>
      <c r="D280" s="52">
        <v>0</v>
      </c>
      <c r="E280" s="27">
        <f t="shared" si="4"/>
        <v>0</v>
      </c>
    </row>
    <row r="281" spans="1:5">
      <c r="A281" s="46">
        <v>496</v>
      </c>
      <c r="B281" s="25" t="s">
        <v>698</v>
      </c>
      <c r="C281" s="25" t="s">
        <v>410</v>
      </c>
      <c r="D281" s="52">
        <v>21.6</v>
      </c>
      <c r="E281" s="27">
        <f t="shared" si="4"/>
        <v>86659.200000000012</v>
      </c>
    </row>
    <row r="282" spans="1:5">
      <c r="A282" s="46">
        <v>497</v>
      </c>
      <c r="B282" s="25" t="s">
        <v>699</v>
      </c>
      <c r="C282" s="25" t="s">
        <v>224</v>
      </c>
      <c r="D282" s="52">
        <v>1097.4000000000001</v>
      </c>
      <c r="E282" s="27">
        <f t="shared" si="4"/>
        <v>4402768.8000000007</v>
      </c>
    </row>
    <row r="283" spans="1:5">
      <c r="A283" s="46">
        <v>498</v>
      </c>
      <c r="B283" s="25" t="s">
        <v>700</v>
      </c>
      <c r="C283" s="25" t="s">
        <v>247</v>
      </c>
      <c r="D283" s="52">
        <v>0</v>
      </c>
      <c r="E283" s="27">
        <f t="shared" si="4"/>
        <v>0</v>
      </c>
    </row>
    <row r="284" spans="1:5">
      <c r="A284" s="46">
        <v>499</v>
      </c>
      <c r="B284" s="25" t="s">
        <v>701</v>
      </c>
      <c r="C284" s="25" t="s">
        <v>306</v>
      </c>
      <c r="D284" s="52">
        <v>20</v>
      </c>
      <c r="E284" s="27">
        <f t="shared" si="4"/>
        <v>80240</v>
      </c>
    </row>
    <row r="285" spans="1:5">
      <c r="A285" s="46">
        <v>500</v>
      </c>
      <c r="B285" s="25" t="s">
        <v>702</v>
      </c>
      <c r="C285" s="25" t="s">
        <v>38</v>
      </c>
      <c r="D285" s="52">
        <v>0</v>
      </c>
      <c r="E285" s="27">
        <f t="shared" si="4"/>
        <v>0</v>
      </c>
    </row>
    <row r="286" spans="1:5">
      <c r="A286" s="46">
        <v>501</v>
      </c>
      <c r="B286" s="25" t="s">
        <v>703</v>
      </c>
      <c r="C286" s="25" t="s">
        <v>219</v>
      </c>
      <c r="D286" s="52">
        <v>0</v>
      </c>
      <c r="E286" s="27">
        <f t="shared" si="4"/>
        <v>0</v>
      </c>
    </row>
    <row r="287" spans="1:5">
      <c r="A287" s="46">
        <v>502</v>
      </c>
      <c r="B287" s="25" t="s">
        <v>704</v>
      </c>
      <c r="C287" s="25" t="s">
        <v>222</v>
      </c>
      <c r="D287" s="52">
        <v>0</v>
      </c>
      <c r="E287" s="27">
        <f t="shared" si="4"/>
        <v>0</v>
      </c>
    </row>
    <row r="288" spans="1:5">
      <c r="A288" s="46">
        <v>503</v>
      </c>
      <c r="B288" s="25" t="s">
        <v>705</v>
      </c>
      <c r="C288" s="25" t="s">
        <v>419</v>
      </c>
      <c r="D288" s="52">
        <v>0</v>
      </c>
      <c r="E288" s="27">
        <f t="shared" si="4"/>
        <v>0</v>
      </c>
    </row>
    <row r="289" spans="1:5">
      <c r="A289" s="46">
        <v>504</v>
      </c>
      <c r="B289" s="25" t="s">
        <v>706</v>
      </c>
      <c r="C289" s="25" t="s">
        <v>419</v>
      </c>
      <c r="D289" s="52">
        <v>0</v>
      </c>
      <c r="E289" s="27">
        <f t="shared" si="4"/>
        <v>0</v>
      </c>
    </row>
    <row r="290" spans="1:5">
      <c r="A290" s="46">
        <v>505</v>
      </c>
      <c r="B290" s="25" t="s">
        <v>707</v>
      </c>
      <c r="C290" s="25" t="s">
        <v>419</v>
      </c>
      <c r="D290" s="52">
        <v>10.6</v>
      </c>
      <c r="E290" s="27">
        <f t="shared" si="4"/>
        <v>42527.199999999997</v>
      </c>
    </row>
    <row r="291" spans="1:5">
      <c r="A291" s="46">
        <v>506</v>
      </c>
      <c r="B291" s="25" t="s">
        <v>708</v>
      </c>
      <c r="C291" s="25" t="s">
        <v>419</v>
      </c>
      <c r="D291" s="52">
        <v>0</v>
      </c>
      <c r="E291" s="27">
        <f t="shared" si="4"/>
        <v>0</v>
      </c>
    </row>
    <row r="292" spans="1:5">
      <c r="A292" s="46">
        <v>507</v>
      </c>
      <c r="B292" s="25" t="s">
        <v>709</v>
      </c>
      <c r="C292" s="25" t="s">
        <v>261</v>
      </c>
      <c r="D292" s="52">
        <v>0</v>
      </c>
      <c r="E292" s="27">
        <f t="shared" si="4"/>
        <v>0</v>
      </c>
    </row>
    <row r="293" spans="1:5">
      <c r="A293" s="46">
        <v>508</v>
      </c>
      <c r="B293" s="25" t="s">
        <v>710</v>
      </c>
      <c r="C293" s="25" t="s">
        <v>306</v>
      </c>
      <c r="D293" s="52">
        <v>10.5</v>
      </c>
      <c r="E293" s="27">
        <f t="shared" si="4"/>
        <v>42126</v>
      </c>
    </row>
    <row r="294" spans="1:5">
      <c r="A294" s="46">
        <v>509</v>
      </c>
      <c r="B294" s="25" t="s">
        <v>711</v>
      </c>
      <c r="C294" s="25" t="s">
        <v>232</v>
      </c>
      <c r="D294" s="52">
        <v>0</v>
      </c>
      <c r="E294" s="27">
        <f t="shared" si="4"/>
        <v>0</v>
      </c>
    </row>
    <row r="295" spans="1:5">
      <c r="A295" s="46">
        <v>511</v>
      </c>
      <c r="B295" s="25" t="s">
        <v>712</v>
      </c>
      <c r="C295" s="25" t="s">
        <v>242</v>
      </c>
      <c r="D295" s="52">
        <v>0</v>
      </c>
      <c r="E295" s="27">
        <f t="shared" si="4"/>
        <v>0</v>
      </c>
    </row>
    <row r="296" spans="1:5" ht="12.75" thickBot="1">
      <c r="A296" s="46">
        <v>512</v>
      </c>
      <c r="B296" s="25" t="s">
        <v>713</v>
      </c>
      <c r="C296" s="25" t="s">
        <v>77</v>
      </c>
      <c r="D296" s="58">
        <v>0</v>
      </c>
      <c r="E296" s="30">
        <f t="shared" si="4"/>
        <v>0</v>
      </c>
    </row>
    <row r="297" spans="1:5" ht="12.75" thickTop="1">
      <c r="A297" s="46"/>
      <c r="B297" s="25"/>
      <c r="C297" s="25"/>
      <c r="D297" s="38"/>
      <c r="E297" s="27"/>
    </row>
    <row r="298" spans="1:5">
      <c r="A298" s="46" t="s">
        <v>428</v>
      </c>
      <c r="B298" s="25"/>
      <c r="C298" s="25"/>
      <c r="D298" s="37">
        <v>4328.7</v>
      </c>
      <c r="E298" s="27">
        <f>D298*$E$3</f>
        <v>17366744.399999999</v>
      </c>
    </row>
    <row r="299" spans="1:5">
      <c r="A299" s="46"/>
      <c r="B299" s="25"/>
      <c r="C299" s="25"/>
      <c r="D299" s="25"/>
    </row>
    <row r="300" spans="1:5">
      <c r="A300" s="46"/>
      <c r="B300" s="25"/>
      <c r="C300" s="25"/>
      <c r="D300" s="39"/>
    </row>
    <row r="301" spans="1:5">
      <c r="D301" s="41"/>
    </row>
    <row r="302" spans="1:5">
      <c r="D302" s="41"/>
    </row>
    <row r="303" spans="1:5">
      <c r="D303" s="41"/>
    </row>
    <row r="304" spans="1:5">
      <c r="D304" s="41"/>
    </row>
    <row r="305" spans="4:4">
      <c r="D305" s="41"/>
    </row>
    <row r="306" spans="4:4">
      <c r="D306" s="41"/>
    </row>
    <row r="307" spans="4:4">
      <c r="D307" s="41"/>
    </row>
    <row r="308" spans="4:4">
      <c r="D308" s="41"/>
    </row>
    <row r="309" spans="4:4">
      <c r="D309" s="41"/>
    </row>
    <row r="310" spans="4:4">
      <c r="D310" s="41"/>
    </row>
    <row r="311" spans="4:4">
      <c r="D311" s="41"/>
    </row>
    <row r="312" spans="4:4">
      <c r="D312" s="41"/>
    </row>
  </sheetData>
  <printOptions horizontalCentered="1" gridLines="1"/>
  <pageMargins left="0.45" right="0.45" top="0.5" bottom="0.5" header="0.3" footer="0.3"/>
  <pageSetup orientation="portrait" r:id="rId1"/>
  <headerFooter>
    <oddFooter>&amp;R&amp;10SF1002.xlsx (VIRTUAL)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H3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2"/>
  <cols>
    <col min="1" max="1" width="9.140625" style="23"/>
    <col min="2" max="2" width="22" style="4" customWidth="1"/>
    <col min="3" max="3" width="15.140625" style="4" customWidth="1"/>
    <col min="4" max="4" width="14.140625" style="32" customWidth="1"/>
    <col min="5" max="8" width="14.140625" style="4" customWidth="1"/>
    <col min="9" max="16384" width="9.140625" style="4"/>
  </cols>
  <sheetData>
    <row r="1" spans="1:8">
      <c r="A1" s="42">
        <v>40387</v>
      </c>
      <c r="B1" s="46"/>
      <c r="C1" s="46"/>
      <c r="D1" s="57"/>
      <c r="E1" s="46" t="s">
        <v>715</v>
      </c>
      <c r="F1" s="46"/>
    </row>
    <row r="2" spans="1:8">
      <c r="A2" s="36" t="s">
        <v>715</v>
      </c>
      <c r="B2" s="36"/>
      <c r="C2" s="36"/>
      <c r="D2" s="36" t="s">
        <v>717</v>
      </c>
      <c r="E2" s="36" t="s">
        <v>717</v>
      </c>
      <c r="F2" s="36" t="s">
        <v>717</v>
      </c>
      <c r="G2" s="49" t="s">
        <v>717</v>
      </c>
      <c r="H2" s="49" t="s">
        <v>717</v>
      </c>
    </row>
    <row r="3" spans="1:8">
      <c r="A3" s="36"/>
      <c r="B3" s="36"/>
      <c r="C3" s="36"/>
      <c r="D3" s="36" t="s">
        <v>720</v>
      </c>
      <c r="E3" s="36" t="s">
        <v>722</v>
      </c>
      <c r="F3" s="36" t="s">
        <v>725</v>
      </c>
      <c r="G3" s="49" t="s">
        <v>724</v>
      </c>
      <c r="H3" s="49" t="s">
        <v>725</v>
      </c>
    </row>
    <row r="4" spans="1:8" ht="12.75" thickBot="1">
      <c r="A4" s="40" t="s">
        <v>716</v>
      </c>
      <c r="B4" s="78" t="s">
        <v>10</v>
      </c>
      <c r="C4" s="78" t="s">
        <v>3</v>
      </c>
      <c r="D4" s="66" t="s">
        <v>721</v>
      </c>
      <c r="E4" s="40" t="s">
        <v>723</v>
      </c>
      <c r="F4" s="40" t="s">
        <v>722</v>
      </c>
      <c r="G4" s="40" t="s">
        <v>723</v>
      </c>
      <c r="H4" s="68" t="s">
        <v>726</v>
      </c>
    </row>
    <row r="5" spans="1:8">
      <c r="A5" s="46">
        <v>101</v>
      </c>
      <c r="B5" s="25" t="s">
        <v>433</v>
      </c>
      <c r="C5" s="25" t="s">
        <v>14</v>
      </c>
      <c r="D5" s="53">
        <v>508.5</v>
      </c>
      <c r="E5" s="47">
        <v>213</v>
      </c>
      <c r="F5" s="72">
        <f>E5/D5</f>
        <v>0.41887905604719766</v>
      </c>
      <c r="G5" s="69">
        <v>85</v>
      </c>
      <c r="H5" s="63">
        <f>G5/D5</f>
        <v>0.16715830875122911</v>
      </c>
    </row>
    <row r="6" spans="1:8">
      <c r="A6" s="46">
        <v>102</v>
      </c>
      <c r="B6" s="25" t="s">
        <v>434</v>
      </c>
      <c r="C6" s="25" t="s">
        <v>16</v>
      </c>
      <c r="D6" s="53">
        <v>658.7</v>
      </c>
      <c r="E6" s="47">
        <v>221</v>
      </c>
      <c r="F6" s="72">
        <f t="shared" ref="F6:F69" si="0">E6/D6</f>
        <v>0.3355093365720358</v>
      </c>
      <c r="G6" s="69">
        <v>50</v>
      </c>
      <c r="H6" s="63">
        <f>G6/D6</f>
        <v>7.5907089722180049E-2</v>
      </c>
    </row>
    <row r="7" spans="1:8">
      <c r="A7" s="46">
        <v>103</v>
      </c>
      <c r="B7" s="25" t="s">
        <v>435</v>
      </c>
      <c r="C7" s="25" t="s">
        <v>18</v>
      </c>
      <c r="D7" s="53">
        <v>137</v>
      </c>
      <c r="E7" s="47">
        <v>63</v>
      </c>
      <c r="F7" s="72">
        <f t="shared" si="0"/>
        <v>0.45985401459854014</v>
      </c>
      <c r="G7" s="69">
        <v>22</v>
      </c>
      <c r="H7" s="63">
        <f t="shared" ref="H7:H69" si="1">G7/D7</f>
        <v>0.16058394160583941</v>
      </c>
    </row>
    <row r="8" spans="1:8">
      <c r="A8" s="46">
        <v>105</v>
      </c>
      <c r="B8" s="25" t="s">
        <v>437</v>
      </c>
      <c r="C8" s="25" t="s">
        <v>23</v>
      </c>
      <c r="D8" s="53">
        <v>312.2</v>
      </c>
      <c r="E8" s="47">
        <v>110</v>
      </c>
      <c r="F8" s="72">
        <f t="shared" si="0"/>
        <v>0.35233824471492636</v>
      </c>
      <c r="G8" s="69">
        <v>71</v>
      </c>
      <c r="H8" s="63">
        <f t="shared" si="1"/>
        <v>0.22741832158872519</v>
      </c>
    </row>
    <row r="9" spans="1:8">
      <c r="A9" s="46">
        <v>106</v>
      </c>
      <c r="B9" s="25" t="s">
        <v>438</v>
      </c>
      <c r="C9" s="25" t="s">
        <v>25</v>
      </c>
      <c r="D9" s="53">
        <v>164</v>
      </c>
      <c r="E9" s="47">
        <v>83</v>
      </c>
      <c r="F9" s="72">
        <f t="shared" si="0"/>
        <v>0.50609756097560976</v>
      </c>
      <c r="G9" s="69">
        <v>17</v>
      </c>
      <c r="H9" s="63">
        <f t="shared" si="1"/>
        <v>0.10365853658536585</v>
      </c>
    </row>
    <row r="10" spans="1:8">
      <c r="A10" s="46">
        <v>107</v>
      </c>
      <c r="B10" s="25" t="s">
        <v>439</v>
      </c>
      <c r="C10" s="25" t="s">
        <v>20</v>
      </c>
      <c r="D10" s="53">
        <v>292</v>
      </c>
      <c r="E10" s="47">
        <v>94</v>
      </c>
      <c r="F10" s="72">
        <f t="shared" si="0"/>
        <v>0.32191780821917809</v>
      </c>
      <c r="G10" s="69">
        <v>34</v>
      </c>
      <c r="H10" s="63">
        <f t="shared" si="1"/>
        <v>0.11643835616438356</v>
      </c>
    </row>
    <row r="11" spans="1:8">
      <c r="A11" s="46">
        <v>108</v>
      </c>
      <c r="B11" s="25" t="s">
        <v>440</v>
      </c>
      <c r="C11" s="25" t="s">
        <v>28</v>
      </c>
      <c r="D11" s="53">
        <v>396.5</v>
      </c>
      <c r="E11" s="47">
        <v>127</v>
      </c>
      <c r="F11" s="72">
        <f t="shared" si="0"/>
        <v>0.32030264817150061</v>
      </c>
      <c r="G11" s="69">
        <v>69</v>
      </c>
      <c r="H11" s="63">
        <f t="shared" si="1"/>
        <v>0.17402269861286254</v>
      </c>
    </row>
    <row r="12" spans="1:8">
      <c r="A12" s="46">
        <v>109</v>
      </c>
      <c r="B12" s="25" t="s">
        <v>441</v>
      </c>
      <c r="C12" s="25" t="s">
        <v>30</v>
      </c>
      <c r="D12" s="53">
        <v>471.8</v>
      </c>
      <c r="E12" s="47">
        <v>168</v>
      </c>
      <c r="F12" s="72">
        <f t="shared" si="0"/>
        <v>0.35608308605341243</v>
      </c>
      <c r="G12" s="69">
        <v>102</v>
      </c>
      <c r="H12" s="63">
        <f t="shared" si="1"/>
        <v>0.21619330224671471</v>
      </c>
    </row>
    <row r="13" spans="1:8">
      <c r="A13" s="46">
        <v>110</v>
      </c>
      <c r="B13" s="25" t="s">
        <v>442</v>
      </c>
      <c r="C13" s="25" t="s">
        <v>32</v>
      </c>
      <c r="D13" s="53">
        <v>236.5</v>
      </c>
      <c r="E13" s="47">
        <v>85</v>
      </c>
      <c r="F13" s="72">
        <f t="shared" si="0"/>
        <v>0.3594080338266385</v>
      </c>
      <c r="G13" s="69">
        <v>44</v>
      </c>
      <c r="H13" s="63">
        <f t="shared" si="1"/>
        <v>0.18604651162790697</v>
      </c>
    </row>
    <row r="14" spans="1:8">
      <c r="A14" s="46">
        <v>111</v>
      </c>
      <c r="B14" s="25" t="s">
        <v>443</v>
      </c>
      <c r="C14" s="25" t="s">
        <v>34</v>
      </c>
      <c r="D14" s="53">
        <v>373.1</v>
      </c>
      <c r="E14" s="47">
        <v>93</v>
      </c>
      <c r="F14" s="72">
        <f t="shared" si="0"/>
        <v>0.24926293218976145</v>
      </c>
      <c r="G14" s="69">
        <v>49</v>
      </c>
      <c r="H14" s="63">
        <f t="shared" si="1"/>
        <v>0.13133208255159473</v>
      </c>
    </row>
    <row r="15" spans="1:8">
      <c r="A15" s="46">
        <v>200</v>
      </c>
      <c r="B15" s="25" t="s">
        <v>444</v>
      </c>
      <c r="C15" s="25" t="s">
        <v>36</v>
      </c>
      <c r="D15" s="53">
        <v>211.8</v>
      </c>
      <c r="E15" s="47">
        <v>76</v>
      </c>
      <c r="F15" s="72">
        <f t="shared" si="0"/>
        <v>0.35882908404154862</v>
      </c>
      <c r="G15" s="69">
        <v>38</v>
      </c>
      <c r="H15" s="63">
        <f t="shared" si="1"/>
        <v>0.17941454202077431</v>
      </c>
    </row>
    <row r="16" spans="1:8">
      <c r="A16" s="46">
        <v>202</v>
      </c>
      <c r="B16" s="25" t="s">
        <v>445</v>
      </c>
      <c r="C16" s="25" t="s">
        <v>38</v>
      </c>
      <c r="D16" s="53">
        <v>3771.6</v>
      </c>
      <c r="E16" s="47">
        <v>2226</v>
      </c>
      <c r="F16" s="72">
        <f t="shared" si="0"/>
        <v>0.5902004454342985</v>
      </c>
      <c r="G16" s="69">
        <v>543</v>
      </c>
      <c r="H16" s="63">
        <f t="shared" si="1"/>
        <v>0.14397072860324531</v>
      </c>
    </row>
    <row r="17" spans="1:8">
      <c r="A17" s="46">
        <v>203</v>
      </c>
      <c r="B17" s="25" t="s">
        <v>446</v>
      </c>
      <c r="C17" s="25" t="s">
        <v>38</v>
      </c>
      <c r="D17" s="53">
        <v>1630.5</v>
      </c>
      <c r="E17" s="47">
        <v>180</v>
      </c>
      <c r="F17" s="72">
        <f t="shared" si="0"/>
        <v>0.11039558417663294</v>
      </c>
      <c r="G17" s="69">
        <v>99</v>
      </c>
      <c r="H17" s="63">
        <f t="shared" si="1"/>
        <v>6.0717571297148117E-2</v>
      </c>
    </row>
    <row r="18" spans="1:8">
      <c r="A18" s="46">
        <v>204</v>
      </c>
      <c r="B18" s="25" t="s">
        <v>447</v>
      </c>
      <c r="C18" s="25" t="s">
        <v>38</v>
      </c>
      <c r="D18" s="53">
        <v>2358.8000000000002</v>
      </c>
      <c r="E18" s="47">
        <v>864</v>
      </c>
      <c r="F18" s="72">
        <f t="shared" si="0"/>
        <v>0.36628794302187551</v>
      </c>
      <c r="G18" s="69">
        <v>325</v>
      </c>
      <c r="H18" s="63">
        <f t="shared" si="1"/>
        <v>0.13778192301170086</v>
      </c>
    </row>
    <row r="19" spans="1:8">
      <c r="A19" s="46">
        <v>205</v>
      </c>
      <c r="B19" s="25" t="s">
        <v>448</v>
      </c>
      <c r="C19" s="25" t="s">
        <v>42</v>
      </c>
      <c r="D19" s="53">
        <v>537</v>
      </c>
      <c r="E19" s="47">
        <v>166</v>
      </c>
      <c r="F19" s="72">
        <f t="shared" si="0"/>
        <v>0.30912476722532589</v>
      </c>
      <c r="G19" s="69">
        <v>50</v>
      </c>
      <c r="H19" s="63">
        <f t="shared" si="1"/>
        <v>9.3109869646182494E-2</v>
      </c>
    </row>
    <row r="20" spans="1:8">
      <c r="A20" s="46">
        <v>206</v>
      </c>
      <c r="B20" s="25" t="s">
        <v>449</v>
      </c>
      <c r="C20" s="25" t="s">
        <v>42</v>
      </c>
      <c r="D20" s="53">
        <v>524</v>
      </c>
      <c r="E20" s="47">
        <v>132</v>
      </c>
      <c r="F20" s="72">
        <f t="shared" si="0"/>
        <v>0.25190839694656486</v>
      </c>
      <c r="G20" s="69">
        <v>60</v>
      </c>
      <c r="H20" s="63">
        <f t="shared" si="1"/>
        <v>0.11450381679389313</v>
      </c>
    </row>
    <row r="21" spans="1:8">
      <c r="A21" s="46">
        <v>207</v>
      </c>
      <c r="B21" s="25" t="s">
        <v>450</v>
      </c>
      <c r="C21" s="25" t="s">
        <v>45</v>
      </c>
      <c r="D21" s="53">
        <v>2065</v>
      </c>
      <c r="E21" s="47">
        <v>118</v>
      </c>
      <c r="F21" s="72">
        <f t="shared" si="0"/>
        <v>5.7142857142857141E-2</v>
      </c>
      <c r="G21" s="69">
        <v>95</v>
      </c>
      <c r="H21" s="63">
        <f t="shared" si="1"/>
        <v>4.6004842615012108E-2</v>
      </c>
    </row>
    <row r="22" spans="1:8">
      <c r="A22" s="46">
        <v>208</v>
      </c>
      <c r="B22" s="25" t="s">
        <v>451</v>
      </c>
      <c r="C22" s="25" t="s">
        <v>47</v>
      </c>
      <c r="D22" s="53">
        <v>411.2</v>
      </c>
      <c r="E22" s="47">
        <v>110</v>
      </c>
      <c r="F22" s="72">
        <f t="shared" si="0"/>
        <v>0.26750972762645914</v>
      </c>
      <c r="G22" s="69">
        <v>34</v>
      </c>
      <c r="H22" s="63">
        <f t="shared" si="1"/>
        <v>8.2684824902723733E-2</v>
      </c>
    </row>
    <row r="23" spans="1:8">
      <c r="A23" s="46">
        <v>209</v>
      </c>
      <c r="B23" s="25" t="s">
        <v>452</v>
      </c>
      <c r="C23" s="25" t="s">
        <v>49</v>
      </c>
      <c r="D23" s="53">
        <v>187.8</v>
      </c>
      <c r="E23" s="47">
        <v>102</v>
      </c>
      <c r="F23" s="72">
        <f t="shared" si="0"/>
        <v>0.54313099041533541</v>
      </c>
      <c r="G23" s="69">
        <v>15</v>
      </c>
      <c r="H23" s="63">
        <f t="shared" si="1"/>
        <v>7.9872204472843447E-2</v>
      </c>
    </row>
    <row r="24" spans="1:8">
      <c r="A24" s="46">
        <v>210</v>
      </c>
      <c r="B24" s="25" t="s">
        <v>453</v>
      </c>
      <c r="C24" s="25" t="s">
        <v>49</v>
      </c>
      <c r="D24" s="53">
        <v>985.7</v>
      </c>
      <c r="E24" s="47">
        <v>492</v>
      </c>
      <c r="F24" s="72">
        <f t="shared" si="0"/>
        <v>0.49913766866186465</v>
      </c>
      <c r="G24" s="69">
        <v>155</v>
      </c>
      <c r="H24" s="63">
        <f t="shared" si="1"/>
        <v>0.15724865577761996</v>
      </c>
    </row>
    <row r="25" spans="1:8">
      <c r="A25" s="46">
        <v>211</v>
      </c>
      <c r="B25" s="25" t="s">
        <v>52</v>
      </c>
      <c r="C25" s="25" t="s">
        <v>52</v>
      </c>
      <c r="D25" s="53">
        <v>688.9</v>
      </c>
      <c r="E25" s="47">
        <v>212</v>
      </c>
      <c r="F25" s="72">
        <f t="shared" si="0"/>
        <v>0.30773697198432287</v>
      </c>
      <c r="G25" s="69">
        <v>116</v>
      </c>
      <c r="H25" s="63">
        <f t="shared" si="1"/>
        <v>0.1683843808970823</v>
      </c>
    </row>
    <row r="26" spans="1:8">
      <c r="A26" s="46">
        <v>212</v>
      </c>
      <c r="B26" s="25" t="s">
        <v>454</v>
      </c>
      <c r="C26" s="25" t="s">
        <v>52</v>
      </c>
      <c r="D26" s="53">
        <v>195</v>
      </c>
      <c r="E26" s="47">
        <v>97</v>
      </c>
      <c r="F26" s="72">
        <f t="shared" si="0"/>
        <v>0.49743589743589745</v>
      </c>
      <c r="G26" s="69">
        <v>42</v>
      </c>
      <c r="H26" s="63">
        <f t="shared" si="1"/>
        <v>0.2153846153846154</v>
      </c>
    </row>
    <row r="27" spans="1:8">
      <c r="A27" s="46">
        <v>213</v>
      </c>
      <c r="B27" s="25" t="s">
        <v>455</v>
      </c>
      <c r="C27" s="25" t="s">
        <v>52</v>
      </c>
      <c r="D27" s="53">
        <v>38</v>
      </c>
      <c r="E27" s="47">
        <v>14</v>
      </c>
      <c r="F27" s="72">
        <f t="shared" si="0"/>
        <v>0.36842105263157893</v>
      </c>
      <c r="G27" s="69">
        <v>3</v>
      </c>
      <c r="H27" s="63">
        <f t="shared" si="1"/>
        <v>7.8947368421052627E-2</v>
      </c>
    </row>
    <row r="28" spans="1:8">
      <c r="A28" s="46">
        <v>214</v>
      </c>
      <c r="B28" s="25" t="s">
        <v>456</v>
      </c>
      <c r="C28" s="25" t="s">
        <v>56</v>
      </c>
      <c r="D28" s="53">
        <v>1610.4</v>
      </c>
      <c r="E28" s="47">
        <v>799</v>
      </c>
      <c r="F28" s="72">
        <f t="shared" si="0"/>
        <v>0.49615002483854942</v>
      </c>
      <c r="G28" s="69">
        <v>203</v>
      </c>
      <c r="H28" s="63">
        <f t="shared" si="1"/>
        <v>0.12605563835072031</v>
      </c>
    </row>
    <row r="29" spans="1:8">
      <c r="A29" s="46">
        <v>215</v>
      </c>
      <c r="B29" s="25" t="s">
        <v>457</v>
      </c>
      <c r="C29" s="25" t="s">
        <v>58</v>
      </c>
      <c r="D29" s="53">
        <v>628.5</v>
      </c>
      <c r="E29" s="47">
        <v>293</v>
      </c>
      <c r="F29" s="72">
        <f t="shared" si="0"/>
        <v>0.46618933969769294</v>
      </c>
      <c r="G29" s="69">
        <v>72</v>
      </c>
      <c r="H29" s="63">
        <f t="shared" si="1"/>
        <v>0.11455847255369929</v>
      </c>
    </row>
    <row r="30" spans="1:8">
      <c r="A30" s="46">
        <v>216</v>
      </c>
      <c r="B30" s="25" t="s">
        <v>458</v>
      </c>
      <c r="C30" s="25" t="s">
        <v>58</v>
      </c>
      <c r="D30" s="53">
        <v>246.9</v>
      </c>
      <c r="E30" s="47">
        <v>161</v>
      </c>
      <c r="F30" s="72">
        <f t="shared" si="0"/>
        <v>0.65208586472255969</v>
      </c>
      <c r="G30" s="69">
        <v>44</v>
      </c>
      <c r="H30" s="63">
        <f t="shared" si="1"/>
        <v>0.17820980153908464</v>
      </c>
    </row>
    <row r="31" spans="1:8">
      <c r="A31" s="46">
        <v>217</v>
      </c>
      <c r="B31" s="25" t="s">
        <v>459</v>
      </c>
      <c r="C31" s="25" t="s">
        <v>61</v>
      </c>
      <c r="D31" s="53">
        <v>199.5</v>
      </c>
      <c r="E31" s="47">
        <v>81</v>
      </c>
      <c r="F31" s="72">
        <f t="shared" si="0"/>
        <v>0.40601503759398494</v>
      </c>
      <c r="G31" s="69">
        <v>40</v>
      </c>
      <c r="H31" s="63">
        <f t="shared" si="1"/>
        <v>0.20050125313283207</v>
      </c>
    </row>
    <row r="32" spans="1:8">
      <c r="A32" s="46">
        <v>218</v>
      </c>
      <c r="B32" s="25" t="s">
        <v>460</v>
      </c>
      <c r="C32" s="25" t="s">
        <v>61</v>
      </c>
      <c r="D32" s="53">
        <v>633.9</v>
      </c>
      <c r="E32" s="47">
        <v>278</v>
      </c>
      <c r="F32" s="72">
        <f t="shared" si="0"/>
        <v>0.43855497712572961</v>
      </c>
      <c r="G32" s="69">
        <v>63</v>
      </c>
      <c r="H32" s="63">
        <f t="shared" si="1"/>
        <v>9.9384761003312824E-2</v>
      </c>
    </row>
    <row r="33" spans="1:8">
      <c r="A33" s="46">
        <v>219</v>
      </c>
      <c r="B33" s="25" t="s">
        <v>461</v>
      </c>
      <c r="C33" s="25" t="s">
        <v>64</v>
      </c>
      <c r="D33" s="53">
        <v>261.10000000000002</v>
      </c>
      <c r="E33" s="47">
        <v>81</v>
      </c>
      <c r="F33" s="72">
        <f t="shared" si="0"/>
        <v>0.31022596706242817</v>
      </c>
      <c r="G33" s="69">
        <v>33</v>
      </c>
      <c r="H33" s="63">
        <f t="shared" si="1"/>
        <v>0.12638835695135961</v>
      </c>
    </row>
    <row r="34" spans="1:8">
      <c r="A34" s="46">
        <v>220</v>
      </c>
      <c r="B34" s="25" t="s">
        <v>462</v>
      </c>
      <c r="C34" s="25" t="s">
        <v>64</v>
      </c>
      <c r="D34" s="53">
        <v>221</v>
      </c>
      <c r="E34" s="47">
        <v>69</v>
      </c>
      <c r="F34" s="72">
        <f t="shared" si="0"/>
        <v>0.31221719457013575</v>
      </c>
      <c r="G34" s="69">
        <v>32</v>
      </c>
      <c r="H34" s="63">
        <f t="shared" si="1"/>
        <v>0.14479638009049775</v>
      </c>
    </row>
    <row r="35" spans="1:8">
      <c r="A35" s="46">
        <v>223</v>
      </c>
      <c r="B35" s="25" t="s">
        <v>464</v>
      </c>
      <c r="C35" s="25" t="s">
        <v>28</v>
      </c>
      <c r="D35" s="53">
        <v>329.7</v>
      </c>
      <c r="E35" s="47">
        <v>81</v>
      </c>
      <c r="F35" s="72">
        <f t="shared" si="0"/>
        <v>0.24567788898999091</v>
      </c>
      <c r="G35" s="69">
        <v>65</v>
      </c>
      <c r="H35" s="63">
        <f t="shared" si="1"/>
        <v>0.19714892326357294</v>
      </c>
    </row>
    <row r="36" spans="1:8">
      <c r="A36" s="46">
        <v>224</v>
      </c>
      <c r="B36" s="25" t="s">
        <v>465</v>
      </c>
      <c r="C36" s="25" t="s">
        <v>28</v>
      </c>
      <c r="D36" s="53">
        <v>278.5</v>
      </c>
      <c r="E36" s="47">
        <v>63</v>
      </c>
      <c r="F36" s="72">
        <f t="shared" si="0"/>
        <v>0.22621184919210055</v>
      </c>
      <c r="G36" s="69">
        <v>53</v>
      </c>
      <c r="H36" s="63">
        <f t="shared" si="1"/>
        <v>0.19030520646319568</v>
      </c>
    </row>
    <row r="37" spans="1:8">
      <c r="A37" s="46">
        <v>225</v>
      </c>
      <c r="B37" s="25" t="s">
        <v>466</v>
      </c>
      <c r="C37" s="25" t="s">
        <v>71</v>
      </c>
      <c r="D37" s="53">
        <v>161</v>
      </c>
      <c r="E37" s="47">
        <v>75</v>
      </c>
      <c r="F37" s="72">
        <f t="shared" si="0"/>
        <v>0.46583850931677018</v>
      </c>
      <c r="G37" s="69">
        <v>22</v>
      </c>
      <c r="H37" s="63">
        <f t="shared" si="1"/>
        <v>0.13664596273291926</v>
      </c>
    </row>
    <row r="38" spans="1:8">
      <c r="A38" s="46">
        <v>226</v>
      </c>
      <c r="B38" s="25" t="s">
        <v>71</v>
      </c>
      <c r="C38" s="25" t="s">
        <v>71</v>
      </c>
      <c r="D38" s="53">
        <v>475.7</v>
      </c>
      <c r="E38" s="47">
        <v>164</v>
      </c>
      <c r="F38" s="72">
        <f t="shared" si="0"/>
        <v>0.34475509775068319</v>
      </c>
      <c r="G38" s="69">
        <v>57</v>
      </c>
      <c r="H38" s="63">
        <f t="shared" si="1"/>
        <v>0.11982341812066429</v>
      </c>
    </row>
    <row r="39" spans="1:8">
      <c r="A39" s="46">
        <v>227</v>
      </c>
      <c r="B39" s="25" t="s">
        <v>467</v>
      </c>
      <c r="C39" s="25" t="s">
        <v>74</v>
      </c>
      <c r="D39" s="53">
        <v>264.5</v>
      </c>
      <c r="E39" s="47">
        <v>80</v>
      </c>
      <c r="F39" s="72">
        <f t="shared" si="0"/>
        <v>0.30245746691871456</v>
      </c>
      <c r="G39" s="69">
        <v>40</v>
      </c>
      <c r="H39" s="63">
        <f t="shared" si="1"/>
        <v>0.15122873345935728</v>
      </c>
    </row>
    <row r="40" spans="1:8">
      <c r="A40" s="46">
        <v>228</v>
      </c>
      <c r="B40" s="25" t="s">
        <v>468</v>
      </c>
      <c r="C40" s="25" t="s">
        <v>74</v>
      </c>
      <c r="D40" s="53">
        <v>74.5</v>
      </c>
      <c r="E40" s="47">
        <v>25</v>
      </c>
      <c r="F40" s="72">
        <f t="shared" si="0"/>
        <v>0.33557046979865773</v>
      </c>
      <c r="G40" s="69">
        <v>1</v>
      </c>
      <c r="H40" s="63">
        <f t="shared" si="1"/>
        <v>1.3422818791946308E-2</v>
      </c>
    </row>
    <row r="41" spans="1:8">
      <c r="A41" s="46">
        <v>229</v>
      </c>
      <c r="B41" s="25" t="s">
        <v>469</v>
      </c>
      <c r="C41" s="25" t="s">
        <v>77</v>
      </c>
      <c r="D41" s="53">
        <v>20308</v>
      </c>
      <c r="E41" s="47">
        <v>876</v>
      </c>
      <c r="F41" s="72">
        <f t="shared" si="0"/>
        <v>4.3135710064999014E-2</v>
      </c>
      <c r="G41" s="69">
        <v>422</v>
      </c>
      <c r="H41" s="63">
        <f t="shared" si="1"/>
        <v>2.0779988181997243E-2</v>
      </c>
    </row>
    <row r="42" spans="1:8">
      <c r="A42" s="46">
        <v>230</v>
      </c>
      <c r="B42" s="25" t="s">
        <v>470</v>
      </c>
      <c r="C42" s="25" t="s">
        <v>77</v>
      </c>
      <c r="D42" s="53">
        <v>2828.3</v>
      </c>
      <c r="E42" s="47">
        <v>352</v>
      </c>
      <c r="F42" s="72">
        <f t="shared" si="0"/>
        <v>0.12445638722907754</v>
      </c>
      <c r="G42" s="69">
        <v>176</v>
      </c>
      <c r="H42" s="63">
        <f t="shared" si="1"/>
        <v>6.2228193614538768E-2</v>
      </c>
    </row>
    <row r="43" spans="1:8">
      <c r="A43" s="46">
        <v>231</v>
      </c>
      <c r="B43" s="25" t="s">
        <v>471</v>
      </c>
      <c r="C43" s="25" t="s">
        <v>77</v>
      </c>
      <c r="D43" s="53">
        <v>4549.8999999999996</v>
      </c>
      <c r="E43" s="47">
        <v>1094</v>
      </c>
      <c r="F43" s="72">
        <f t="shared" si="0"/>
        <v>0.24044484494164708</v>
      </c>
      <c r="G43" s="69">
        <v>440</v>
      </c>
      <c r="H43" s="63">
        <f t="shared" si="1"/>
        <v>9.6705422097188951E-2</v>
      </c>
    </row>
    <row r="44" spans="1:8">
      <c r="A44" s="46">
        <v>232</v>
      </c>
      <c r="B44" s="25" t="s">
        <v>472</v>
      </c>
      <c r="C44" s="25" t="s">
        <v>77</v>
      </c>
      <c r="D44" s="53">
        <v>6214.7</v>
      </c>
      <c r="E44" s="47">
        <v>621</v>
      </c>
      <c r="F44" s="72">
        <f t="shared" si="0"/>
        <v>9.9924372857901428E-2</v>
      </c>
      <c r="G44" s="69">
        <v>287</v>
      </c>
      <c r="H44" s="63">
        <f t="shared" si="1"/>
        <v>4.618082932402208E-2</v>
      </c>
    </row>
    <row r="45" spans="1:8">
      <c r="A45" s="46">
        <v>233</v>
      </c>
      <c r="B45" s="25" t="s">
        <v>473</v>
      </c>
      <c r="C45" s="25" t="s">
        <v>77</v>
      </c>
      <c r="D45" s="53">
        <v>25478.400000000001</v>
      </c>
      <c r="E45" s="47">
        <v>4684</v>
      </c>
      <c r="F45" s="72">
        <f t="shared" si="0"/>
        <v>0.18384199949761365</v>
      </c>
      <c r="G45" s="69">
        <v>1462</v>
      </c>
      <c r="H45" s="63">
        <f t="shared" si="1"/>
        <v>5.7381939211253452E-2</v>
      </c>
    </row>
    <row r="46" spans="1:8">
      <c r="A46" s="46">
        <v>234</v>
      </c>
      <c r="B46" s="25" t="s">
        <v>474</v>
      </c>
      <c r="C46" s="25" t="s">
        <v>83</v>
      </c>
      <c r="D46" s="53">
        <v>1890.8</v>
      </c>
      <c r="E46" s="47">
        <v>981</v>
      </c>
      <c r="F46" s="72">
        <f t="shared" si="0"/>
        <v>0.51882800930822937</v>
      </c>
      <c r="G46" s="69">
        <v>236</v>
      </c>
      <c r="H46" s="63">
        <f t="shared" si="1"/>
        <v>0.12481489316691348</v>
      </c>
    </row>
    <row r="47" spans="1:8">
      <c r="A47" s="46">
        <v>235</v>
      </c>
      <c r="B47" s="25" t="s">
        <v>475</v>
      </c>
      <c r="C47" s="25" t="s">
        <v>83</v>
      </c>
      <c r="D47" s="53">
        <v>437.6</v>
      </c>
      <c r="E47" s="47">
        <v>190</v>
      </c>
      <c r="F47" s="72">
        <f t="shared" si="0"/>
        <v>0.43418647166361973</v>
      </c>
      <c r="G47" s="69">
        <v>72</v>
      </c>
      <c r="H47" s="63">
        <f t="shared" si="1"/>
        <v>0.16453382084095064</v>
      </c>
    </row>
    <row r="48" spans="1:8">
      <c r="A48" s="46">
        <v>237</v>
      </c>
      <c r="B48" s="25" t="s">
        <v>476</v>
      </c>
      <c r="C48" s="25" t="s">
        <v>86</v>
      </c>
      <c r="D48" s="53">
        <v>433</v>
      </c>
      <c r="E48" s="47">
        <v>133</v>
      </c>
      <c r="F48" s="72">
        <f t="shared" si="0"/>
        <v>0.30715935334872979</v>
      </c>
      <c r="G48" s="69">
        <v>70</v>
      </c>
      <c r="H48" s="63">
        <f t="shared" si="1"/>
        <v>0.16166281755196305</v>
      </c>
    </row>
    <row r="49" spans="1:8">
      <c r="A49" s="46">
        <v>239</v>
      </c>
      <c r="B49" s="25" t="s">
        <v>478</v>
      </c>
      <c r="C49" s="25" t="s">
        <v>89</v>
      </c>
      <c r="D49" s="53">
        <v>619.20000000000005</v>
      </c>
      <c r="E49" s="47">
        <v>166</v>
      </c>
      <c r="F49" s="72">
        <f t="shared" si="0"/>
        <v>0.26808785529715762</v>
      </c>
      <c r="G49" s="69">
        <v>92</v>
      </c>
      <c r="H49" s="63">
        <f t="shared" si="1"/>
        <v>0.14857881136950904</v>
      </c>
    </row>
    <row r="50" spans="1:8">
      <c r="A50" s="46">
        <v>240</v>
      </c>
      <c r="B50" s="25" t="s">
        <v>479</v>
      </c>
      <c r="C50" s="25" t="s">
        <v>89</v>
      </c>
      <c r="D50" s="53">
        <v>606.5</v>
      </c>
      <c r="E50" s="47">
        <v>178</v>
      </c>
      <c r="F50" s="72">
        <f t="shared" si="0"/>
        <v>0.29348722176422093</v>
      </c>
      <c r="G50" s="69">
        <v>72</v>
      </c>
      <c r="H50" s="63">
        <f t="shared" si="1"/>
        <v>0.11871393239901072</v>
      </c>
    </row>
    <row r="51" spans="1:8">
      <c r="A51" s="46">
        <v>241</v>
      </c>
      <c r="B51" s="25" t="s">
        <v>92</v>
      </c>
      <c r="C51" s="25" t="s">
        <v>92</v>
      </c>
      <c r="D51" s="53">
        <v>198.5</v>
      </c>
      <c r="E51" s="47">
        <v>61</v>
      </c>
      <c r="F51" s="72">
        <f t="shared" si="0"/>
        <v>0.30730478589420657</v>
      </c>
      <c r="G51" s="69">
        <v>31</v>
      </c>
      <c r="H51" s="63">
        <f t="shared" si="1"/>
        <v>0.15617128463476071</v>
      </c>
    </row>
    <row r="52" spans="1:8">
      <c r="A52" s="46">
        <v>242</v>
      </c>
      <c r="B52" s="25" t="s">
        <v>480</v>
      </c>
      <c r="C52" s="25" t="s">
        <v>92</v>
      </c>
      <c r="D52" s="53">
        <v>103</v>
      </c>
      <c r="E52" s="47">
        <v>30</v>
      </c>
      <c r="F52" s="72">
        <f t="shared" si="0"/>
        <v>0.29126213592233008</v>
      </c>
      <c r="G52" s="69">
        <v>17</v>
      </c>
      <c r="H52" s="63">
        <f t="shared" si="1"/>
        <v>0.1650485436893204</v>
      </c>
    </row>
    <row r="53" spans="1:8">
      <c r="A53" s="46">
        <v>243</v>
      </c>
      <c r="B53" s="25" t="s">
        <v>481</v>
      </c>
      <c r="C53" s="25" t="s">
        <v>95</v>
      </c>
      <c r="D53" s="53">
        <v>526</v>
      </c>
      <c r="E53" s="47">
        <v>153</v>
      </c>
      <c r="F53" s="72">
        <f t="shared" si="0"/>
        <v>0.29087452471482889</v>
      </c>
      <c r="G53" s="69">
        <v>65</v>
      </c>
      <c r="H53" s="63">
        <f t="shared" si="1"/>
        <v>0.12357414448669202</v>
      </c>
    </row>
    <row r="54" spans="1:8">
      <c r="A54" s="46">
        <v>244</v>
      </c>
      <c r="B54" s="25" t="s">
        <v>482</v>
      </c>
      <c r="C54" s="25" t="s">
        <v>95</v>
      </c>
      <c r="D54" s="53">
        <v>823</v>
      </c>
      <c r="E54" s="47">
        <v>254</v>
      </c>
      <c r="F54" s="72">
        <f t="shared" si="0"/>
        <v>0.30862697448359661</v>
      </c>
      <c r="G54" s="69">
        <v>102</v>
      </c>
      <c r="H54" s="63">
        <f t="shared" si="1"/>
        <v>0.12393681652490887</v>
      </c>
    </row>
    <row r="55" spans="1:8">
      <c r="A55" s="46">
        <v>245</v>
      </c>
      <c r="B55" s="25" t="s">
        <v>483</v>
      </c>
      <c r="C55" s="25" t="s">
        <v>95</v>
      </c>
      <c r="D55" s="53">
        <v>246.5</v>
      </c>
      <c r="E55" s="47">
        <v>81</v>
      </c>
      <c r="F55" s="72">
        <f t="shared" si="0"/>
        <v>0.32860040567951321</v>
      </c>
      <c r="G55" s="69">
        <v>25</v>
      </c>
      <c r="H55" s="63">
        <f t="shared" si="1"/>
        <v>0.10141987829614604</v>
      </c>
    </row>
    <row r="56" spans="1:8">
      <c r="A56" s="46">
        <v>246</v>
      </c>
      <c r="B56" s="25" t="s">
        <v>484</v>
      </c>
      <c r="C56" s="25" t="s">
        <v>99</v>
      </c>
      <c r="D56" s="53">
        <v>561.5</v>
      </c>
      <c r="E56" s="47">
        <v>334</v>
      </c>
      <c r="F56" s="72">
        <f t="shared" si="0"/>
        <v>0.59483526268922526</v>
      </c>
      <c r="G56" s="69">
        <v>74</v>
      </c>
      <c r="H56" s="63">
        <f t="shared" si="1"/>
        <v>0.13178984861976847</v>
      </c>
    </row>
    <row r="57" spans="1:8">
      <c r="A57" s="46">
        <v>247</v>
      </c>
      <c r="B57" s="25" t="s">
        <v>306</v>
      </c>
      <c r="C57" s="25" t="s">
        <v>99</v>
      </c>
      <c r="D57" s="53">
        <v>657</v>
      </c>
      <c r="E57" s="47">
        <v>315</v>
      </c>
      <c r="F57" s="72">
        <f t="shared" si="0"/>
        <v>0.47945205479452052</v>
      </c>
      <c r="G57" s="69">
        <v>97</v>
      </c>
      <c r="H57" s="63">
        <f t="shared" si="1"/>
        <v>0.14764079147640791</v>
      </c>
    </row>
    <row r="58" spans="1:8">
      <c r="A58" s="46">
        <v>248</v>
      </c>
      <c r="B58" s="25" t="s">
        <v>485</v>
      </c>
      <c r="C58" s="25" t="s">
        <v>99</v>
      </c>
      <c r="D58" s="53">
        <v>1008.8</v>
      </c>
      <c r="E58" s="47">
        <v>407</v>
      </c>
      <c r="F58" s="72">
        <f t="shared" si="0"/>
        <v>0.4034496431403648</v>
      </c>
      <c r="G58" s="69">
        <v>102</v>
      </c>
      <c r="H58" s="63">
        <f t="shared" si="1"/>
        <v>0.10111022997620936</v>
      </c>
    </row>
    <row r="59" spans="1:8">
      <c r="A59" s="46">
        <v>249</v>
      </c>
      <c r="B59" s="25" t="s">
        <v>486</v>
      </c>
      <c r="C59" s="25" t="s">
        <v>99</v>
      </c>
      <c r="D59" s="53">
        <v>850</v>
      </c>
      <c r="E59" s="47">
        <v>287</v>
      </c>
      <c r="F59" s="72">
        <f t="shared" si="0"/>
        <v>0.33764705882352941</v>
      </c>
      <c r="G59" s="69">
        <v>103</v>
      </c>
      <c r="H59" s="63">
        <f t="shared" si="1"/>
        <v>0.12117647058823529</v>
      </c>
    </row>
    <row r="60" spans="1:8">
      <c r="A60" s="46">
        <v>250</v>
      </c>
      <c r="B60" s="25" t="s">
        <v>487</v>
      </c>
      <c r="C60" s="25" t="s">
        <v>99</v>
      </c>
      <c r="D60" s="53">
        <v>2700.2</v>
      </c>
      <c r="E60" s="47">
        <v>1573</v>
      </c>
      <c r="F60" s="72">
        <f t="shared" si="0"/>
        <v>0.58254944078216431</v>
      </c>
      <c r="G60" s="69">
        <v>288</v>
      </c>
      <c r="H60" s="63">
        <f t="shared" si="1"/>
        <v>0.10665876601733205</v>
      </c>
    </row>
    <row r="61" spans="1:8">
      <c r="A61" s="46">
        <v>251</v>
      </c>
      <c r="B61" s="25" t="s">
        <v>488</v>
      </c>
      <c r="C61" s="25" t="s">
        <v>105</v>
      </c>
      <c r="D61" s="53">
        <v>506.6</v>
      </c>
      <c r="E61" s="47">
        <v>163</v>
      </c>
      <c r="F61" s="72">
        <f t="shared" si="0"/>
        <v>0.32175286221871296</v>
      </c>
      <c r="G61" s="69">
        <v>70</v>
      </c>
      <c r="H61" s="63">
        <f t="shared" si="1"/>
        <v>0.1381760757994473</v>
      </c>
    </row>
    <row r="62" spans="1:8">
      <c r="A62" s="46">
        <v>252</v>
      </c>
      <c r="B62" s="25" t="s">
        <v>489</v>
      </c>
      <c r="C62" s="25" t="s">
        <v>105</v>
      </c>
      <c r="D62" s="53">
        <v>498.3</v>
      </c>
      <c r="E62" s="47">
        <v>125</v>
      </c>
      <c r="F62" s="72">
        <f t="shared" si="0"/>
        <v>0.25085289985952236</v>
      </c>
      <c r="G62" s="69">
        <v>86</v>
      </c>
      <c r="H62" s="63">
        <f t="shared" si="1"/>
        <v>0.1725867951033514</v>
      </c>
    </row>
    <row r="63" spans="1:8">
      <c r="A63" s="46">
        <v>253</v>
      </c>
      <c r="B63" s="25" t="s">
        <v>490</v>
      </c>
      <c r="C63" s="25" t="s">
        <v>105</v>
      </c>
      <c r="D63" s="53">
        <v>4328.1000000000004</v>
      </c>
      <c r="E63" s="47">
        <v>2445</v>
      </c>
      <c r="F63" s="72">
        <f t="shared" si="0"/>
        <v>0.56491301032785746</v>
      </c>
      <c r="G63" s="69">
        <v>482</v>
      </c>
      <c r="H63" s="63">
        <f t="shared" si="1"/>
        <v>0.11136526420369214</v>
      </c>
    </row>
    <row r="64" spans="1:8">
      <c r="A64" s="46">
        <v>254</v>
      </c>
      <c r="B64" s="25" t="s">
        <v>491</v>
      </c>
      <c r="C64" s="25" t="s">
        <v>109</v>
      </c>
      <c r="D64" s="53">
        <v>454.5</v>
      </c>
      <c r="E64" s="47">
        <v>128</v>
      </c>
      <c r="F64" s="72">
        <f t="shared" si="0"/>
        <v>0.28162816281628161</v>
      </c>
      <c r="G64" s="69">
        <v>73</v>
      </c>
      <c r="H64" s="63">
        <f t="shared" si="1"/>
        <v>0.16061606160616063</v>
      </c>
    </row>
    <row r="65" spans="1:8">
      <c r="A65" s="46">
        <v>255</v>
      </c>
      <c r="B65" s="25" t="s">
        <v>492</v>
      </c>
      <c r="C65" s="25" t="s">
        <v>109</v>
      </c>
      <c r="D65" s="53">
        <v>227.5</v>
      </c>
      <c r="E65" s="47">
        <v>84</v>
      </c>
      <c r="F65" s="72">
        <f t="shared" si="0"/>
        <v>0.36923076923076925</v>
      </c>
      <c r="G65" s="69">
        <v>24</v>
      </c>
      <c r="H65" s="63">
        <f t="shared" si="1"/>
        <v>0.10549450549450549</v>
      </c>
    </row>
    <row r="66" spans="1:8">
      <c r="A66" s="46">
        <v>256</v>
      </c>
      <c r="B66" s="25" t="s">
        <v>493</v>
      </c>
      <c r="C66" s="25" t="s">
        <v>112</v>
      </c>
      <c r="D66" s="53">
        <v>338.5</v>
      </c>
      <c r="E66" s="47">
        <v>165</v>
      </c>
      <c r="F66" s="72">
        <f t="shared" si="0"/>
        <v>0.48744460856720828</v>
      </c>
      <c r="G66" s="69">
        <v>46</v>
      </c>
      <c r="H66" s="63">
        <f t="shared" si="1"/>
        <v>0.13589364844903989</v>
      </c>
    </row>
    <row r="67" spans="1:8">
      <c r="A67" s="46">
        <v>257</v>
      </c>
      <c r="B67" s="25" t="s">
        <v>494</v>
      </c>
      <c r="C67" s="25" t="s">
        <v>112</v>
      </c>
      <c r="D67" s="53">
        <v>1300.9000000000001</v>
      </c>
      <c r="E67" s="47">
        <v>621</v>
      </c>
      <c r="F67" s="72">
        <f t="shared" si="0"/>
        <v>0.47736182642785763</v>
      </c>
      <c r="G67" s="69">
        <v>153</v>
      </c>
      <c r="H67" s="63">
        <f t="shared" si="1"/>
        <v>0.11761088477208086</v>
      </c>
    </row>
    <row r="68" spans="1:8">
      <c r="A68" s="46">
        <v>258</v>
      </c>
      <c r="B68" s="25" t="s">
        <v>495</v>
      </c>
      <c r="C68" s="25" t="s">
        <v>112</v>
      </c>
      <c r="D68" s="53">
        <v>528.5</v>
      </c>
      <c r="E68" s="47">
        <v>203</v>
      </c>
      <c r="F68" s="72">
        <f t="shared" si="0"/>
        <v>0.38410596026490068</v>
      </c>
      <c r="G68" s="69">
        <v>92</v>
      </c>
      <c r="H68" s="63">
        <f t="shared" si="1"/>
        <v>0.17407757805108798</v>
      </c>
    </row>
    <row r="69" spans="1:8">
      <c r="A69" s="46">
        <v>259</v>
      </c>
      <c r="B69" s="25" t="s">
        <v>380</v>
      </c>
      <c r="C69" s="25" t="s">
        <v>116</v>
      </c>
      <c r="D69" s="53">
        <v>46225</v>
      </c>
      <c r="E69" s="47">
        <v>30416</v>
      </c>
      <c r="F69" s="72">
        <f t="shared" si="0"/>
        <v>0.65799891833423474</v>
      </c>
      <c r="G69" s="69">
        <v>5023</v>
      </c>
      <c r="H69" s="63">
        <f t="shared" si="1"/>
        <v>0.10866414277988101</v>
      </c>
    </row>
    <row r="70" spans="1:8">
      <c r="A70" s="46">
        <v>260</v>
      </c>
      <c r="B70" s="25" t="s">
        <v>496</v>
      </c>
      <c r="C70" s="25" t="s">
        <v>116</v>
      </c>
      <c r="D70" s="53">
        <v>6254.9</v>
      </c>
      <c r="E70" s="47">
        <v>2051</v>
      </c>
      <c r="F70" s="72">
        <f t="shared" ref="F70:F133" si="2">E70/D70</f>
        <v>0.32790292410749972</v>
      </c>
      <c r="G70" s="69">
        <v>691</v>
      </c>
      <c r="H70" s="63">
        <f t="shared" ref="H70:H133" si="3">G70/D70</f>
        <v>0.11047338886313131</v>
      </c>
    </row>
    <row r="71" spans="1:8">
      <c r="A71" s="46">
        <v>261</v>
      </c>
      <c r="B71" s="25" t="s">
        <v>497</v>
      </c>
      <c r="C71" s="25" t="s">
        <v>116</v>
      </c>
      <c r="D71" s="53">
        <v>4782.3999999999996</v>
      </c>
      <c r="E71" s="47">
        <v>1908</v>
      </c>
      <c r="F71" s="72">
        <f t="shared" si="2"/>
        <v>0.39896286383405827</v>
      </c>
      <c r="G71" s="69">
        <v>527</v>
      </c>
      <c r="H71" s="63">
        <f t="shared" si="3"/>
        <v>0.11019571763131483</v>
      </c>
    </row>
    <row r="72" spans="1:8">
      <c r="A72" s="46">
        <v>262</v>
      </c>
      <c r="B72" s="25" t="s">
        <v>498</v>
      </c>
      <c r="C72" s="25" t="s">
        <v>116</v>
      </c>
      <c r="D72" s="53">
        <v>2553.6999999999998</v>
      </c>
      <c r="E72" s="47">
        <v>581</v>
      </c>
      <c r="F72" s="72">
        <f t="shared" si="2"/>
        <v>0.22751302032345228</v>
      </c>
      <c r="G72" s="69">
        <v>238</v>
      </c>
      <c r="H72" s="63">
        <f t="shared" si="3"/>
        <v>9.3198104710811774E-2</v>
      </c>
    </row>
    <row r="73" spans="1:8">
      <c r="A73" s="46">
        <v>263</v>
      </c>
      <c r="B73" s="25" t="s">
        <v>499</v>
      </c>
      <c r="C73" s="25" t="s">
        <v>116</v>
      </c>
      <c r="D73" s="53">
        <v>1850</v>
      </c>
      <c r="E73" s="47">
        <v>400</v>
      </c>
      <c r="F73" s="72">
        <f t="shared" si="2"/>
        <v>0.21621621621621623</v>
      </c>
      <c r="G73" s="69">
        <v>206</v>
      </c>
      <c r="H73" s="63">
        <f t="shared" si="3"/>
        <v>0.11135135135135135</v>
      </c>
    </row>
    <row r="74" spans="1:8">
      <c r="A74" s="46">
        <v>264</v>
      </c>
      <c r="B74" s="25" t="s">
        <v>500</v>
      </c>
      <c r="C74" s="25" t="s">
        <v>116</v>
      </c>
      <c r="D74" s="53">
        <v>1273.4000000000001</v>
      </c>
      <c r="E74" s="47">
        <v>232</v>
      </c>
      <c r="F74" s="72">
        <f t="shared" si="2"/>
        <v>0.18218941416679754</v>
      </c>
      <c r="G74" s="69">
        <v>108</v>
      </c>
      <c r="H74" s="63">
        <f t="shared" si="3"/>
        <v>8.4812313491440236E-2</v>
      </c>
    </row>
    <row r="75" spans="1:8">
      <c r="A75" s="46">
        <v>265</v>
      </c>
      <c r="B75" s="25" t="s">
        <v>501</v>
      </c>
      <c r="C75" s="25" t="s">
        <v>116</v>
      </c>
      <c r="D75" s="53">
        <v>4887</v>
      </c>
      <c r="E75" s="47">
        <v>764</v>
      </c>
      <c r="F75" s="72">
        <f t="shared" si="2"/>
        <v>0.15633312870881932</v>
      </c>
      <c r="G75" s="69">
        <v>397</v>
      </c>
      <c r="H75" s="63">
        <f t="shared" si="3"/>
        <v>8.1235932064661343E-2</v>
      </c>
    </row>
    <row r="76" spans="1:8">
      <c r="A76" s="46">
        <v>266</v>
      </c>
      <c r="B76" s="25" t="s">
        <v>502</v>
      </c>
      <c r="C76" s="25" t="s">
        <v>116</v>
      </c>
      <c r="D76" s="53">
        <v>6378.9</v>
      </c>
      <c r="E76" s="47">
        <v>686</v>
      </c>
      <c r="F76" s="72">
        <f t="shared" si="2"/>
        <v>0.10754205270501184</v>
      </c>
      <c r="G76" s="69">
        <v>341</v>
      </c>
      <c r="H76" s="63">
        <f t="shared" si="3"/>
        <v>5.34574926711502E-2</v>
      </c>
    </row>
    <row r="77" spans="1:8">
      <c r="A77" s="46">
        <v>267</v>
      </c>
      <c r="B77" s="25" t="s">
        <v>503</v>
      </c>
      <c r="C77" s="25" t="s">
        <v>116</v>
      </c>
      <c r="D77" s="53">
        <v>1945.7</v>
      </c>
      <c r="E77" s="47">
        <v>173</v>
      </c>
      <c r="F77" s="72">
        <f t="shared" si="2"/>
        <v>8.8914015521406181E-2</v>
      </c>
      <c r="G77" s="69">
        <v>136</v>
      </c>
      <c r="H77" s="63">
        <f t="shared" si="3"/>
        <v>6.9897723184458027E-2</v>
      </c>
    </row>
    <row r="78" spans="1:8">
      <c r="A78" s="46">
        <v>268</v>
      </c>
      <c r="B78" s="25" t="s">
        <v>504</v>
      </c>
      <c r="C78" s="25" t="s">
        <v>116</v>
      </c>
      <c r="D78" s="53">
        <v>782.8</v>
      </c>
      <c r="E78" s="47">
        <v>140</v>
      </c>
      <c r="F78" s="72">
        <f t="shared" si="2"/>
        <v>0.17884517118037813</v>
      </c>
      <c r="G78" s="69">
        <v>63</v>
      </c>
      <c r="H78" s="63">
        <f t="shared" si="3"/>
        <v>8.0480327031170168E-2</v>
      </c>
    </row>
    <row r="79" spans="1:8">
      <c r="A79" s="46">
        <v>269</v>
      </c>
      <c r="B79" s="25" t="s">
        <v>505</v>
      </c>
      <c r="C79" s="25" t="s">
        <v>127</v>
      </c>
      <c r="D79" s="53">
        <v>147.5</v>
      </c>
      <c r="E79" s="47">
        <v>57</v>
      </c>
      <c r="F79" s="72">
        <f t="shared" si="2"/>
        <v>0.38644067796610171</v>
      </c>
      <c r="G79" s="69">
        <v>29</v>
      </c>
      <c r="H79" s="63">
        <f t="shared" si="3"/>
        <v>0.19661016949152543</v>
      </c>
    </row>
    <row r="80" spans="1:8">
      <c r="A80" s="46">
        <v>270</v>
      </c>
      <c r="B80" s="25" t="s">
        <v>506</v>
      </c>
      <c r="C80" s="25" t="s">
        <v>127</v>
      </c>
      <c r="D80" s="53">
        <v>356.6</v>
      </c>
      <c r="E80" s="47">
        <v>106</v>
      </c>
      <c r="F80" s="72">
        <f t="shared" si="2"/>
        <v>0.2972518227706113</v>
      </c>
      <c r="G80" s="69">
        <v>53</v>
      </c>
      <c r="H80" s="63">
        <f t="shared" si="3"/>
        <v>0.14862591138530565</v>
      </c>
    </row>
    <row r="81" spans="1:8">
      <c r="A81" s="46">
        <v>271</v>
      </c>
      <c r="B81" s="25" t="s">
        <v>507</v>
      </c>
      <c r="C81" s="25" t="s">
        <v>127</v>
      </c>
      <c r="D81" s="53">
        <v>288.3</v>
      </c>
      <c r="E81" s="47">
        <v>87</v>
      </c>
      <c r="F81" s="72">
        <f t="shared" si="2"/>
        <v>0.30176899063475543</v>
      </c>
      <c r="G81" s="69">
        <v>64</v>
      </c>
      <c r="H81" s="63">
        <f t="shared" si="3"/>
        <v>0.22199098161637182</v>
      </c>
    </row>
    <row r="82" spans="1:8">
      <c r="A82" s="46">
        <v>272</v>
      </c>
      <c r="B82" s="25" t="s">
        <v>508</v>
      </c>
      <c r="C82" s="25" t="s">
        <v>131</v>
      </c>
      <c r="D82" s="53">
        <v>357.3</v>
      </c>
      <c r="E82" s="47">
        <v>139</v>
      </c>
      <c r="F82" s="72">
        <f t="shared" si="2"/>
        <v>0.38902882731598093</v>
      </c>
      <c r="G82" s="69">
        <v>48</v>
      </c>
      <c r="H82" s="63">
        <f t="shared" si="3"/>
        <v>0.1343408900083963</v>
      </c>
    </row>
    <row r="83" spans="1:8">
      <c r="A83" s="46">
        <v>273</v>
      </c>
      <c r="B83" s="25" t="s">
        <v>509</v>
      </c>
      <c r="C83" s="25" t="s">
        <v>131</v>
      </c>
      <c r="D83" s="53">
        <v>746.9</v>
      </c>
      <c r="E83" s="47">
        <v>178</v>
      </c>
      <c r="F83" s="72">
        <f t="shared" si="2"/>
        <v>0.23831838264827956</v>
      </c>
      <c r="G83" s="69">
        <v>114</v>
      </c>
      <c r="H83" s="63">
        <f t="shared" si="3"/>
        <v>0.15263087428035882</v>
      </c>
    </row>
    <row r="84" spans="1:8">
      <c r="A84" s="46">
        <v>274</v>
      </c>
      <c r="B84" s="25" t="s">
        <v>510</v>
      </c>
      <c r="C84" s="25" t="s">
        <v>134</v>
      </c>
      <c r="D84" s="53">
        <v>413.4</v>
      </c>
      <c r="E84" s="47">
        <v>148</v>
      </c>
      <c r="F84" s="72">
        <f t="shared" si="2"/>
        <v>0.35800677310111273</v>
      </c>
      <c r="G84" s="69">
        <v>52</v>
      </c>
      <c r="H84" s="63">
        <f t="shared" si="3"/>
        <v>0.12578616352201258</v>
      </c>
    </row>
    <row r="85" spans="1:8">
      <c r="A85" s="46">
        <v>275</v>
      </c>
      <c r="B85" s="25" t="s">
        <v>511</v>
      </c>
      <c r="C85" s="25" t="s">
        <v>134</v>
      </c>
      <c r="D85" s="53">
        <v>82.5</v>
      </c>
      <c r="E85" s="47">
        <v>30</v>
      </c>
      <c r="F85" s="72">
        <f t="shared" si="2"/>
        <v>0.36363636363636365</v>
      </c>
      <c r="G85" s="69">
        <v>13</v>
      </c>
      <c r="H85" s="63">
        <f t="shared" si="3"/>
        <v>0.15757575757575756</v>
      </c>
    </row>
    <row r="86" spans="1:8">
      <c r="A86" s="46">
        <v>281</v>
      </c>
      <c r="B86" s="25" t="s">
        <v>513</v>
      </c>
      <c r="C86" s="25" t="s">
        <v>139</v>
      </c>
      <c r="D86" s="53">
        <v>363.1</v>
      </c>
      <c r="E86" s="47">
        <v>91</v>
      </c>
      <c r="F86" s="72">
        <f t="shared" si="2"/>
        <v>0.25061966400440649</v>
      </c>
      <c r="G86" s="69">
        <v>67</v>
      </c>
      <c r="H86" s="63">
        <f t="shared" si="3"/>
        <v>0.18452217020104653</v>
      </c>
    </row>
    <row r="87" spans="1:8">
      <c r="A87" s="46">
        <v>282</v>
      </c>
      <c r="B87" s="25" t="s">
        <v>514</v>
      </c>
      <c r="C87" s="25" t="s">
        <v>141</v>
      </c>
      <c r="D87" s="53">
        <v>336</v>
      </c>
      <c r="E87" s="47">
        <v>153</v>
      </c>
      <c r="F87" s="72">
        <f t="shared" si="2"/>
        <v>0.45535714285714285</v>
      </c>
      <c r="G87" s="69">
        <v>53</v>
      </c>
      <c r="H87" s="63">
        <f t="shared" si="3"/>
        <v>0.15773809523809523</v>
      </c>
    </row>
    <row r="88" spans="1:8">
      <c r="A88" s="46">
        <v>283</v>
      </c>
      <c r="B88" s="25" t="s">
        <v>515</v>
      </c>
      <c r="C88" s="25" t="s">
        <v>141</v>
      </c>
      <c r="D88" s="53">
        <v>190.6</v>
      </c>
      <c r="E88" s="47">
        <v>127</v>
      </c>
      <c r="F88" s="72">
        <f t="shared" si="2"/>
        <v>0.66631689401888772</v>
      </c>
      <c r="G88" s="69">
        <v>31</v>
      </c>
      <c r="H88" s="63">
        <f t="shared" si="3"/>
        <v>0.16264428121720881</v>
      </c>
    </row>
    <row r="89" spans="1:8">
      <c r="A89" s="46">
        <v>284</v>
      </c>
      <c r="B89" s="25" t="s">
        <v>516</v>
      </c>
      <c r="C89" s="25" t="s">
        <v>144</v>
      </c>
      <c r="D89" s="53">
        <v>405.1</v>
      </c>
      <c r="E89" s="47">
        <v>100</v>
      </c>
      <c r="F89" s="72">
        <f t="shared" si="2"/>
        <v>0.24685262898049862</v>
      </c>
      <c r="G89" s="69">
        <v>48</v>
      </c>
      <c r="H89" s="63">
        <f t="shared" si="3"/>
        <v>0.11848926191063934</v>
      </c>
    </row>
    <row r="90" spans="1:8">
      <c r="A90" s="46">
        <v>285</v>
      </c>
      <c r="B90" s="25" t="s">
        <v>517</v>
      </c>
      <c r="C90" s="25" t="s">
        <v>146</v>
      </c>
      <c r="D90" s="53">
        <v>144</v>
      </c>
      <c r="E90" s="47">
        <v>61</v>
      </c>
      <c r="F90" s="72">
        <f t="shared" si="2"/>
        <v>0.4236111111111111</v>
      </c>
      <c r="G90" s="69">
        <v>24</v>
      </c>
      <c r="H90" s="63">
        <f t="shared" si="3"/>
        <v>0.16666666666666666</v>
      </c>
    </row>
    <row r="91" spans="1:8">
      <c r="A91" s="46">
        <v>286</v>
      </c>
      <c r="B91" s="25" t="s">
        <v>146</v>
      </c>
      <c r="C91" s="25" t="s">
        <v>146</v>
      </c>
      <c r="D91" s="53">
        <v>367.5</v>
      </c>
      <c r="E91" s="47">
        <v>162</v>
      </c>
      <c r="F91" s="72">
        <f t="shared" si="2"/>
        <v>0.44081632653061226</v>
      </c>
      <c r="G91" s="69">
        <v>59</v>
      </c>
      <c r="H91" s="63">
        <f t="shared" si="3"/>
        <v>0.16054421768707483</v>
      </c>
    </row>
    <row r="92" spans="1:8">
      <c r="A92" s="46">
        <v>287</v>
      </c>
      <c r="B92" s="25" t="s">
        <v>518</v>
      </c>
      <c r="C92" s="25" t="s">
        <v>149</v>
      </c>
      <c r="D92" s="53">
        <v>700.5</v>
      </c>
      <c r="E92" s="47">
        <v>295</v>
      </c>
      <c r="F92" s="72">
        <f t="shared" si="2"/>
        <v>0.42112776588151318</v>
      </c>
      <c r="G92" s="69">
        <v>98</v>
      </c>
      <c r="H92" s="63">
        <f t="shared" si="3"/>
        <v>0.13990007137758745</v>
      </c>
    </row>
    <row r="93" spans="1:8">
      <c r="A93" s="46">
        <v>288</v>
      </c>
      <c r="B93" s="25" t="s">
        <v>519</v>
      </c>
      <c r="C93" s="25" t="s">
        <v>149</v>
      </c>
      <c r="D93" s="53">
        <v>531.5</v>
      </c>
      <c r="E93" s="47">
        <v>214</v>
      </c>
      <c r="F93" s="72">
        <f t="shared" si="2"/>
        <v>0.4026340545625588</v>
      </c>
      <c r="G93" s="69">
        <v>101</v>
      </c>
      <c r="H93" s="63">
        <f t="shared" si="3"/>
        <v>0.19002822201317027</v>
      </c>
    </row>
    <row r="94" spans="1:8">
      <c r="A94" s="46">
        <v>289</v>
      </c>
      <c r="B94" s="25" t="s">
        <v>520</v>
      </c>
      <c r="C94" s="25" t="s">
        <v>149</v>
      </c>
      <c r="D94" s="53">
        <v>842.7</v>
      </c>
      <c r="E94" s="47">
        <v>174</v>
      </c>
      <c r="F94" s="72">
        <f t="shared" si="2"/>
        <v>0.20647917408330366</v>
      </c>
      <c r="G94" s="69">
        <v>86</v>
      </c>
      <c r="H94" s="63">
        <f t="shared" si="3"/>
        <v>0.10205292512163285</v>
      </c>
    </row>
    <row r="95" spans="1:8">
      <c r="A95" s="46">
        <v>290</v>
      </c>
      <c r="B95" s="25" t="s">
        <v>89</v>
      </c>
      <c r="C95" s="25" t="s">
        <v>149</v>
      </c>
      <c r="D95" s="53">
        <v>2439.8000000000002</v>
      </c>
      <c r="E95" s="47">
        <v>1081</v>
      </c>
      <c r="F95" s="72">
        <f t="shared" si="2"/>
        <v>0.44306910402492006</v>
      </c>
      <c r="G95" s="69">
        <v>230</v>
      </c>
      <c r="H95" s="63">
        <f t="shared" si="3"/>
        <v>9.4270022132961706E-2</v>
      </c>
    </row>
    <row r="96" spans="1:8">
      <c r="A96" s="46">
        <v>291</v>
      </c>
      <c r="B96" s="25" t="s">
        <v>521</v>
      </c>
      <c r="C96" s="25" t="s">
        <v>154</v>
      </c>
      <c r="D96" s="53">
        <v>73.8</v>
      </c>
      <c r="E96" s="47">
        <v>14</v>
      </c>
      <c r="F96" s="72">
        <f t="shared" si="2"/>
        <v>0.18970189701897019</v>
      </c>
      <c r="G96" s="69">
        <v>8</v>
      </c>
      <c r="H96" s="63">
        <f t="shared" si="3"/>
        <v>0.10840108401084012</v>
      </c>
    </row>
    <row r="97" spans="1:8">
      <c r="A97" s="46">
        <v>292</v>
      </c>
      <c r="B97" s="25" t="s">
        <v>522</v>
      </c>
      <c r="C97" s="25" t="s">
        <v>154</v>
      </c>
      <c r="D97" s="53">
        <v>102</v>
      </c>
      <c r="E97" s="47">
        <v>26</v>
      </c>
      <c r="F97" s="72">
        <f t="shared" si="2"/>
        <v>0.25490196078431371</v>
      </c>
      <c r="G97" s="69">
        <v>12</v>
      </c>
      <c r="H97" s="63">
        <f t="shared" si="3"/>
        <v>0.11764705882352941</v>
      </c>
    </row>
    <row r="98" spans="1:8">
      <c r="A98" s="46">
        <v>293</v>
      </c>
      <c r="B98" s="25" t="s">
        <v>523</v>
      </c>
      <c r="C98" s="25" t="s">
        <v>154</v>
      </c>
      <c r="D98" s="53">
        <v>266.5</v>
      </c>
      <c r="E98" s="47">
        <v>63</v>
      </c>
      <c r="F98" s="72">
        <f t="shared" si="2"/>
        <v>0.23639774859287055</v>
      </c>
      <c r="G98" s="69">
        <v>31</v>
      </c>
      <c r="H98" s="63">
        <f t="shared" si="3"/>
        <v>0.11632270168855535</v>
      </c>
    </row>
    <row r="99" spans="1:8">
      <c r="A99" s="46">
        <v>294</v>
      </c>
      <c r="B99" s="25" t="s">
        <v>524</v>
      </c>
      <c r="C99" s="25" t="s">
        <v>158</v>
      </c>
      <c r="D99" s="53">
        <v>358</v>
      </c>
      <c r="E99" s="47">
        <v>104</v>
      </c>
      <c r="F99" s="72">
        <f t="shared" si="2"/>
        <v>0.29050279329608941</v>
      </c>
      <c r="G99" s="69">
        <v>69</v>
      </c>
      <c r="H99" s="63">
        <f t="shared" si="3"/>
        <v>0.19273743016759776</v>
      </c>
    </row>
    <row r="100" spans="1:8">
      <c r="A100" s="46">
        <v>297</v>
      </c>
      <c r="B100" s="25" t="s">
        <v>526</v>
      </c>
      <c r="C100" s="25" t="s">
        <v>18</v>
      </c>
      <c r="D100" s="53">
        <v>286.3</v>
      </c>
      <c r="E100" s="47">
        <v>82</v>
      </c>
      <c r="F100" s="72">
        <f t="shared" si="2"/>
        <v>0.28641285365001745</v>
      </c>
      <c r="G100" s="69">
        <v>26</v>
      </c>
      <c r="H100" s="63">
        <f t="shared" si="3"/>
        <v>9.0813831645127491E-2</v>
      </c>
    </row>
    <row r="101" spans="1:8">
      <c r="A101" s="46">
        <v>298</v>
      </c>
      <c r="B101" s="25" t="s">
        <v>162</v>
      </c>
      <c r="C101" s="25" t="s">
        <v>162</v>
      </c>
      <c r="D101" s="53">
        <v>340</v>
      </c>
      <c r="E101" s="47">
        <v>144</v>
      </c>
      <c r="F101" s="72">
        <f t="shared" si="2"/>
        <v>0.42352941176470588</v>
      </c>
      <c r="G101" s="69">
        <v>55</v>
      </c>
      <c r="H101" s="63">
        <f t="shared" si="3"/>
        <v>0.16176470588235295</v>
      </c>
    </row>
    <row r="102" spans="1:8">
      <c r="A102" s="46">
        <v>299</v>
      </c>
      <c r="B102" s="25" t="s">
        <v>527</v>
      </c>
      <c r="C102" s="25" t="s">
        <v>162</v>
      </c>
      <c r="D102" s="53">
        <v>138.4</v>
      </c>
      <c r="E102" s="47">
        <v>44</v>
      </c>
      <c r="F102" s="72">
        <f t="shared" si="2"/>
        <v>0.31791907514450868</v>
      </c>
      <c r="G102" s="69">
        <v>12</v>
      </c>
      <c r="H102" s="63">
        <f t="shared" si="3"/>
        <v>8.6705202312138727E-2</v>
      </c>
    </row>
    <row r="103" spans="1:8">
      <c r="A103" s="46">
        <v>300</v>
      </c>
      <c r="B103" s="25" t="s">
        <v>528</v>
      </c>
      <c r="C103" s="25" t="s">
        <v>165</v>
      </c>
      <c r="D103" s="53">
        <v>317.10000000000002</v>
      </c>
      <c r="E103" s="47">
        <v>79</v>
      </c>
      <c r="F103" s="72">
        <f t="shared" si="2"/>
        <v>0.24913276568905707</v>
      </c>
      <c r="G103" s="69">
        <v>24</v>
      </c>
      <c r="H103" s="63">
        <f t="shared" si="3"/>
        <v>7.5685903500473037E-2</v>
      </c>
    </row>
    <row r="104" spans="1:8">
      <c r="A104" s="46">
        <v>303</v>
      </c>
      <c r="B104" s="25" t="s">
        <v>531</v>
      </c>
      <c r="C104" s="25" t="s">
        <v>25</v>
      </c>
      <c r="D104" s="53">
        <v>291</v>
      </c>
      <c r="E104" s="47">
        <v>66</v>
      </c>
      <c r="F104" s="72">
        <f t="shared" si="2"/>
        <v>0.22680412371134021</v>
      </c>
      <c r="G104" s="69">
        <v>29</v>
      </c>
      <c r="H104" s="63">
        <f t="shared" si="3"/>
        <v>9.9656357388316158E-2</v>
      </c>
    </row>
    <row r="105" spans="1:8">
      <c r="A105" s="46">
        <v>305</v>
      </c>
      <c r="B105" s="25" t="s">
        <v>533</v>
      </c>
      <c r="C105" s="25" t="s">
        <v>171</v>
      </c>
      <c r="D105" s="53">
        <v>7036</v>
      </c>
      <c r="E105" s="47">
        <v>3192</v>
      </c>
      <c r="F105" s="72">
        <f t="shared" si="2"/>
        <v>0.45366685616827745</v>
      </c>
      <c r="G105" s="69">
        <v>867</v>
      </c>
      <c r="H105" s="63">
        <f t="shared" si="3"/>
        <v>0.1232234223990904</v>
      </c>
    </row>
    <row r="106" spans="1:8">
      <c r="A106" s="46">
        <v>306</v>
      </c>
      <c r="B106" s="25" t="s">
        <v>534</v>
      </c>
      <c r="C106" s="25" t="s">
        <v>171</v>
      </c>
      <c r="D106" s="53">
        <v>690.8</v>
      </c>
      <c r="E106" s="47">
        <v>87</v>
      </c>
      <c r="F106" s="72">
        <f t="shared" si="2"/>
        <v>0.12594093804284887</v>
      </c>
      <c r="G106" s="69">
        <v>71</v>
      </c>
      <c r="H106" s="63">
        <f t="shared" si="3"/>
        <v>0.10277938621887667</v>
      </c>
    </row>
    <row r="107" spans="1:8">
      <c r="A107" s="46">
        <v>307</v>
      </c>
      <c r="B107" s="25" t="s">
        <v>535</v>
      </c>
      <c r="C107" s="25" t="s">
        <v>171</v>
      </c>
      <c r="D107" s="53">
        <v>466</v>
      </c>
      <c r="E107" s="47">
        <v>85</v>
      </c>
      <c r="F107" s="72">
        <f t="shared" si="2"/>
        <v>0.18240343347639484</v>
      </c>
      <c r="G107" s="69">
        <v>74</v>
      </c>
      <c r="H107" s="63">
        <f t="shared" si="3"/>
        <v>0.15879828326180256</v>
      </c>
    </row>
    <row r="108" spans="1:8">
      <c r="A108" s="46">
        <v>308</v>
      </c>
      <c r="B108" s="25" t="s">
        <v>536</v>
      </c>
      <c r="C108" s="25" t="s">
        <v>175</v>
      </c>
      <c r="D108" s="53">
        <v>4653.5</v>
      </c>
      <c r="E108" s="47">
        <v>2435</v>
      </c>
      <c r="F108" s="72">
        <f t="shared" si="2"/>
        <v>0.52326206081444071</v>
      </c>
      <c r="G108" s="69">
        <v>663</v>
      </c>
      <c r="H108" s="63">
        <f t="shared" si="3"/>
        <v>0.14247340711292575</v>
      </c>
    </row>
    <row r="109" spans="1:8">
      <c r="A109" s="46">
        <v>309</v>
      </c>
      <c r="B109" s="25" t="s">
        <v>537</v>
      </c>
      <c r="C109" s="25" t="s">
        <v>175</v>
      </c>
      <c r="D109" s="53">
        <v>1140.7</v>
      </c>
      <c r="E109" s="47">
        <v>533</v>
      </c>
      <c r="F109" s="72">
        <f t="shared" si="2"/>
        <v>0.46725694748838431</v>
      </c>
      <c r="G109" s="69">
        <v>181</v>
      </c>
      <c r="H109" s="63">
        <f t="shared" si="3"/>
        <v>0.15867449811519241</v>
      </c>
    </row>
    <row r="110" spans="1:8">
      <c r="A110" s="46">
        <v>310</v>
      </c>
      <c r="B110" s="25" t="s">
        <v>538</v>
      </c>
      <c r="C110" s="25" t="s">
        <v>175</v>
      </c>
      <c r="D110" s="53">
        <v>304.60000000000002</v>
      </c>
      <c r="E110" s="47">
        <v>143</v>
      </c>
      <c r="F110" s="72">
        <f t="shared" si="2"/>
        <v>0.46946815495732103</v>
      </c>
      <c r="G110" s="69">
        <v>57</v>
      </c>
      <c r="H110" s="63">
        <f t="shared" si="3"/>
        <v>0.18713066316480628</v>
      </c>
    </row>
    <row r="111" spans="1:8">
      <c r="A111" s="46">
        <v>311</v>
      </c>
      <c r="B111" s="25" t="s">
        <v>539</v>
      </c>
      <c r="C111" s="25" t="s">
        <v>175</v>
      </c>
      <c r="D111" s="53">
        <v>258.39999999999998</v>
      </c>
      <c r="E111" s="47">
        <v>62</v>
      </c>
      <c r="F111" s="72">
        <f t="shared" si="2"/>
        <v>0.23993808049535606</v>
      </c>
      <c r="G111" s="69">
        <v>41</v>
      </c>
      <c r="H111" s="63">
        <f t="shared" si="3"/>
        <v>0.1586687306501548</v>
      </c>
    </row>
    <row r="112" spans="1:8">
      <c r="A112" s="46">
        <v>312</v>
      </c>
      <c r="B112" s="25" t="s">
        <v>540</v>
      </c>
      <c r="C112" s="25" t="s">
        <v>175</v>
      </c>
      <c r="D112" s="53">
        <v>997.9</v>
      </c>
      <c r="E112" s="47">
        <v>285</v>
      </c>
      <c r="F112" s="72">
        <f t="shared" si="2"/>
        <v>0.28559975949493938</v>
      </c>
      <c r="G112" s="69">
        <v>142</v>
      </c>
      <c r="H112" s="63">
        <f t="shared" si="3"/>
        <v>0.14229882753782944</v>
      </c>
    </row>
    <row r="113" spans="1:8">
      <c r="A113" s="46">
        <v>313</v>
      </c>
      <c r="B113" s="25" t="s">
        <v>541</v>
      </c>
      <c r="C113" s="25" t="s">
        <v>175</v>
      </c>
      <c r="D113" s="53">
        <v>2140.3000000000002</v>
      </c>
      <c r="E113" s="47">
        <v>561</v>
      </c>
      <c r="F113" s="72">
        <f t="shared" si="2"/>
        <v>0.26211278792692611</v>
      </c>
      <c r="G113" s="69">
        <v>289</v>
      </c>
      <c r="H113" s="63">
        <f t="shared" si="3"/>
        <v>0.13502779984114374</v>
      </c>
    </row>
    <row r="114" spans="1:8">
      <c r="A114" s="46">
        <v>314</v>
      </c>
      <c r="B114" s="25" t="s">
        <v>542</v>
      </c>
      <c r="C114" s="25" t="s">
        <v>182</v>
      </c>
      <c r="D114" s="53">
        <v>98</v>
      </c>
      <c r="E114" s="47">
        <v>27</v>
      </c>
      <c r="F114" s="72">
        <f t="shared" si="2"/>
        <v>0.27551020408163263</v>
      </c>
      <c r="G114" s="69">
        <v>15</v>
      </c>
      <c r="H114" s="63">
        <f t="shared" si="3"/>
        <v>0.15306122448979592</v>
      </c>
    </row>
    <row r="115" spans="1:8">
      <c r="A115" s="46">
        <v>315</v>
      </c>
      <c r="B115" s="25" t="s">
        <v>543</v>
      </c>
      <c r="C115" s="25" t="s">
        <v>182</v>
      </c>
      <c r="D115" s="53">
        <v>916.5</v>
      </c>
      <c r="E115" s="47">
        <v>276</v>
      </c>
      <c r="F115" s="72">
        <f t="shared" si="2"/>
        <v>0.30114566284779049</v>
      </c>
      <c r="G115" s="69">
        <v>89</v>
      </c>
      <c r="H115" s="63">
        <f t="shared" si="3"/>
        <v>9.7108565193671573E-2</v>
      </c>
    </row>
    <row r="116" spans="1:8">
      <c r="A116" s="46">
        <v>316</v>
      </c>
      <c r="B116" s="25" t="s">
        <v>544</v>
      </c>
      <c r="C116" s="25" t="s">
        <v>182</v>
      </c>
      <c r="D116" s="53">
        <v>204.5</v>
      </c>
      <c r="E116" s="47">
        <v>93</v>
      </c>
      <c r="F116" s="72">
        <f t="shared" si="2"/>
        <v>0.45476772616136918</v>
      </c>
      <c r="G116" s="69">
        <v>42</v>
      </c>
      <c r="H116" s="63">
        <f t="shared" si="3"/>
        <v>0.20537897310513448</v>
      </c>
    </row>
    <row r="117" spans="1:8">
      <c r="A117" s="46">
        <v>320</v>
      </c>
      <c r="B117" s="25" t="s">
        <v>545</v>
      </c>
      <c r="C117" s="25" t="s">
        <v>186</v>
      </c>
      <c r="D117" s="53">
        <v>1305.5</v>
      </c>
      <c r="E117" s="47">
        <v>245</v>
      </c>
      <c r="F117" s="72">
        <f t="shared" si="2"/>
        <v>0.1876675603217158</v>
      </c>
      <c r="G117" s="69">
        <v>133</v>
      </c>
      <c r="H117" s="63">
        <f t="shared" si="3"/>
        <v>0.10187667560321716</v>
      </c>
    </row>
    <row r="118" spans="1:8">
      <c r="A118" s="46">
        <v>321</v>
      </c>
      <c r="B118" s="25" t="s">
        <v>546</v>
      </c>
      <c r="C118" s="25" t="s">
        <v>186</v>
      </c>
      <c r="D118" s="53">
        <v>1121.5999999999999</v>
      </c>
      <c r="E118" s="47">
        <v>377</v>
      </c>
      <c r="F118" s="72">
        <f t="shared" si="2"/>
        <v>0.33612696148359489</v>
      </c>
      <c r="G118" s="69">
        <v>124</v>
      </c>
      <c r="H118" s="63">
        <f t="shared" si="3"/>
        <v>0.11055634807417976</v>
      </c>
    </row>
    <row r="119" spans="1:8">
      <c r="A119" s="46">
        <v>322</v>
      </c>
      <c r="B119" s="25" t="s">
        <v>547</v>
      </c>
      <c r="C119" s="25" t="s">
        <v>186</v>
      </c>
      <c r="D119" s="53">
        <v>320.5</v>
      </c>
      <c r="E119" s="47">
        <v>90</v>
      </c>
      <c r="F119" s="72">
        <f t="shared" si="2"/>
        <v>0.28081123244929795</v>
      </c>
      <c r="G119" s="69">
        <v>46</v>
      </c>
      <c r="H119" s="63">
        <f t="shared" si="3"/>
        <v>0.14352574102964119</v>
      </c>
    </row>
    <row r="120" spans="1:8">
      <c r="A120" s="46">
        <v>323</v>
      </c>
      <c r="B120" s="25" t="s">
        <v>548</v>
      </c>
      <c r="C120" s="25" t="s">
        <v>186</v>
      </c>
      <c r="D120" s="53">
        <v>845.1</v>
      </c>
      <c r="E120" s="47">
        <v>159</v>
      </c>
      <c r="F120" s="72">
        <f t="shared" si="2"/>
        <v>0.18814341498047568</v>
      </c>
      <c r="G120" s="69">
        <v>108</v>
      </c>
      <c r="H120" s="63">
        <f t="shared" si="3"/>
        <v>0.12779552715654952</v>
      </c>
    </row>
    <row r="121" spans="1:8">
      <c r="A121" s="46">
        <v>325</v>
      </c>
      <c r="B121" s="25" t="s">
        <v>550</v>
      </c>
      <c r="C121" s="25" t="s">
        <v>32</v>
      </c>
      <c r="D121" s="53">
        <v>628.1</v>
      </c>
      <c r="E121" s="47">
        <v>187</v>
      </c>
      <c r="F121" s="72">
        <f t="shared" si="2"/>
        <v>0.29772329246935203</v>
      </c>
      <c r="G121" s="69">
        <v>70</v>
      </c>
      <c r="H121" s="63">
        <f t="shared" si="3"/>
        <v>0.11144722177997134</v>
      </c>
    </row>
    <row r="122" spans="1:8">
      <c r="A122" s="46">
        <v>326</v>
      </c>
      <c r="B122" s="25" t="s">
        <v>134</v>
      </c>
      <c r="C122" s="25" t="s">
        <v>32</v>
      </c>
      <c r="D122" s="53">
        <v>183.5</v>
      </c>
      <c r="E122" s="47">
        <v>79</v>
      </c>
      <c r="F122" s="72">
        <f t="shared" si="2"/>
        <v>0.4305177111716621</v>
      </c>
      <c r="G122" s="69">
        <v>29</v>
      </c>
      <c r="H122" s="63">
        <f t="shared" si="3"/>
        <v>0.15803814713896458</v>
      </c>
    </row>
    <row r="123" spans="1:8">
      <c r="A123" s="46">
        <v>327</v>
      </c>
      <c r="B123" s="25" t="s">
        <v>194</v>
      </c>
      <c r="C123" s="25" t="s">
        <v>194</v>
      </c>
      <c r="D123" s="53">
        <v>622</v>
      </c>
      <c r="E123" s="47">
        <v>206</v>
      </c>
      <c r="F123" s="72">
        <f t="shared" si="2"/>
        <v>0.3311897106109325</v>
      </c>
      <c r="G123" s="69">
        <v>76</v>
      </c>
      <c r="H123" s="63">
        <f t="shared" si="3"/>
        <v>0.12218649517684887</v>
      </c>
    </row>
    <row r="124" spans="1:8">
      <c r="A124" s="46">
        <v>328</v>
      </c>
      <c r="B124" s="25" t="s">
        <v>551</v>
      </c>
      <c r="C124" s="25" t="s">
        <v>194</v>
      </c>
      <c r="D124" s="53">
        <v>410.3</v>
      </c>
      <c r="E124" s="47">
        <v>171</v>
      </c>
      <c r="F124" s="72">
        <f t="shared" si="2"/>
        <v>0.41676821837679745</v>
      </c>
      <c r="G124" s="69">
        <v>66</v>
      </c>
      <c r="H124" s="63">
        <f t="shared" si="3"/>
        <v>0.16085790884718498</v>
      </c>
    </row>
    <row r="125" spans="1:8">
      <c r="A125" s="46">
        <v>329</v>
      </c>
      <c r="B125" s="25" t="s">
        <v>552</v>
      </c>
      <c r="C125" s="25" t="s">
        <v>197</v>
      </c>
      <c r="D125" s="53">
        <v>470</v>
      </c>
      <c r="E125" s="47">
        <v>88</v>
      </c>
      <c r="F125" s="72">
        <f t="shared" si="2"/>
        <v>0.18723404255319148</v>
      </c>
      <c r="G125" s="69">
        <v>81</v>
      </c>
      <c r="H125" s="63">
        <f t="shared" si="3"/>
        <v>0.17234042553191489</v>
      </c>
    </row>
    <row r="126" spans="1:8">
      <c r="A126" s="46">
        <v>330</v>
      </c>
      <c r="B126" s="25" t="s">
        <v>553</v>
      </c>
      <c r="C126" s="25" t="s">
        <v>197</v>
      </c>
      <c r="D126" s="53">
        <v>500.5</v>
      </c>
      <c r="E126" s="47">
        <v>144</v>
      </c>
      <c r="F126" s="72">
        <f t="shared" si="2"/>
        <v>0.28771228771228774</v>
      </c>
      <c r="G126" s="69">
        <v>67</v>
      </c>
      <c r="H126" s="63">
        <f t="shared" si="3"/>
        <v>0.13386613386613386</v>
      </c>
    </row>
    <row r="127" spans="1:8">
      <c r="A127" s="46">
        <v>331</v>
      </c>
      <c r="B127" s="25" t="s">
        <v>200</v>
      </c>
      <c r="C127" s="25" t="s">
        <v>200</v>
      </c>
      <c r="D127" s="53">
        <v>988.7</v>
      </c>
      <c r="E127" s="47">
        <v>329</v>
      </c>
      <c r="F127" s="72">
        <f t="shared" si="2"/>
        <v>0.33276019014868008</v>
      </c>
      <c r="G127" s="69">
        <v>155</v>
      </c>
      <c r="H127" s="63">
        <f t="shared" si="3"/>
        <v>0.15677151815515322</v>
      </c>
    </row>
    <row r="128" spans="1:8">
      <c r="A128" s="46">
        <v>332</v>
      </c>
      <c r="B128" s="25" t="s">
        <v>554</v>
      </c>
      <c r="C128" s="25" t="s">
        <v>200</v>
      </c>
      <c r="D128" s="53">
        <v>171.6</v>
      </c>
      <c r="E128" s="47">
        <v>50</v>
      </c>
      <c r="F128" s="72">
        <f t="shared" si="2"/>
        <v>0.29137529137529139</v>
      </c>
      <c r="G128" s="69">
        <v>31</v>
      </c>
      <c r="H128" s="63">
        <f t="shared" si="3"/>
        <v>0.18065268065268067</v>
      </c>
    </row>
    <row r="129" spans="1:8">
      <c r="A129" s="46">
        <v>333</v>
      </c>
      <c r="B129" s="25" t="s">
        <v>555</v>
      </c>
      <c r="C129" s="25" t="s">
        <v>203</v>
      </c>
      <c r="D129" s="53">
        <v>1067.7</v>
      </c>
      <c r="E129" s="47">
        <v>446</v>
      </c>
      <c r="F129" s="72">
        <f t="shared" si="2"/>
        <v>0.41772033342699261</v>
      </c>
      <c r="G129" s="69">
        <v>177</v>
      </c>
      <c r="H129" s="63">
        <f t="shared" si="3"/>
        <v>0.16577690362461364</v>
      </c>
    </row>
    <row r="130" spans="1:8">
      <c r="A130" s="46">
        <v>334</v>
      </c>
      <c r="B130" s="25" t="s">
        <v>556</v>
      </c>
      <c r="C130" s="25" t="s">
        <v>203</v>
      </c>
      <c r="D130" s="53">
        <v>255.6</v>
      </c>
      <c r="E130" s="47">
        <v>124</v>
      </c>
      <c r="F130" s="72">
        <f t="shared" si="2"/>
        <v>0.48513302034428796</v>
      </c>
      <c r="G130" s="69">
        <v>26</v>
      </c>
      <c r="H130" s="63">
        <f t="shared" si="3"/>
        <v>0.10172143974960876</v>
      </c>
    </row>
    <row r="131" spans="1:8">
      <c r="A131" s="46">
        <v>335</v>
      </c>
      <c r="B131" s="25" t="s">
        <v>557</v>
      </c>
      <c r="C131" s="25" t="s">
        <v>206</v>
      </c>
      <c r="D131" s="53">
        <v>376.5</v>
      </c>
      <c r="E131" s="47">
        <v>110</v>
      </c>
      <c r="F131" s="72">
        <f t="shared" si="2"/>
        <v>0.29216467463479417</v>
      </c>
      <c r="G131" s="69">
        <v>48</v>
      </c>
      <c r="H131" s="63">
        <f t="shared" si="3"/>
        <v>0.12749003984063745</v>
      </c>
    </row>
    <row r="132" spans="1:8">
      <c r="A132" s="46">
        <v>336</v>
      </c>
      <c r="B132" s="25" t="s">
        <v>558</v>
      </c>
      <c r="C132" s="25" t="s">
        <v>206</v>
      </c>
      <c r="D132" s="53">
        <v>1058</v>
      </c>
      <c r="E132" s="47">
        <v>272</v>
      </c>
      <c r="F132" s="72">
        <f t="shared" si="2"/>
        <v>0.25708884688090738</v>
      </c>
      <c r="G132" s="69">
        <v>117</v>
      </c>
      <c r="H132" s="63">
        <f t="shared" si="3"/>
        <v>0.11058601134215501</v>
      </c>
    </row>
    <row r="133" spans="1:8">
      <c r="A133" s="46">
        <v>337</v>
      </c>
      <c r="B133" s="25" t="s">
        <v>559</v>
      </c>
      <c r="C133" s="25" t="s">
        <v>206</v>
      </c>
      <c r="D133" s="53">
        <v>908.2</v>
      </c>
      <c r="E133" s="47">
        <v>300</v>
      </c>
      <c r="F133" s="72">
        <f t="shared" si="2"/>
        <v>0.330323717242898</v>
      </c>
      <c r="G133" s="69">
        <v>105</v>
      </c>
      <c r="H133" s="63">
        <f t="shared" si="3"/>
        <v>0.11561330103501431</v>
      </c>
    </row>
    <row r="134" spans="1:8">
      <c r="A134" s="46">
        <v>338</v>
      </c>
      <c r="B134" s="25" t="s">
        <v>560</v>
      </c>
      <c r="C134" s="25" t="s">
        <v>210</v>
      </c>
      <c r="D134" s="53">
        <v>414.3</v>
      </c>
      <c r="E134" s="47">
        <v>116</v>
      </c>
      <c r="F134" s="72">
        <f t="shared" ref="F134:F197" si="4">E134/D134</f>
        <v>0.27999034516051169</v>
      </c>
      <c r="G134" s="69">
        <v>71</v>
      </c>
      <c r="H134" s="63">
        <f t="shared" ref="H134:H197" si="5">G134/D134</f>
        <v>0.17137340091720973</v>
      </c>
    </row>
    <row r="135" spans="1:8">
      <c r="A135" s="46">
        <v>339</v>
      </c>
      <c r="B135" s="25" t="s">
        <v>561</v>
      </c>
      <c r="C135" s="25" t="s">
        <v>210</v>
      </c>
      <c r="D135" s="53">
        <v>482.5</v>
      </c>
      <c r="E135" s="47">
        <v>118</v>
      </c>
      <c r="F135" s="72">
        <f t="shared" si="4"/>
        <v>0.24455958549222798</v>
      </c>
      <c r="G135" s="69">
        <v>43</v>
      </c>
      <c r="H135" s="63">
        <f t="shared" si="5"/>
        <v>8.9119170984455959E-2</v>
      </c>
    </row>
    <row r="136" spans="1:8">
      <c r="A136" s="46">
        <v>340</v>
      </c>
      <c r="B136" s="25" t="s">
        <v>562</v>
      </c>
      <c r="C136" s="25" t="s">
        <v>210</v>
      </c>
      <c r="D136" s="53">
        <v>893.8</v>
      </c>
      <c r="E136" s="47">
        <v>150</v>
      </c>
      <c r="F136" s="72">
        <f t="shared" si="4"/>
        <v>0.16782277914522264</v>
      </c>
      <c r="G136" s="69">
        <v>92</v>
      </c>
      <c r="H136" s="63">
        <f t="shared" si="5"/>
        <v>0.10293130454240322</v>
      </c>
    </row>
    <row r="137" spans="1:8">
      <c r="A137" s="46">
        <v>341</v>
      </c>
      <c r="B137" s="25" t="s">
        <v>563</v>
      </c>
      <c r="C137" s="25" t="s">
        <v>210</v>
      </c>
      <c r="D137" s="53">
        <v>539.1</v>
      </c>
      <c r="E137" s="47">
        <v>272</v>
      </c>
      <c r="F137" s="72">
        <f t="shared" si="4"/>
        <v>0.50454461138935258</v>
      </c>
      <c r="G137" s="69">
        <v>72</v>
      </c>
      <c r="H137" s="63">
        <f t="shared" si="5"/>
        <v>0.13355592654424039</v>
      </c>
    </row>
    <row r="138" spans="1:8">
      <c r="A138" s="46">
        <v>342</v>
      </c>
      <c r="B138" s="25" t="s">
        <v>564</v>
      </c>
      <c r="C138" s="25" t="s">
        <v>210</v>
      </c>
      <c r="D138" s="53">
        <v>491.5</v>
      </c>
      <c r="E138" s="47">
        <v>132</v>
      </c>
      <c r="F138" s="72">
        <f t="shared" si="4"/>
        <v>0.26856561546286878</v>
      </c>
      <c r="G138" s="69">
        <v>43</v>
      </c>
      <c r="H138" s="63">
        <f t="shared" si="5"/>
        <v>8.7487283825025436E-2</v>
      </c>
    </row>
    <row r="139" spans="1:8">
      <c r="A139" s="46">
        <v>343</v>
      </c>
      <c r="B139" s="25" t="s">
        <v>565</v>
      </c>
      <c r="C139" s="25" t="s">
        <v>210</v>
      </c>
      <c r="D139" s="53">
        <v>954.5</v>
      </c>
      <c r="E139" s="47">
        <v>257</v>
      </c>
      <c r="F139" s="72">
        <f t="shared" si="4"/>
        <v>0.26925091671031953</v>
      </c>
      <c r="G139" s="69">
        <v>91</v>
      </c>
      <c r="H139" s="63">
        <f t="shared" si="5"/>
        <v>9.5337873232058667E-2</v>
      </c>
    </row>
    <row r="140" spans="1:8">
      <c r="A140" s="46">
        <v>344</v>
      </c>
      <c r="B140" s="25" t="s">
        <v>566</v>
      </c>
      <c r="C140" s="25" t="s">
        <v>217</v>
      </c>
      <c r="D140" s="53">
        <v>323</v>
      </c>
      <c r="E140" s="47">
        <v>168</v>
      </c>
      <c r="F140" s="72">
        <f t="shared" si="4"/>
        <v>0.52012383900928794</v>
      </c>
      <c r="G140" s="69">
        <v>33</v>
      </c>
      <c r="H140" s="63">
        <f t="shared" si="5"/>
        <v>0.1021671826625387</v>
      </c>
    </row>
    <row r="141" spans="1:8">
      <c r="A141" s="46">
        <v>345</v>
      </c>
      <c r="B141" s="25" t="s">
        <v>567</v>
      </c>
      <c r="C141" s="25" t="s">
        <v>219</v>
      </c>
      <c r="D141" s="53">
        <v>3546.5</v>
      </c>
      <c r="E141" s="47">
        <v>799</v>
      </c>
      <c r="F141" s="72">
        <f t="shared" si="4"/>
        <v>0.22529254194276047</v>
      </c>
      <c r="G141" s="69">
        <v>370</v>
      </c>
      <c r="H141" s="63">
        <f t="shared" si="5"/>
        <v>0.10432821091216693</v>
      </c>
    </row>
    <row r="142" spans="1:8">
      <c r="A142" s="46">
        <v>346</v>
      </c>
      <c r="B142" s="25" t="s">
        <v>568</v>
      </c>
      <c r="C142" s="25" t="s">
        <v>217</v>
      </c>
      <c r="D142" s="53">
        <v>519.1</v>
      </c>
      <c r="E142" s="47">
        <v>223</v>
      </c>
      <c r="F142" s="72">
        <f t="shared" si="4"/>
        <v>0.42958967443652474</v>
      </c>
      <c r="G142" s="69">
        <v>53</v>
      </c>
      <c r="H142" s="63">
        <f t="shared" si="5"/>
        <v>0.10209978809477942</v>
      </c>
    </row>
    <row r="143" spans="1:8">
      <c r="A143" s="46">
        <v>347</v>
      </c>
      <c r="B143" s="25" t="s">
        <v>569</v>
      </c>
      <c r="C143" s="25" t="s">
        <v>222</v>
      </c>
      <c r="D143" s="53">
        <v>357.5</v>
      </c>
      <c r="E143" s="47">
        <v>160</v>
      </c>
      <c r="F143" s="72">
        <f t="shared" si="4"/>
        <v>0.44755244755244755</v>
      </c>
      <c r="G143" s="69">
        <v>46</v>
      </c>
      <c r="H143" s="63">
        <f t="shared" si="5"/>
        <v>0.12867132867132866</v>
      </c>
    </row>
    <row r="144" spans="1:8">
      <c r="A144" s="46">
        <v>348</v>
      </c>
      <c r="B144" s="25" t="s">
        <v>570</v>
      </c>
      <c r="C144" s="25" t="s">
        <v>224</v>
      </c>
      <c r="D144" s="53">
        <v>1336.4</v>
      </c>
      <c r="E144" s="47">
        <v>242</v>
      </c>
      <c r="F144" s="72">
        <f t="shared" si="4"/>
        <v>0.18108350793175695</v>
      </c>
      <c r="G144" s="69">
        <v>125</v>
      </c>
      <c r="H144" s="63">
        <f t="shared" si="5"/>
        <v>9.3534869799461226E-2</v>
      </c>
    </row>
    <row r="145" spans="1:8">
      <c r="A145" s="46">
        <v>349</v>
      </c>
      <c r="B145" s="25" t="s">
        <v>226</v>
      </c>
      <c r="C145" s="25" t="s">
        <v>226</v>
      </c>
      <c r="D145" s="53">
        <v>268.8</v>
      </c>
      <c r="E145" s="47">
        <v>94</v>
      </c>
      <c r="F145" s="72">
        <f t="shared" si="4"/>
        <v>0.34970238095238093</v>
      </c>
      <c r="G145" s="69">
        <v>49</v>
      </c>
      <c r="H145" s="63">
        <f t="shared" si="5"/>
        <v>0.18229166666666666</v>
      </c>
    </row>
    <row r="146" spans="1:8">
      <c r="A146" s="46">
        <v>350</v>
      </c>
      <c r="B146" s="25" t="s">
        <v>571</v>
      </c>
      <c r="C146" s="25" t="s">
        <v>226</v>
      </c>
      <c r="D146" s="53">
        <v>327.5</v>
      </c>
      <c r="E146" s="47">
        <v>123</v>
      </c>
      <c r="F146" s="72">
        <f t="shared" si="4"/>
        <v>0.37557251908396949</v>
      </c>
      <c r="G146" s="69">
        <v>68</v>
      </c>
      <c r="H146" s="63">
        <f t="shared" si="5"/>
        <v>0.20763358778625954</v>
      </c>
    </row>
    <row r="147" spans="1:8">
      <c r="A147" s="46">
        <v>351</v>
      </c>
      <c r="B147" s="25" t="s">
        <v>572</v>
      </c>
      <c r="C147" s="25" t="s">
        <v>226</v>
      </c>
      <c r="D147" s="53">
        <v>264.10000000000002</v>
      </c>
      <c r="E147" s="47">
        <v>108</v>
      </c>
      <c r="F147" s="72">
        <f t="shared" si="4"/>
        <v>0.40893600908746686</v>
      </c>
      <c r="G147" s="69">
        <v>38</v>
      </c>
      <c r="H147" s="63">
        <f t="shared" si="5"/>
        <v>0.14388489208633093</v>
      </c>
    </row>
    <row r="148" spans="1:8">
      <c r="A148" s="46">
        <v>352</v>
      </c>
      <c r="B148" s="25" t="s">
        <v>573</v>
      </c>
      <c r="C148" s="25" t="s">
        <v>230</v>
      </c>
      <c r="D148" s="53">
        <v>899.5</v>
      </c>
      <c r="E148" s="47">
        <v>354</v>
      </c>
      <c r="F148" s="72">
        <f t="shared" si="4"/>
        <v>0.39355197331851027</v>
      </c>
      <c r="G148" s="69">
        <v>104</v>
      </c>
      <c r="H148" s="63">
        <f t="shared" si="5"/>
        <v>0.11561978877153975</v>
      </c>
    </row>
    <row r="149" spans="1:8">
      <c r="A149" s="46">
        <v>353</v>
      </c>
      <c r="B149" s="25" t="s">
        <v>574</v>
      </c>
      <c r="C149" s="25" t="s">
        <v>232</v>
      </c>
      <c r="D149" s="53">
        <v>1648.3</v>
      </c>
      <c r="E149" s="47">
        <v>724</v>
      </c>
      <c r="F149" s="72">
        <f t="shared" si="4"/>
        <v>0.43924042953345871</v>
      </c>
      <c r="G149" s="69">
        <v>219</v>
      </c>
      <c r="H149" s="63">
        <f t="shared" si="5"/>
        <v>0.13286416307710974</v>
      </c>
    </row>
    <row r="150" spans="1:8">
      <c r="A150" s="46">
        <v>354</v>
      </c>
      <c r="B150" s="25" t="s">
        <v>575</v>
      </c>
      <c r="C150" s="25" t="s">
        <v>234</v>
      </c>
      <c r="D150" s="53">
        <v>210.5</v>
      </c>
      <c r="E150" s="47">
        <v>33</v>
      </c>
      <c r="F150" s="72">
        <f t="shared" si="4"/>
        <v>0.15676959619952494</v>
      </c>
      <c r="G150" s="69">
        <v>18</v>
      </c>
      <c r="H150" s="63">
        <f t="shared" si="5"/>
        <v>8.5510688836104506E-2</v>
      </c>
    </row>
    <row r="151" spans="1:8">
      <c r="A151" s="46">
        <v>355</v>
      </c>
      <c r="B151" s="25" t="s">
        <v>576</v>
      </c>
      <c r="C151" s="25" t="s">
        <v>234</v>
      </c>
      <c r="D151" s="53">
        <v>406.7</v>
      </c>
      <c r="E151" s="47">
        <v>124</v>
      </c>
      <c r="F151" s="72">
        <f t="shared" si="4"/>
        <v>0.30489304155397101</v>
      </c>
      <c r="G151" s="69">
        <v>86</v>
      </c>
      <c r="H151" s="63">
        <f t="shared" si="5"/>
        <v>0.21145807720678633</v>
      </c>
    </row>
    <row r="152" spans="1:8">
      <c r="A152" s="46">
        <v>356</v>
      </c>
      <c r="B152" s="25" t="s">
        <v>577</v>
      </c>
      <c r="C152" s="25" t="s">
        <v>232</v>
      </c>
      <c r="D152" s="53">
        <v>518.79999999999995</v>
      </c>
      <c r="E152" s="47">
        <v>141</v>
      </c>
      <c r="F152" s="72">
        <f t="shared" si="4"/>
        <v>0.271781033153431</v>
      </c>
      <c r="G152" s="69">
        <v>94</v>
      </c>
      <c r="H152" s="63">
        <f t="shared" si="5"/>
        <v>0.18118735543562067</v>
      </c>
    </row>
    <row r="153" spans="1:8">
      <c r="A153" s="46">
        <v>357</v>
      </c>
      <c r="B153" s="25" t="s">
        <v>578</v>
      </c>
      <c r="C153" s="25" t="s">
        <v>232</v>
      </c>
      <c r="D153" s="53">
        <v>656.5</v>
      </c>
      <c r="E153" s="47">
        <v>225</v>
      </c>
      <c r="F153" s="72">
        <f t="shared" si="4"/>
        <v>0.3427265803503427</v>
      </c>
      <c r="G153" s="69">
        <v>89</v>
      </c>
      <c r="H153" s="63">
        <f t="shared" si="5"/>
        <v>0.13556740289413557</v>
      </c>
    </row>
    <row r="154" spans="1:8">
      <c r="A154" s="46">
        <v>358</v>
      </c>
      <c r="B154" s="25" t="s">
        <v>579</v>
      </c>
      <c r="C154" s="25" t="s">
        <v>232</v>
      </c>
      <c r="D154" s="53">
        <v>333.5</v>
      </c>
      <c r="E154" s="47">
        <v>91</v>
      </c>
      <c r="F154" s="72">
        <f t="shared" si="4"/>
        <v>0.27286356821589203</v>
      </c>
      <c r="G154" s="69">
        <v>46</v>
      </c>
      <c r="H154" s="63">
        <f t="shared" si="5"/>
        <v>0.13793103448275862</v>
      </c>
    </row>
    <row r="155" spans="1:8">
      <c r="A155" s="46">
        <v>359</v>
      </c>
      <c r="B155" s="25" t="s">
        <v>580</v>
      </c>
      <c r="C155" s="25" t="s">
        <v>232</v>
      </c>
      <c r="D155" s="53">
        <v>179.5</v>
      </c>
      <c r="E155" s="47">
        <v>47</v>
      </c>
      <c r="F155" s="72">
        <f t="shared" si="4"/>
        <v>0.2618384401114206</v>
      </c>
      <c r="G155" s="69">
        <v>15</v>
      </c>
      <c r="H155" s="63">
        <f t="shared" si="5"/>
        <v>8.3565459610027856E-2</v>
      </c>
    </row>
    <row r="156" spans="1:8">
      <c r="A156" s="46">
        <v>360</v>
      </c>
      <c r="B156" s="25" t="s">
        <v>581</v>
      </c>
      <c r="C156" s="25" t="s">
        <v>232</v>
      </c>
      <c r="D156" s="53">
        <v>234</v>
      </c>
      <c r="E156" s="47">
        <v>112</v>
      </c>
      <c r="F156" s="72">
        <f t="shared" si="4"/>
        <v>0.47863247863247865</v>
      </c>
      <c r="G156" s="69">
        <v>27</v>
      </c>
      <c r="H156" s="63">
        <f t="shared" si="5"/>
        <v>0.11538461538461539</v>
      </c>
    </row>
    <row r="157" spans="1:8">
      <c r="A157" s="46">
        <v>361</v>
      </c>
      <c r="B157" s="25" t="s">
        <v>582</v>
      </c>
      <c r="C157" s="25" t="s">
        <v>242</v>
      </c>
      <c r="D157" s="53">
        <v>833.6</v>
      </c>
      <c r="E157" s="47">
        <v>409</v>
      </c>
      <c r="F157" s="72">
        <f t="shared" si="4"/>
        <v>0.4906429942418426</v>
      </c>
      <c r="G157" s="69">
        <v>150</v>
      </c>
      <c r="H157" s="63">
        <f t="shared" si="5"/>
        <v>0.17994241842610365</v>
      </c>
    </row>
    <row r="158" spans="1:8">
      <c r="A158" s="46">
        <v>362</v>
      </c>
      <c r="B158" s="25" t="s">
        <v>583</v>
      </c>
      <c r="C158" s="25" t="s">
        <v>217</v>
      </c>
      <c r="D158" s="53">
        <v>943.4</v>
      </c>
      <c r="E158" s="47">
        <v>368</v>
      </c>
      <c r="F158" s="72">
        <f t="shared" si="4"/>
        <v>0.39007843968624129</v>
      </c>
      <c r="G158" s="69">
        <v>151</v>
      </c>
      <c r="H158" s="63">
        <f t="shared" si="5"/>
        <v>0.16005935976256094</v>
      </c>
    </row>
    <row r="159" spans="1:8">
      <c r="A159" s="46">
        <v>363</v>
      </c>
      <c r="B159" s="25" t="s">
        <v>584</v>
      </c>
      <c r="C159" s="25" t="s">
        <v>245</v>
      </c>
      <c r="D159" s="53">
        <v>939.8</v>
      </c>
      <c r="E159" s="47">
        <v>381</v>
      </c>
      <c r="F159" s="72">
        <f t="shared" si="4"/>
        <v>0.40540540540540543</v>
      </c>
      <c r="G159" s="69">
        <v>139</v>
      </c>
      <c r="H159" s="63">
        <f t="shared" si="5"/>
        <v>0.14790380932113217</v>
      </c>
    </row>
    <row r="160" spans="1:8">
      <c r="A160" s="46">
        <v>364</v>
      </c>
      <c r="B160" s="25" t="s">
        <v>585</v>
      </c>
      <c r="C160" s="25" t="s">
        <v>247</v>
      </c>
      <c r="D160" s="53">
        <v>719.2</v>
      </c>
      <c r="E160" s="47">
        <v>218</v>
      </c>
      <c r="F160" s="72">
        <f t="shared" si="4"/>
        <v>0.30311457174638484</v>
      </c>
      <c r="G160" s="69">
        <v>83</v>
      </c>
      <c r="H160" s="63">
        <f t="shared" si="5"/>
        <v>0.11540600667408231</v>
      </c>
    </row>
    <row r="161" spans="1:8">
      <c r="A161" s="46">
        <v>365</v>
      </c>
      <c r="B161" s="25" t="s">
        <v>586</v>
      </c>
      <c r="C161" s="25" t="s">
        <v>249</v>
      </c>
      <c r="D161" s="53">
        <v>1100.9000000000001</v>
      </c>
      <c r="E161" s="47">
        <v>440</v>
      </c>
      <c r="F161" s="72">
        <f t="shared" si="4"/>
        <v>0.39967299482241797</v>
      </c>
      <c r="G161" s="69">
        <v>161</v>
      </c>
      <c r="H161" s="63">
        <f t="shared" si="5"/>
        <v>0.14624398219638476</v>
      </c>
    </row>
    <row r="162" spans="1:8">
      <c r="A162" s="46">
        <v>366</v>
      </c>
      <c r="B162" s="25" t="s">
        <v>251</v>
      </c>
      <c r="C162" s="25" t="s">
        <v>251</v>
      </c>
      <c r="D162" s="53">
        <v>398.3</v>
      </c>
      <c r="E162" s="47">
        <v>196</v>
      </c>
      <c r="F162" s="72">
        <f t="shared" si="4"/>
        <v>0.49209138840070299</v>
      </c>
      <c r="G162" s="69">
        <v>35</v>
      </c>
      <c r="H162" s="63">
        <f t="shared" si="5"/>
        <v>8.7873462214411252E-2</v>
      </c>
    </row>
    <row r="163" spans="1:8">
      <c r="A163" s="46">
        <v>367</v>
      </c>
      <c r="B163" s="25" t="s">
        <v>587</v>
      </c>
      <c r="C163" s="25" t="s">
        <v>253</v>
      </c>
      <c r="D163" s="53">
        <v>1137</v>
      </c>
      <c r="E163" s="47">
        <v>581</v>
      </c>
      <c r="F163" s="72">
        <f t="shared" si="4"/>
        <v>0.51099384344766929</v>
      </c>
      <c r="G163" s="69">
        <v>184</v>
      </c>
      <c r="H163" s="63">
        <f t="shared" si="5"/>
        <v>0.16182937554969218</v>
      </c>
    </row>
    <row r="164" spans="1:8">
      <c r="A164" s="46">
        <v>368</v>
      </c>
      <c r="B164" s="25" t="s">
        <v>588</v>
      </c>
      <c r="C164" s="25" t="s">
        <v>253</v>
      </c>
      <c r="D164" s="53">
        <v>2028.1</v>
      </c>
      <c r="E164" s="47">
        <v>508</v>
      </c>
      <c r="F164" s="72">
        <f t="shared" si="4"/>
        <v>0.25048074552536859</v>
      </c>
      <c r="G164" s="69">
        <v>208</v>
      </c>
      <c r="H164" s="63">
        <f t="shared" si="5"/>
        <v>0.10255904541196194</v>
      </c>
    </row>
    <row r="165" spans="1:8">
      <c r="A165" s="46">
        <v>369</v>
      </c>
      <c r="B165" s="25" t="s">
        <v>589</v>
      </c>
      <c r="C165" s="25" t="s">
        <v>256</v>
      </c>
      <c r="D165" s="53">
        <v>237.7</v>
      </c>
      <c r="E165" s="47">
        <v>122</v>
      </c>
      <c r="F165" s="72">
        <f t="shared" si="4"/>
        <v>0.51325199831720658</v>
      </c>
      <c r="G165" s="69">
        <v>27</v>
      </c>
      <c r="H165" s="63">
        <f t="shared" si="5"/>
        <v>0.11358855700462769</v>
      </c>
    </row>
    <row r="166" spans="1:8">
      <c r="A166" s="46">
        <v>371</v>
      </c>
      <c r="B166" s="25" t="s">
        <v>590</v>
      </c>
      <c r="C166" s="25" t="s">
        <v>16</v>
      </c>
      <c r="D166" s="53">
        <v>234.3</v>
      </c>
      <c r="E166" s="47">
        <v>67</v>
      </c>
      <c r="F166" s="72">
        <f t="shared" si="4"/>
        <v>0.28595817328211692</v>
      </c>
      <c r="G166" s="69">
        <v>43</v>
      </c>
      <c r="H166" s="63">
        <f t="shared" si="5"/>
        <v>0.18352539479300042</v>
      </c>
    </row>
    <row r="167" spans="1:8">
      <c r="A167" s="46">
        <v>372</v>
      </c>
      <c r="B167" s="25" t="s">
        <v>591</v>
      </c>
      <c r="C167" s="25" t="s">
        <v>219</v>
      </c>
      <c r="D167" s="53">
        <v>742.9</v>
      </c>
      <c r="E167" s="47">
        <v>111</v>
      </c>
      <c r="F167" s="72">
        <f t="shared" si="4"/>
        <v>0.14941445685825819</v>
      </c>
      <c r="G167" s="69">
        <v>49</v>
      </c>
      <c r="H167" s="63">
        <f t="shared" si="5"/>
        <v>6.5957733207699556E-2</v>
      </c>
    </row>
    <row r="168" spans="1:8">
      <c r="A168" s="46">
        <v>373</v>
      </c>
      <c r="B168" s="25" t="s">
        <v>592</v>
      </c>
      <c r="C168" s="25" t="s">
        <v>256</v>
      </c>
      <c r="D168" s="53">
        <v>3401.6</v>
      </c>
      <c r="E168" s="47">
        <v>1452</v>
      </c>
      <c r="F168" s="72">
        <f t="shared" si="4"/>
        <v>0.42685794920037629</v>
      </c>
      <c r="G168" s="69">
        <v>498</v>
      </c>
      <c r="H168" s="63">
        <f t="shared" si="5"/>
        <v>0.14640169332079023</v>
      </c>
    </row>
    <row r="169" spans="1:8">
      <c r="A169" s="46">
        <v>374</v>
      </c>
      <c r="B169" s="25" t="s">
        <v>593</v>
      </c>
      <c r="C169" s="25" t="s">
        <v>261</v>
      </c>
      <c r="D169" s="53">
        <v>478.5</v>
      </c>
      <c r="E169" s="47">
        <v>226</v>
      </c>
      <c r="F169" s="72">
        <f t="shared" si="4"/>
        <v>0.4723092998955068</v>
      </c>
      <c r="G169" s="69">
        <v>62</v>
      </c>
      <c r="H169" s="63">
        <f t="shared" si="5"/>
        <v>0.12957157784743992</v>
      </c>
    </row>
    <row r="170" spans="1:8">
      <c r="A170" s="46">
        <v>375</v>
      </c>
      <c r="B170" s="25" t="s">
        <v>594</v>
      </c>
      <c r="C170" s="25" t="s">
        <v>42</v>
      </c>
      <c r="D170" s="53">
        <v>1628.2</v>
      </c>
      <c r="E170" s="47">
        <v>322</v>
      </c>
      <c r="F170" s="72">
        <f t="shared" si="4"/>
        <v>0.19776440240756663</v>
      </c>
      <c r="G170" s="69">
        <v>156</v>
      </c>
      <c r="H170" s="63">
        <f t="shared" si="5"/>
        <v>9.5811325390001228E-2</v>
      </c>
    </row>
    <row r="171" spans="1:8">
      <c r="A171" s="46">
        <v>376</v>
      </c>
      <c r="B171" s="25" t="s">
        <v>595</v>
      </c>
      <c r="C171" s="25" t="s">
        <v>264</v>
      </c>
      <c r="D171" s="53">
        <v>530.5</v>
      </c>
      <c r="E171" s="47">
        <v>170</v>
      </c>
      <c r="F171" s="72">
        <f t="shared" si="4"/>
        <v>0.32045240339302544</v>
      </c>
      <c r="G171" s="69">
        <v>59</v>
      </c>
      <c r="H171" s="63">
        <f t="shared" si="5"/>
        <v>0.11121583411875589</v>
      </c>
    </row>
    <row r="172" spans="1:8">
      <c r="A172" s="46">
        <v>377</v>
      </c>
      <c r="B172" s="25" t="s">
        <v>596</v>
      </c>
      <c r="C172" s="25" t="s">
        <v>266</v>
      </c>
      <c r="D172" s="53">
        <v>664.6</v>
      </c>
      <c r="E172" s="47">
        <v>259</v>
      </c>
      <c r="F172" s="72">
        <f t="shared" si="4"/>
        <v>0.38970809509479387</v>
      </c>
      <c r="G172" s="69">
        <v>81</v>
      </c>
      <c r="H172" s="63">
        <f t="shared" si="5"/>
        <v>0.12187782124586218</v>
      </c>
    </row>
    <row r="173" spans="1:8">
      <c r="A173" s="46">
        <v>378</v>
      </c>
      <c r="B173" s="25" t="s">
        <v>597</v>
      </c>
      <c r="C173" s="25" t="s">
        <v>268</v>
      </c>
      <c r="D173" s="53">
        <v>698.5</v>
      </c>
      <c r="E173" s="47">
        <v>120</v>
      </c>
      <c r="F173" s="72">
        <f t="shared" si="4"/>
        <v>0.17179670722977811</v>
      </c>
      <c r="G173" s="69">
        <v>115</v>
      </c>
      <c r="H173" s="63">
        <f t="shared" si="5"/>
        <v>0.164638511095204</v>
      </c>
    </row>
    <row r="174" spans="1:8">
      <c r="A174" s="46">
        <v>379</v>
      </c>
      <c r="B174" s="25" t="s">
        <v>598</v>
      </c>
      <c r="C174" s="25" t="s">
        <v>270</v>
      </c>
      <c r="D174" s="53">
        <v>1359.3</v>
      </c>
      <c r="E174" s="47">
        <v>349</v>
      </c>
      <c r="F174" s="72">
        <f t="shared" si="4"/>
        <v>0.25674979768998751</v>
      </c>
      <c r="G174" s="69">
        <v>186</v>
      </c>
      <c r="H174" s="63">
        <f t="shared" si="5"/>
        <v>0.13683513573162659</v>
      </c>
    </row>
    <row r="175" spans="1:8">
      <c r="A175" s="46">
        <v>380</v>
      </c>
      <c r="B175" s="25" t="s">
        <v>599</v>
      </c>
      <c r="C175" s="25" t="s">
        <v>247</v>
      </c>
      <c r="D175" s="53">
        <v>529.1</v>
      </c>
      <c r="E175" s="47">
        <v>139</v>
      </c>
      <c r="F175" s="72">
        <f t="shared" si="4"/>
        <v>0.26271026271026271</v>
      </c>
      <c r="G175" s="69">
        <v>75</v>
      </c>
      <c r="H175" s="63">
        <f t="shared" si="5"/>
        <v>0.14175014175014175</v>
      </c>
    </row>
    <row r="176" spans="1:8">
      <c r="A176" s="46">
        <v>381</v>
      </c>
      <c r="B176" s="25" t="s">
        <v>600</v>
      </c>
      <c r="C176" s="25" t="s">
        <v>273</v>
      </c>
      <c r="D176" s="53">
        <v>358</v>
      </c>
      <c r="E176" s="47">
        <v>58</v>
      </c>
      <c r="F176" s="72">
        <f t="shared" si="4"/>
        <v>0.16201117318435754</v>
      </c>
      <c r="G176" s="69">
        <v>44</v>
      </c>
      <c r="H176" s="63">
        <f t="shared" si="5"/>
        <v>0.12290502793296089</v>
      </c>
    </row>
    <row r="177" spans="1:8">
      <c r="A177" s="46">
        <v>382</v>
      </c>
      <c r="B177" s="25" t="s">
        <v>275</v>
      </c>
      <c r="C177" s="25" t="s">
        <v>275</v>
      </c>
      <c r="D177" s="53">
        <v>1115.2</v>
      </c>
      <c r="E177" s="47">
        <v>338</v>
      </c>
      <c r="F177" s="72">
        <f t="shared" si="4"/>
        <v>0.30308464849354377</v>
      </c>
      <c r="G177" s="69">
        <v>119</v>
      </c>
      <c r="H177" s="63">
        <f t="shared" si="5"/>
        <v>0.10670731707317073</v>
      </c>
    </row>
    <row r="178" spans="1:8">
      <c r="A178" s="46">
        <v>383</v>
      </c>
      <c r="B178" s="25" t="s">
        <v>601</v>
      </c>
      <c r="C178" s="25" t="s">
        <v>268</v>
      </c>
      <c r="D178" s="53">
        <v>5953.8</v>
      </c>
      <c r="E178" s="47">
        <v>1526</v>
      </c>
      <c r="F178" s="72">
        <f t="shared" si="4"/>
        <v>0.25630689643588966</v>
      </c>
      <c r="G178" s="69">
        <v>604</v>
      </c>
      <c r="H178" s="63">
        <f t="shared" si="5"/>
        <v>0.10144781484094191</v>
      </c>
    </row>
    <row r="179" spans="1:8">
      <c r="A179" s="46">
        <v>384</v>
      </c>
      <c r="B179" s="25" t="s">
        <v>469</v>
      </c>
      <c r="C179" s="25" t="s">
        <v>268</v>
      </c>
      <c r="D179" s="53">
        <v>217.5</v>
      </c>
      <c r="E179" s="47">
        <v>43</v>
      </c>
      <c r="F179" s="72">
        <f t="shared" si="4"/>
        <v>0.19770114942528735</v>
      </c>
      <c r="G179" s="69">
        <v>38</v>
      </c>
      <c r="H179" s="63">
        <f t="shared" si="5"/>
        <v>0.17471264367816092</v>
      </c>
    </row>
    <row r="180" spans="1:8">
      <c r="A180" s="46">
        <v>385</v>
      </c>
      <c r="B180" s="25" t="s">
        <v>602</v>
      </c>
      <c r="C180" s="25" t="s">
        <v>42</v>
      </c>
      <c r="D180" s="53">
        <v>4699.5</v>
      </c>
      <c r="E180" s="47">
        <v>501</v>
      </c>
      <c r="F180" s="72">
        <f t="shared" si="4"/>
        <v>0.10660708586019789</v>
      </c>
      <c r="G180" s="69">
        <v>242</v>
      </c>
      <c r="H180" s="63">
        <f t="shared" si="5"/>
        <v>5.1494839876582613E-2</v>
      </c>
    </row>
    <row r="181" spans="1:8">
      <c r="A181" s="46">
        <v>386</v>
      </c>
      <c r="B181" s="25" t="s">
        <v>603</v>
      </c>
      <c r="C181" s="25" t="s">
        <v>280</v>
      </c>
      <c r="D181" s="53">
        <v>230.2</v>
      </c>
      <c r="E181" s="47">
        <v>80</v>
      </c>
      <c r="F181" s="72">
        <f t="shared" si="4"/>
        <v>0.34752389226759339</v>
      </c>
      <c r="G181" s="69">
        <v>32</v>
      </c>
      <c r="H181" s="63">
        <f t="shared" si="5"/>
        <v>0.13900955690703737</v>
      </c>
    </row>
    <row r="182" spans="1:8">
      <c r="A182" s="46">
        <v>387</v>
      </c>
      <c r="B182" s="25" t="s">
        <v>604</v>
      </c>
      <c r="C182" s="25" t="s">
        <v>282</v>
      </c>
      <c r="D182" s="53">
        <v>182.7</v>
      </c>
      <c r="E182" s="47">
        <v>98</v>
      </c>
      <c r="F182" s="72">
        <f t="shared" si="4"/>
        <v>0.53639846743295028</v>
      </c>
      <c r="G182" s="69">
        <v>24</v>
      </c>
      <c r="H182" s="63">
        <f t="shared" si="5"/>
        <v>0.13136288998357964</v>
      </c>
    </row>
    <row r="183" spans="1:8">
      <c r="A183" s="46">
        <v>388</v>
      </c>
      <c r="B183" s="25" t="s">
        <v>284</v>
      </c>
      <c r="C183" s="25" t="s">
        <v>284</v>
      </c>
      <c r="D183" s="53">
        <v>392.6</v>
      </c>
      <c r="E183" s="47">
        <v>96</v>
      </c>
      <c r="F183" s="72">
        <f t="shared" si="4"/>
        <v>0.24452368823229748</v>
      </c>
      <c r="G183" s="69">
        <v>42</v>
      </c>
      <c r="H183" s="63">
        <f t="shared" si="5"/>
        <v>0.10697911360163015</v>
      </c>
    </row>
    <row r="184" spans="1:8">
      <c r="A184" s="46">
        <v>389</v>
      </c>
      <c r="B184" s="25" t="s">
        <v>605</v>
      </c>
      <c r="C184" s="25" t="s">
        <v>280</v>
      </c>
      <c r="D184" s="53">
        <v>609</v>
      </c>
      <c r="E184" s="47">
        <v>293</v>
      </c>
      <c r="F184" s="72">
        <f t="shared" si="4"/>
        <v>0.48111658456486045</v>
      </c>
      <c r="G184" s="69">
        <v>69</v>
      </c>
      <c r="H184" s="63">
        <f t="shared" si="5"/>
        <v>0.11330049261083744</v>
      </c>
    </row>
    <row r="185" spans="1:8">
      <c r="A185" s="46">
        <v>390</v>
      </c>
      <c r="B185" s="25" t="s">
        <v>408</v>
      </c>
      <c r="C185" s="25" t="s">
        <v>280</v>
      </c>
      <c r="D185" s="53">
        <v>93.5</v>
      </c>
      <c r="E185" s="47">
        <v>52</v>
      </c>
      <c r="F185" s="72">
        <f t="shared" si="4"/>
        <v>0.55614973262032086</v>
      </c>
      <c r="G185" s="69">
        <v>13</v>
      </c>
      <c r="H185" s="63">
        <f t="shared" si="5"/>
        <v>0.13903743315508021</v>
      </c>
    </row>
    <row r="186" spans="1:8">
      <c r="A186" s="46">
        <v>392</v>
      </c>
      <c r="B186" s="25" t="s">
        <v>288</v>
      </c>
      <c r="C186" s="25" t="s">
        <v>288</v>
      </c>
      <c r="D186" s="53">
        <v>331.9</v>
      </c>
      <c r="E186" s="47">
        <v>163</v>
      </c>
      <c r="F186" s="72">
        <f t="shared" si="4"/>
        <v>0.49111178065682437</v>
      </c>
      <c r="G186" s="69">
        <v>32</v>
      </c>
      <c r="H186" s="63">
        <f t="shared" si="5"/>
        <v>9.641458270563423E-2</v>
      </c>
    </row>
    <row r="187" spans="1:8">
      <c r="A187" s="46">
        <v>393</v>
      </c>
      <c r="B187" s="25" t="s">
        <v>606</v>
      </c>
      <c r="C187" s="25" t="s">
        <v>290</v>
      </c>
      <c r="D187" s="53">
        <v>369</v>
      </c>
      <c r="E187" s="47">
        <v>112</v>
      </c>
      <c r="F187" s="72">
        <f t="shared" si="4"/>
        <v>0.30352303523035229</v>
      </c>
      <c r="G187" s="69">
        <v>76</v>
      </c>
      <c r="H187" s="63">
        <f t="shared" si="5"/>
        <v>0.20596205962059622</v>
      </c>
    </row>
    <row r="188" spans="1:8">
      <c r="A188" s="46">
        <v>394</v>
      </c>
      <c r="B188" s="25" t="s">
        <v>607</v>
      </c>
      <c r="C188" s="25" t="s">
        <v>42</v>
      </c>
      <c r="D188" s="53">
        <v>1724.7</v>
      </c>
      <c r="E188" s="47">
        <v>308</v>
      </c>
      <c r="F188" s="72">
        <f t="shared" si="4"/>
        <v>0.1785817823389575</v>
      </c>
      <c r="G188" s="69">
        <v>133</v>
      </c>
      <c r="H188" s="63">
        <f t="shared" si="5"/>
        <v>7.7114860555458922E-2</v>
      </c>
    </row>
    <row r="189" spans="1:8">
      <c r="A189" s="46">
        <v>395</v>
      </c>
      <c r="B189" s="25" t="s">
        <v>608</v>
      </c>
      <c r="C189" s="25" t="s">
        <v>293</v>
      </c>
      <c r="D189" s="53">
        <v>294.5</v>
      </c>
      <c r="E189" s="47">
        <v>122</v>
      </c>
      <c r="F189" s="72">
        <f t="shared" si="4"/>
        <v>0.4142614601018676</v>
      </c>
      <c r="G189" s="69">
        <v>33</v>
      </c>
      <c r="H189" s="63">
        <f t="shared" si="5"/>
        <v>0.11205432937181664</v>
      </c>
    </row>
    <row r="190" spans="1:8">
      <c r="A190" s="46">
        <v>396</v>
      </c>
      <c r="B190" s="25" t="s">
        <v>609</v>
      </c>
      <c r="C190" s="25" t="s">
        <v>42</v>
      </c>
      <c r="D190" s="53">
        <v>736.8</v>
      </c>
      <c r="E190" s="47">
        <v>168</v>
      </c>
      <c r="F190" s="72">
        <f t="shared" si="4"/>
        <v>0.22801302931596093</v>
      </c>
      <c r="G190" s="69">
        <v>65</v>
      </c>
      <c r="H190" s="63">
        <f t="shared" si="5"/>
        <v>8.8219326818675364E-2</v>
      </c>
    </row>
    <row r="191" spans="1:8">
      <c r="A191" s="46">
        <v>397</v>
      </c>
      <c r="B191" s="25" t="s">
        <v>610</v>
      </c>
      <c r="C191" s="25" t="s">
        <v>296</v>
      </c>
      <c r="D191" s="53">
        <v>246</v>
      </c>
      <c r="E191" s="47">
        <v>80</v>
      </c>
      <c r="F191" s="72">
        <f t="shared" si="4"/>
        <v>0.32520325203252032</v>
      </c>
      <c r="G191" s="69">
        <v>40</v>
      </c>
      <c r="H191" s="63">
        <f t="shared" si="5"/>
        <v>0.16260162601626016</v>
      </c>
    </row>
    <row r="192" spans="1:8">
      <c r="A192" s="46">
        <v>398</v>
      </c>
      <c r="B192" s="25" t="s">
        <v>611</v>
      </c>
      <c r="C192" s="25" t="s">
        <v>296</v>
      </c>
      <c r="D192" s="53">
        <v>325.7</v>
      </c>
      <c r="E192" s="47">
        <v>155</v>
      </c>
      <c r="F192" s="72">
        <f t="shared" si="4"/>
        <v>0.47589806570463616</v>
      </c>
      <c r="G192" s="69">
        <v>51</v>
      </c>
      <c r="H192" s="63">
        <f t="shared" si="5"/>
        <v>0.15658581516733192</v>
      </c>
    </row>
    <row r="193" spans="1:8">
      <c r="A193" s="46">
        <v>399</v>
      </c>
      <c r="B193" s="25" t="s">
        <v>612</v>
      </c>
      <c r="C193" s="25" t="s">
        <v>299</v>
      </c>
      <c r="D193" s="53">
        <v>122.3</v>
      </c>
      <c r="E193" s="47">
        <v>28</v>
      </c>
      <c r="F193" s="72">
        <f t="shared" si="4"/>
        <v>0.22894521668029436</v>
      </c>
      <c r="G193" s="69">
        <v>30</v>
      </c>
      <c r="H193" s="63">
        <f t="shared" si="5"/>
        <v>0.24529844644317253</v>
      </c>
    </row>
    <row r="194" spans="1:8">
      <c r="A194" s="46">
        <v>400</v>
      </c>
      <c r="B194" s="25" t="s">
        <v>613</v>
      </c>
      <c r="C194" s="25" t="s">
        <v>301</v>
      </c>
      <c r="D194" s="53">
        <v>993.5</v>
      </c>
      <c r="E194" s="47">
        <v>203</v>
      </c>
      <c r="F194" s="72">
        <f t="shared" si="4"/>
        <v>0.20432813286361348</v>
      </c>
      <c r="G194" s="69">
        <v>146</v>
      </c>
      <c r="H194" s="63">
        <f t="shared" si="5"/>
        <v>0.14695520885757424</v>
      </c>
    </row>
    <row r="195" spans="1:8">
      <c r="A195" s="46">
        <v>401</v>
      </c>
      <c r="B195" s="25" t="s">
        <v>144</v>
      </c>
      <c r="C195" s="25" t="s">
        <v>264</v>
      </c>
      <c r="D195" s="53">
        <v>138.5</v>
      </c>
      <c r="E195" s="47">
        <v>84</v>
      </c>
      <c r="F195" s="72">
        <f t="shared" si="4"/>
        <v>0.60649819494584833</v>
      </c>
      <c r="G195" s="69">
        <v>21</v>
      </c>
      <c r="H195" s="63">
        <f t="shared" si="5"/>
        <v>0.15162454873646208</v>
      </c>
    </row>
    <row r="196" spans="1:8">
      <c r="A196" s="46">
        <v>402</v>
      </c>
      <c r="B196" s="25" t="s">
        <v>614</v>
      </c>
      <c r="C196" s="25" t="s">
        <v>42</v>
      </c>
      <c r="D196" s="53">
        <v>2179.5</v>
      </c>
      <c r="E196" s="47">
        <v>597</v>
      </c>
      <c r="F196" s="72">
        <f t="shared" si="4"/>
        <v>0.27391603578802476</v>
      </c>
      <c r="G196" s="69">
        <v>263</v>
      </c>
      <c r="H196" s="63">
        <f t="shared" si="5"/>
        <v>0.12066987841247993</v>
      </c>
    </row>
    <row r="197" spans="1:8">
      <c r="A197" s="46">
        <v>403</v>
      </c>
      <c r="B197" s="25" t="s">
        <v>615</v>
      </c>
      <c r="C197" s="25" t="s">
        <v>293</v>
      </c>
      <c r="D197" s="53">
        <v>177</v>
      </c>
      <c r="E197" s="47">
        <v>52</v>
      </c>
      <c r="F197" s="72">
        <f t="shared" si="4"/>
        <v>0.29378531073446329</v>
      </c>
      <c r="G197" s="69">
        <v>18</v>
      </c>
      <c r="H197" s="63">
        <f t="shared" si="5"/>
        <v>0.10169491525423729</v>
      </c>
    </row>
    <row r="198" spans="1:8">
      <c r="A198" s="46">
        <v>404</v>
      </c>
      <c r="B198" s="25" t="s">
        <v>616</v>
      </c>
      <c r="C198" s="25" t="s">
        <v>306</v>
      </c>
      <c r="D198" s="53">
        <v>794.5</v>
      </c>
      <c r="E198" s="47">
        <v>352</v>
      </c>
      <c r="F198" s="72">
        <f t="shared" ref="F198:F261" si="6">E198/D198</f>
        <v>0.44304594084329768</v>
      </c>
      <c r="G198" s="69">
        <v>119</v>
      </c>
      <c r="H198" s="63">
        <f t="shared" ref="H198:H261" si="7">G198/D198</f>
        <v>0.14977973568281938</v>
      </c>
    </row>
    <row r="199" spans="1:8">
      <c r="A199" s="46">
        <v>405</v>
      </c>
      <c r="B199" s="25" t="s">
        <v>617</v>
      </c>
      <c r="C199" s="25" t="s">
        <v>264</v>
      </c>
      <c r="D199" s="53">
        <v>799.4</v>
      </c>
      <c r="E199" s="47">
        <v>472</v>
      </c>
      <c r="F199" s="72">
        <f t="shared" si="6"/>
        <v>0.5904428321240931</v>
      </c>
      <c r="G199" s="69">
        <v>86</v>
      </c>
      <c r="H199" s="63">
        <f t="shared" si="7"/>
        <v>0.1075806855141356</v>
      </c>
    </row>
    <row r="200" spans="1:8">
      <c r="A200" s="46">
        <v>406</v>
      </c>
      <c r="B200" s="25" t="s">
        <v>618</v>
      </c>
      <c r="C200" s="25" t="s">
        <v>34</v>
      </c>
      <c r="D200" s="53">
        <v>409.5</v>
      </c>
      <c r="E200" s="47">
        <v>99</v>
      </c>
      <c r="F200" s="72">
        <f t="shared" si="6"/>
        <v>0.24175824175824176</v>
      </c>
      <c r="G200" s="69">
        <v>48</v>
      </c>
      <c r="H200" s="63">
        <f t="shared" si="7"/>
        <v>0.11721611721611722</v>
      </c>
    </row>
    <row r="201" spans="1:8">
      <c r="A201" s="46">
        <v>407</v>
      </c>
      <c r="B201" s="25" t="s">
        <v>619</v>
      </c>
      <c r="C201" s="25" t="s">
        <v>299</v>
      </c>
      <c r="D201" s="53">
        <v>944.6</v>
      </c>
      <c r="E201" s="47">
        <v>379</v>
      </c>
      <c r="F201" s="72">
        <f t="shared" si="6"/>
        <v>0.40122803302985388</v>
      </c>
      <c r="G201" s="69">
        <v>137</v>
      </c>
      <c r="H201" s="63">
        <f t="shared" si="7"/>
        <v>0.14503493542240101</v>
      </c>
    </row>
    <row r="202" spans="1:8">
      <c r="A202" s="46">
        <v>408</v>
      </c>
      <c r="B202" s="25" t="s">
        <v>296</v>
      </c>
      <c r="C202" s="25" t="s">
        <v>296</v>
      </c>
      <c r="D202" s="53">
        <v>579.5</v>
      </c>
      <c r="E202" s="47">
        <v>166</v>
      </c>
      <c r="F202" s="72">
        <f t="shared" si="6"/>
        <v>0.28645383951682485</v>
      </c>
      <c r="G202" s="69">
        <v>92</v>
      </c>
      <c r="H202" s="63">
        <f t="shared" si="7"/>
        <v>0.15875754961173424</v>
      </c>
    </row>
    <row r="203" spans="1:8">
      <c r="A203" s="46">
        <v>409</v>
      </c>
      <c r="B203" s="25" t="s">
        <v>266</v>
      </c>
      <c r="C203" s="25" t="s">
        <v>266</v>
      </c>
      <c r="D203" s="53">
        <v>1732.1</v>
      </c>
      <c r="E203" s="47">
        <v>892</v>
      </c>
      <c r="F203" s="72">
        <f t="shared" si="6"/>
        <v>0.51498181398302645</v>
      </c>
      <c r="G203" s="69">
        <v>224</v>
      </c>
      <c r="H203" s="63">
        <f t="shared" si="7"/>
        <v>0.12932278736793487</v>
      </c>
    </row>
    <row r="204" spans="1:8">
      <c r="A204" s="46">
        <v>410</v>
      </c>
      <c r="B204" s="25" t="s">
        <v>620</v>
      </c>
      <c r="C204" s="25" t="s">
        <v>296</v>
      </c>
      <c r="D204" s="53">
        <v>587.1</v>
      </c>
      <c r="E204" s="47">
        <v>149</v>
      </c>
      <c r="F204" s="72">
        <f t="shared" si="6"/>
        <v>0.25378981434167941</v>
      </c>
      <c r="G204" s="69">
        <v>81</v>
      </c>
      <c r="H204" s="63">
        <f t="shared" si="7"/>
        <v>0.13796627491057742</v>
      </c>
    </row>
    <row r="205" spans="1:8">
      <c r="A205" s="46">
        <v>411</v>
      </c>
      <c r="B205" s="25" t="s">
        <v>621</v>
      </c>
      <c r="C205" s="25" t="s">
        <v>296</v>
      </c>
      <c r="D205" s="53">
        <v>257.5</v>
      </c>
      <c r="E205" s="47">
        <v>52</v>
      </c>
      <c r="F205" s="72">
        <f t="shared" si="6"/>
        <v>0.20194174757281552</v>
      </c>
      <c r="G205" s="69">
        <v>25</v>
      </c>
      <c r="H205" s="63">
        <f t="shared" si="7"/>
        <v>9.7087378640776698E-2</v>
      </c>
    </row>
    <row r="206" spans="1:8">
      <c r="A206" s="46">
        <v>412</v>
      </c>
      <c r="B206" s="25" t="s">
        <v>622</v>
      </c>
      <c r="C206" s="25" t="s">
        <v>315</v>
      </c>
      <c r="D206" s="53">
        <v>286.7</v>
      </c>
      <c r="E206" s="47">
        <v>67</v>
      </c>
      <c r="F206" s="72">
        <f t="shared" si="6"/>
        <v>0.23369375653993724</v>
      </c>
      <c r="G206" s="69">
        <v>24</v>
      </c>
      <c r="H206" s="63">
        <f t="shared" si="7"/>
        <v>8.3711196372514826E-2</v>
      </c>
    </row>
    <row r="207" spans="1:8">
      <c r="A207" s="46">
        <v>413</v>
      </c>
      <c r="B207" s="25" t="s">
        <v>623</v>
      </c>
      <c r="C207" s="25" t="s">
        <v>14</v>
      </c>
      <c r="D207" s="53">
        <v>1810.9</v>
      </c>
      <c r="E207" s="47">
        <v>861</v>
      </c>
      <c r="F207" s="72">
        <f t="shared" si="6"/>
        <v>0.47545419404715883</v>
      </c>
      <c r="G207" s="69">
        <v>281</v>
      </c>
      <c r="H207" s="63">
        <f t="shared" si="7"/>
        <v>0.15517146170412502</v>
      </c>
    </row>
    <row r="208" spans="1:8">
      <c r="A208" s="46">
        <v>415</v>
      </c>
      <c r="B208" s="25" t="s">
        <v>624</v>
      </c>
      <c r="C208" s="25" t="s">
        <v>318</v>
      </c>
      <c r="D208" s="53">
        <v>835.9</v>
      </c>
      <c r="E208" s="47">
        <v>338</v>
      </c>
      <c r="F208" s="72">
        <f t="shared" si="6"/>
        <v>0.40435458786936235</v>
      </c>
      <c r="G208" s="69">
        <v>109</v>
      </c>
      <c r="H208" s="63">
        <f t="shared" si="7"/>
        <v>0.13039837301112572</v>
      </c>
    </row>
    <row r="209" spans="1:8">
      <c r="A209" s="46">
        <v>416</v>
      </c>
      <c r="B209" s="25" t="s">
        <v>625</v>
      </c>
      <c r="C209" s="25" t="s">
        <v>253</v>
      </c>
      <c r="D209" s="53">
        <v>1674</v>
      </c>
      <c r="E209" s="47">
        <v>232</v>
      </c>
      <c r="F209" s="72">
        <f t="shared" si="6"/>
        <v>0.13859020310633213</v>
      </c>
      <c r="G209" s="69">
        <v>155</v>
      </c>
      <c r="H209" s="63">
        <f t="shared" si="7"/>
        <v>9.2592592592592587E-2</v>
      </c>
    </row>
    <row r="210" spans="1:8">
      <c r="A210" s="46">
        <v>417</v>
      </c>
      <c r="B210" s="25" t="s">
        <v>626</v>
      </c>
      <c r="C210" s="25" t="s">
        <v>321</v>
      </c>
      <c r="D210" s="53">
        <v>750.9</v>
      </c>
      <c r="E210" s="47">
        <v>229</v>
      </c>
      <c r="F210" s="72">
        <f t="shared" si="6"/>
        <v>0.3049673724863497</v>
      </c>
      <c r="G210" s="69">
        <v>101</v>
      </c>
      <c r="H210" s="63">
        <f t="shared" si="7"/>
        <v>0.13450526035424157</v>
      </c>
    </row>
    <row r="211" spans="1:8">
      <c r="A211" s="46">
        <v>418</v>
      </c>
      <c r="B211" s="25" t="s">
        <v>301</v>
      </c>
      <c r="C211" s="25" t="s">
        <v>301</v>
      </c>
      <c r="D211" s="53">
        <v>2251.6</v>
      </c>
      <c r="E211" s="47">
        <v>637</v>
      </c>
      <c r="F211" s="72">
        <f t="shared" si="6"/>
        <v>0.28290993071593534</v>
      </c>
      <c r="G211" s="69">
        <v>275</v>
      </c>
      <c r="H211" s="63">
        <f t="shared" si="7"/>
        <v>0.12213537040326879</v>
      </c>
    </row>
    <row r="212" spans="1:8">
      <c r="A212" s="46">
        <v>419</v>
      </c>
      <c r="B212" s="25" t="s">
        <v>627</v>
      </c>
      <c r="C212" s="25" t="s">
        <v>301</v>
      </c>
      <c r="D212" s="53">
        <v>373.4</v>
      </c>
      <c r="E212" s="47">
        <v>110</v>
      </c>
      <c r="F212" s="72">
        <f t="shared" si="6"/>
        <v>0.29459025174076059</v>
      </c>
      <c r="G212" s="69">
        <v>48</v>
      </c>
      <c r="H212" s="63">
        <f t="shared" si="7"/>
        <v>0.12854847348687734</v>
      </c>
    </row>
    <row r="213" spans="1:8">
      <c r="A213" s="46">
        <v>420</v>
      </c>
      <c r="B213" s="25" t="s">
        <v>628</v>
      </c>
      <c r="C213" s="25" t="s">
        <v>325</v>
      </c>
      <c r="D213" s="53">
        <v>642.70000000000005</v>
      </c>
      <c r="E213" s="47">
        <v>222</v>
      </c>
      <c r="F213" s="72">
        <f t="shared" si="6"/>
        <v>0.34541776878792591</v>
      </c>
      <c r="G213" s="69">
        <v>69</v>
      </c>
      <c r="H213" s="63">
        <f t="shared" si="7"/>
        <v>0.10735957678543644</v>
      </c>
    </row>
    <row r="214" spans="1:8">
      <c r="A214" s="46">
        <v>421</v>
      </c>
      <c r="B214" s="25" t="s">
        <v>629</v>
      </c>
      <c r="C214" s="25" t="s">
        <v>325</v>
      </c>
      <c r="D214" s="53">
        <v>428</v>
      </c>
      <c r="E214" s="47">
        <v>77</v>
      </c>
      <c r="F214" s="72">
        <f t="shared" si="6"/>
        <v>0.17990654205607476</v>
      </c>
      <c r="G214" s="69">
        <v>49</v>
      </c>
      <c r="H214" s="63">
        <f t="shared" si="7"/>
        <v>0.11448598130841121</v>
      </c>
    </row>
    <row r="215" spans="1:8">
      <c r="A215" s="46">
        <v>422</v>
      </c>
      <c r="B215" s="25" t="s">
        <v>630</v>
      </c>
      <c r="C215" s="25" t="s">
        <v>328</v>
      </c>
      <c r="D215" s="53">
        <v>203.8</v>
      </c>
      <c r="E215" s="47">
        <v>51</v>
      </c>
      <c r="F215" s="72">
        <f t="shared" si="6"/>
        <v>0.25024533856722275</v>
      </c>
      <c r="G215" s="69">
        <v>22</v>
      </c>
      <c r="H215" s="63">
        <f t="shared" si="7"/>
        <v>0.10794896957801765</v>
      </c>
    </row>
    <row r="216" spans="1:8">
      <c r="A216" s="46">
        <v>423</v>
      </c>
      <c r="B216" s="25" t="s">
        <v>631</v>
      </c>
      <c r="C216" s="25" t="s">
        <v>301</v>
      </c>
      <c r="D216" s="53">
        <v>415</v>
      </c>
      <c r="E216" s="47">
        <v>103</v>
      </c>
      <c r="F216" s="72">
        <f t="shared" si="6"/>
        <v>0.24819277108433735</v>
      </c>
      <c r="G216" s="69">
        <v>27</v>
      </c>
      <c r="H216" s="63">
        <f t="shared" si="7"/>
        <v>6.5060240963855417E-2</v>
      </c>
    </row>
    <row r="217" spans="1:8">
      <c r="A217" s="46">
        <v>424</v>
      </c>
      <c r="B217" s="25" t="s">
        <v>632</v>
      </c>
      <c r="C217" s="25" t="s">
        <v>328</v>
      </c>
      <c r="D217" s="53">
        <v>222</v>
      </c>
      <c r="E217" s="47">
        <v>27</v>
      </c>
      <c r="F217" s="72">
        <f t="shared" si="6"/>
        <v>0.12162162162162163</v>
      </c>
      <c r="G217" s="69">
        <v>8</v>
      </c>
      <c r="H217" s="63">
        <f t="shared" si="7"/>
        <v>3.6036036036036036E-2</v>
      </c>
    </row>
    <row r="218" spans="1:8">
      <c r="A218" s="46">
        <v>426</v>
      </c>
      <c r="B218" s="25" t="s">
        <v>634</v>
      </c>
      <c r="C218" s="25" t="s">
        <v>30</v>
      </c>
      <c r="D218" s="53">
        <v>247</v>
      </c>
      <c r="E218" s="47">
        <v>89</v>
      </c>
      <c r="F218" s="72">
        <f t="shared" si="6"/>
        <v>0.36032388663967613</v>
      </c>
      <c r="G218" s="69">
        <v>40</v>
      </c>
      <c r="H218" s="63">
        <f t="shared" si="7"/>
        <v>0.16194331983805668</v>
      </c>
    </row>
    <row r="219" spans="1:8">
      <c r="A219" s="46">
        <v>428</v>
      </c>
      <c r="B219" s="25" t="s">
        <v>636</v>
      </c>
      <c r="C219" s="25" t="s">
        <v>234</v>
      </c>
      <c r="D219" s="53">
        <v>3038.7</v>
      </c>
      <c r="E219" s="47">
        <v>1663</v>
      </c>
      <c r="F219" s="72">
        <f t="shared" si="6"/>
        <v>0.54727350511731998</v>
      </c>
      <c r="G219" s="69">
        <v>243</v>
      </c>
      <c r="H219" s="63">
        <f t="shared" si="7"/>
        <v>7.9968407542699182E-2</v>
      </c>
    </row>
    <row r="220" spans="1:8">
      <c r="A220" s="46">
        <v>429</v>
      </c>
      <c r="B220" s="25" t="s">
        <v>637</v>
      </c>
      <c r="C220" s="25" t="s">
        <v>34</v>
      </c>
      <c r="D220" s="53">
        <v>347</v>
      </c>
      <c r="E220" s="47">
        <v>105</v>
      </c>
      <c r="F220" s="72">
        <f t="shared" si="6"/>
        <v>0.30259365994236309</v>
      </c>
      <c r="G220" s="69">
        <v>38</v>
      </c>
      <c r="H220" s="63">
        <f t="shared" si="7"/>
        <v>0.10951008645533142</v>
      </c>
    </row>
    <row r="221" spans="1:8">
      <c r="A221" s="46">
        <v>430</v>
      </c>
      <c r="B221" s="25" t="s">
        <v>638</v>
      </c>
      <c r="C221" s="25" t="s">
        <v>318</v>
      </c>
      <c r="D221" s="53">
        <v>617.20000000000005</v>
      </c>
      <c r="E221" s="47">
        <v>332</v>
      </c>
      <c r="F221" s="72">
        <f t="shared" si="6"/>
        <v>0.53791315618924174</v>
      </c>
      <c r="G221" s="69">
        <v>88</v>
      </c>
      <c r="H221" s="63">
        <f t="shared" si="7"/>
        <v>0.1425793907971484</v>
      </c>
    </row>
    <row r="222" spans="1:8">
      <c r="A222" s="46">
        <v>431</v>
      </c>
      <c r="B222" s="25" t="s">
        <v>639</v>
      </c>
      <c r="C222" s="25" t="s">
        <v>234</v>
      </c>
      <c r="D222" s="53">
        <v>622.4</v>
      </c>
      <c r="E222" s="47">
        <v>195</v>
      </c>
      <c r="F222" s="72">
        <f t="shared" si="6"/>
        <v>0.31330334190231363</v>
      </c>
      <c r="G222" s="69">
        <v>101</v>
      </c>
      <c r="H222" s="63">
        <f t="shared" si="7"/>
        <v>0.16227506426735219</v>
      </c>
    </row>
    <row r="223" spans="1:8">
      <c r="A223" s="46">
        <v>432</v>
      </c>
      <c r="B223" s="25" t="s">
        <v>640</v>
      </c>
      <c r="C223" s="25" t="s">
        <v>284</v>
      </c>
      <c r="D223" s="53">
        <v>257</v>
      </c>
      <c r="E223" s="47">
        <v>31</v>
      </c>
      <c r="F223" s="72">
        <f t="shared" si="6"/>
        <v>0.12062256809338522</v>
      </c>
      <c r="G223" s="69">
        <v>25</v>
      </c>
      <c r="H223" s="63">
        <f t="shared" si="7"/>
        <v>9.727626459143969E-2</v>
      </c>
    </row>
    <row r="224" spans="1:8">
      <c r="A224" s="46">
        <v>434</v>
      </c>
      <c r="B224" s="25" t="s">
        <v>642</v>
      </c>
      <c r="C224" s="25" t="s">
        <v>325</v>
      </c>
      <c r="D224" s="53">
        <v>1061.4000000000001</v>
      </c>
      <c r="E224" s="47">
        <v>324</v>
      </c>
      <c r="F224" s="72">
        <f t="shared" si="6"/>
        <v>0.30525720746184282</v>
      </c>
      <c r="G224" s="69">
        <v>147</v>
      </c>
      <c r="H224" s="63">
        <f t="shared" si="7"/>
        <v>0.13849632560768796</v>
      </c>
    </row>
    <row r="225" spans="1:8">
      <c r="A225" s="46">
        <v>435</v>
      </c>
      <c r="B225" s="25" t="s">
        <v>643</v>
      </c>
      <c r="C225" s="25" t="s">
        <v>290</v>
      </c>
      <c r="D225" s="53">
        <v>1526.7</v>
      </c>
      <c r="E225" s="47">
        <v>377</v>
      </c>
      <c r="F225" s="72">
        <f t="shared" si="6"/>
        <v>0.24693783978515751</v>
      </c>
      <c r="G225" s="69">
        <v>262</v>
      </c>
      <c r="H225" s="63">
        <f t="shared" si="7"/>
        <v>0.17161197353769567</v>
      </c>
    </row>
    <row r="226" spans="1:8">
      <c r="A226" s="46">
        <v>436</v>
      </c>
      <c r="B226" s="25" t="s">
        <v>644</v>
      </c>
      <c r="C226" s="25" t="s">
        <v>343</v>
      </c>
      <c r="D226" s="53">
        <v>829.7</v>
      </c>
      <c r="E226" s="47">
        <v>299</v>
      </c>
      <c r="F226" s="72">
        <f t="shared" si="6"/>
        <v>0.36037121851271542</v>
      </c>
      <c r="G226" s="69">
        <v>114</v>
      </c>
      <c r="H226" s="63">
        <f t="shared" si="7"/>
        <v>0.1373990599011691</v>
      </c>
    </row>
    <row r="227" spans="1:8">
      <c r="A227" s="46">
        <v>437</v>
      </c>
      <c r="B227" s="25" t="s">
        <v>645</v>
      </c>
      <c r="C227" s="25" t="s">
        <v>219</v>
      </c>
      <c r="D227" s="53">
        <v>5408.5</v>
      </c>
      <c r="E227" s="47">
        <v>1160</v>
      </c>
      <c r="F227" s="72">
        <f t="shared" si="6"/>
        <v>0.21447721179624665</v>
      </c>
      <c r="G227" s="69">
        <v>447</v>
      </c>
      <c r="H227" s="63">
        <f t="shared" si="7"/>
        <v>8.2647684200795046E-2</v>
      </c>
    </row>
    <row r="228" spans="1:8">
      <c r="A228" s="46">
        <v>438</v>
      </c>
      <c r="B228" s="25" t="s">
        <v>646</v>
      </c>
      <c r="C228" s="25" t="s">
        <v>275</v>
      </c>
      <c r="D228" s="53">
        <v>342.4</v>
      </c>
      <c r="E228" s="47">
        <v>80</v>
      </c>
      <c r="F228" s="72">
        <f t="shared" si="6"/>
        <v>0.23364485981308414</v>
      </c>
      <c r="G228" s="69">
        <v>43</v>
      </c>
      <c r="H228" s="63">
        <f t="shared" si="7"/>
        <v>0.12558411214953272</v>
      </c>
    </row>
    <row r="229" spans="1:8">
      <c r="A229" s="46">
        <v>439</v>
      </c>
      <c r="B229" s="25" t="s">
        <v>116</v>
      </c>
      <c r="C229" s="25" t="s">
        <v>256</v>
      </c>
      <c r="D229" s="53">
        <v>554.5</v>
      </c>
      <c r="E229" s="47">
        <v>119</v>
      </c>
      <c r="F229" s="72">
        <f t="shared" si="6"/>
        <v>0.2146077547339946</v>
      </c>
      <c r="G229" s="69">
        <v>65</v>
      </c>
      <c r="H229" s="63">
        <f t="shared" si="7"/>
        <v>0.11722272317403065</v>
      </c>
    </row>
    <row r="230" spans="1:8">
      <c r="A230" s="46">
        <v>440</v>
      </c>
      <c r="B230" s="25" t="s">
        <v>647</v>
      </c>
      <c r="C230" s="25" t="s">
        <v>256</v>
      </c>
      <c r="D230" s="53">
        <v>785.1</v>
      </c>
      <c r="E230" s="47">
        <v>247</v>
      </c>
      <c r="F230" s="72">
        <f t="shared" si="6"/>
        <v>0.31460960387211817</v>
      </c>
      <c r="G230" s="69">
        <v>105</v>
      </c>
      <c r="H230" s="63">
        <f t="shared" si="7"/>
        <v>0.13374092472296523</v>
      </c>
    </row>
    <row r="231" spans="1:8">
      <c r="A231" s="46">
        <v>441</v>
      </c>
      <c r="B231" s="25" t="s">
        <v>648</v>
      </c>
      <c r="C231" s="25" t="s">
        <v>349</v>
      </c>
      <c r="D231" s="53">
        <v>924.6</v>
      </c>
      <c r="E231" s="47">
        <v>205</v>
      </c>
      <c r="F231" s="72">
        <f t="shared" si="6"/>
        <v>0.22171749945922561</v>
      </c>
      <c r="G231" s="69">
        <v>115</v>
      </c>
      <c r="H231" s="63">
        <f t="shared" si="7"/>
        <v>0.12437810945273632</v>
      </c>
    </row>
    <row r="232" spans="1:8">
      <c r="A232" s="46">
        <v>442</v>
      </c>
      <c r="B232" s="25" t="s">
        <v>649</v>
      </c>
      <c r="C232" s="25" t="s">
        <v>349</v>
      </c>
      <c r="D232" s="53">
        <v>436.1</v>
      </c>
      <c r="E232" s="47">
        <v>76</v>
      </c>
      <c r="F232" s="72">
        <f t="shared" si="6"/>
        <v>0.17427195597340059</v>
      </c>
      <c r="G232" s="69">
        <v>41</v>
      </c>
      <c r="H232" s="63">
        <f t="shared" si="7"/>
        <v>9.4015134143545051E-2</v>
      </c>
    </row>
    <row r="233" spans="1:8">
      <c r="A233" s="46">
        <v>443</v>
      </c>
      <c r="B233" s="25" t="s">
        <v>650</v>
      </c>
      <c r="C233" s="25" t="s">
        <v>273</v>
      </c>
      <c r="D233" s="53">
        <v>5808.5</v>
      </c>
      <c r="E233" s="47">
        <v>4107</v>
      </c>
      <c r="F233" s="72">
        <f t="shared" si="6"/>
        <v>0.70706722906085906</v>
      </c>
      <c r="G233" s="69">
        <v>785</v>
      </c>
      <c r="H233" s="63">
        <f t="shared" si="7"/>
        <v>0.13514676766807265</v>
      </c>
    </row>
    <row r="234" spans="1:8">
      <c r="A234" s="46">
        <v>444</v>
      </c>
      <c r="B234" s="25" t="s">
        <v>651</v>
      </c>
      <c r="C234" s="25" t="s">
        <v>264</v>
      </c>
      <c r="D234" s="53">
        <v>316.5</v>
      </c>
      <c r="E234" s="47">
        <v>83</v>
      </c>
      <c r="F234" s="72">
        <f t="shared" si="6"/>
        <v>0.26224328593996843</v>
      </c>
      <c r="G234" s="69">
        <v>40</v>
      </c>
      <c r="H234" s="63">
        <f t="shared" si="7"/>
        <v>0.1263823064770932</v>
      </c>
    </row>
    <row r="235" spans="1:8">
      <c r="A235" s="46">
        <v>445</v>
      </c>
      <c r="B235" s="25" t="s">
        <v>652</v>
      </c>
      <c r="C235" s="25" t="s">
        <v>343</v>
      </c>
      <c r="D235" s="53">
        <v>1815.2</v>
      </c>
      <c r="E235" s="47">
        <v>1102</v>
      </c>
      <c r="F235" s="72">
        <f t="shared" si="6"/>
        <v>0.6070956368444248</v>
      </c>
      <c r="G235" s="69">
        <v>230</v>
      </c>
      <c r="H235" s="63">
        <f t="shared" si="7"/>
        <v>0.12670780079330102</v>
      </c>
    </row>
    <row r="236" spans="1:8">
      <c r="A236" s="46">
        <v>446</v>
      </c>
      <c r="B236" s="25" t="s">
        <v>653</v>
      </c>
      <c r="C236" s="25" t="s">
        <v>343</v>
      </c>
      <c r="D236" s="53">
        <v>1837.7</v>
      </c>
      <c r="E236" s="47">
        <v>889</v>
      </c>
      <c r="F236" s="72">
        <f t="shared" si="6"/>
        <v>0.48375687000054413</v>
      </c>
      <c r="G236" s="69">
        <v>269</v>
      </c>
      <c r="H236" s="63">
        <f t="shared" si="7"/>
        <v>0.14637862545573271</v>
      </c>
    </row>
    <row r="237" spans="1:8">
      <c r="A237" s="46">
        <v>447</v>
      </c>
      <c r="B237" s="25" t="s">
        <v>654</v>
      </c>
      <c r="C237" s="25" t="s">
        <v>343</v>
      </c>
      <c r="D237" s="53">
        <v>885.1</v>
      </c>
      <c r="E237" s="47">
        <v>393</v>
      </c>
      <c r="F237" s="72">
        <f t="shared" si="6"/>
        <v>0.44401762512710424</v>
      </c>
      <c r="G237" s="69">
        <v>101</v>
      </c>
      <c r="H237" s="63">
        <f t="shared" si="7"/>
        <v>0.11411139984182578</v>
      </c>
    </row>
    <row r="238" spans="1:8">
      <c r="A238" s="46">
        <v>448</v>
      </c>
      <c r="B238" s="25" t="s">
        <v>655</v>
      </c>
      <c r="C238" s="25" t="s">
        <v>301</v>
      </c>
      <c r="D238" s="53">
        <v>456</v>
      </c>
      <c r="E238" s="47">
        <v>62</v>
      </c>
      <c r="F238" s="72">
        <f t="shared" si="6"/>
        <v>0.13596491228070176</v>
      </c>
      <c r="G238" s="69">
        <v>38</v>
      </c>
      <c r="H238" s="63">
        <f t="shared" si="7"/>
        <v>8.3333333333333329E-2</v>
      </c>
    </row>
    <row r="239" spans="1:8">
      <c r="A239" s="46">
        <v>449</v>
      </c>
      <c r="B239" s="25" t="s">
        <v>656</v>
      </c>
      <c r="C239" s="25" t="s">
        <v>45</v>
      </c>
      <c r="D239" s="53">
        <v>698.7</v>
      </c>
      <c r="E239" s="47">
        <v>133</v>
      </c>
      <c r="F239" s="72">
        <f t="shared" si="6"/>
        <v>0.19035351366824102</v>
      </c>
      <c r="G239" s="69">
        <v>69</v>
      </c>
      <c r="H239" s="63">
        <f t="shared" si="7"/>
        <v>9.8754830399313001E-2</v>
      </c>
    </row>
    <row r="240" spans="1:8">
      <c r="A240" s="46">
        <v>450</v>
      </c>
      <c r="B240" s="25" t="s">
        <v>657</v>
      </c>
      <c r="C240" s="25" t="s">
        <v>219</v>
      </c>
      <c r="D240" s="53">
        <v>3403</v>
      </c>
      <c r="E240" s="47">
        <v>795</v>
      </c>
      <c r="F240" s="72">
        <f t="shared" si="6"/>
        <v>0.23361739641492801</v>
      </c>
      <c r="G240" s="69">
        <v>308</v>
      </c>
      <c r="H240" s="63">
        <f t="shared" si="7"/>
        <v>9.0508374963267704E-2</v>
      </c>
    </row>
    <row r="241" spans="1:8">
      <c r="A241" s="46">
        <v>451</v>
      </c>
      <c r="B241" s="25" t="s">
        <v>360</v>
      </c>
      <c r="C241" s="25" t="s">
        <v>349</v>
      </c>
      <c r="D241" s="53">
        <v>186.5</v>
      </c>
      <c r="E241" s="47">
        <v>24</v>
      </c>
      <c r="F241" s="72">
        <f t="shared" si="6"/>
        <v>0.12868632707774799</v>
      </c>
      <c r="G241" s="69">
        <v>26</v>
      </c>
      <c r="H241" s="63">
        <f t="shared" si="7"/>
        <v>0.13941018766756033</v>
      </c>
    </row>
    <row r="242" spans="1:8">
      <c r="A242" s="46">
        <v>452</v>
      </c>
      <c r="B242" s="25" t="s">
        <v>658</v>
      </c>
      <c r="C242" s="25" t="s">
        <v>362</v>
      </c>
      <c r="D242" s="53">
        <v>462.5</v>
      </c>
      <c r="E242" s="47">
        <v>220</v>
      </c>
      <c r="F242" s="72">
        <f t="shared" si="6"/>
        <v>0.4756756756756757</v>
      </c>
      <c r="G242" s="69">
        <v>83</v>
      </c>
      <c r="H242" s="63">
        <f t="shared" si="7"/>
        <v>0.17945945945945946</v>
      </c>
    </row>
    <row r="243" spans="1:8">
      <c r="A243" s="46">
        <v>453</v>
      </c>
      <c r="B243" s="25" t="s">
        <v>45</v>
      </c>
      <c r="C243" s="25" t="s">
        <v>45</v>
      </c>
      <c r="D243" s="53">
        <v>3823</v>
      </c>
      <c r="E243" s="47">
        <v>1879</v>
      </c>
      <c r="F243" s="72">
        <f t="shared" si="6"/>
        <v>0.49149882291394192</v>
      </c>
      <c r="G243" s="69">
        <v>341</v>
      </c>
      <c r="H243" s="63">
        <f t="shared" si="7"/>
        <v>8.9196965733716979E-2</v>
      </c>
    </row>
    <row r="244" spans="1:8">
      <c r="A244" s="46">
        <v>454</v>
      </c>
      <c r="B244" s="25" t="s">
        <v>659</v>
      </c>
      <c r="C244" s="25" t="s">
        <v>325</v>
      </c>
      <c r="D244" s="53">
        <v>317</v>
      </c>
      <c r="E244" s="47">
        <v>99</v>
      </c>
      <c r="F244" s="72">
        <f t="shared" si="6"/>
        <v>0.31230283911671924</v>
      </c>
      <c r="G244" s="69">
        <v>47</v>
      </c>
      <c r="H244" s="63">
        <f t="shared" si="7"/>
        <v>0.14826498422712933</v>
      </c>
    </row>
    <row r="245" spans="1:8">
      <c r="A245" s="46">
        <v>456</v>
      </c>
      <c r="B245" s="25" t="s">
        <v>661</v>
      </c>
      <c r="C245" s="25" t="s">
        <v>325</v>
      </c>
      <c r="D245" s="53">
        <v>266</v>
      </c>
      <c r="E245" s="47">
        <v>141</v>
      </c>
      <c r="F245" s="72">
        <f t="shared" si="6"/>
        <v>0.53007518796992481</v>
      </c>
      <c r="G245" s="69">
        <v>32</v>
      </c>
      <c r="H245" s="63">
        <f t="shared" si="7"/>
        <v>0.12030075187969924</v>
      </c>
    </row>
    <row r="246" spans="1:8">
      <c r="A246" s="46">
        <v>457</v>
      </c>
      <c r="B246" s="25" t="s">
        <v>662</v>
      </c>
      <c r="C246" s="25" t="s">
        <v>245</v>
      </c>
      <c r="D246" s="53">
        <v>6930.3</v>
      </c>
      <c r="E246" s="47">
        <v>4144</v>
      </c>
      <c r="F246" s="72">
        <f t="shared" si="6"/>
        <v>0.59795391252903918</v>
      </c>
      <c r="G246" s="69">
        <v>946</v>
      </c>
      <c r="H246" s="63">
        <f t="shared" si="7"/>
        <v>0.13650202732926425</v>
      </c>
    </row>
    <row r="247" spans="1:8">
      <c r="A247" s="46">
        <v>458</v>
      </c>
      <c r="B247" s="25" t="s">
        <v>663</v>
      </c>
      <c r="C247" s="25" t="s">
        <v>45</v>
      </c>
      <c r="D247" s="53">
        <v>2121.6</v>
      </c>
      <c r="E247" s="47">
        <v>251</v>
      </c>
      <c r="F247" s="72">
        <f t="shared" si="6"/>
        <v>0.11830693815987935</v>
      </c>
      <c r="G247" s="69">
        <v>68</v>
      </c>
      <c r="H247" s="63">
        <f t="shared" si="7"/>
        <v>3.2051282051282055E-2</v>
      </c>
    </row>
    <row r="248" spans="1:8">
      <c r="A248" s="46">
        <v>459</v>
      </c>
      <c r="B248" s="25" t="s">
        <v>664</v>
      </c>
      <c r="C248" s="25" t="s">
        <v>273</v>
      </c>
      <c r="D248" s="53">
        <v>244.7</v>
      </c>
      <c r="E248" s="47">
        <v>95</v>
      </c>
      <c r="F248" s="72">
        <f t="shared" si="6"/>
        <v>0.38823048630976709</v>
      </c>
      <c r="G248" s="69">
        <v>38</v>
      </c>
      <c r="H248" s="63">
        <f t="shared" si="7"/>
        <v>0.15529219452390683</v>
      </c>
    </row>
    <row r="249" spans="1:8">
      <c r="A249" s="46">
        <v>460</v>
      </c>
      <c r="B249" s="25" t="s">
        <v>665</v>
      </c>
      <c r="C249" s="25" t="s">
        <v>256</v>
      </c>
      <c r="D249" s="53">
        <v>812</v>
      </c>
      <c r="E249" s="47">
        <v>171</v>
      </c>
      <c r="F249" s="72">
        <f t="shared" si="6"/>
        <v>0.2105911330049261</v>
      </c>
      <c r="G249" s="69">
        <v>95</v>
      </c>
      <c r="H249" s="63">
        <f t="shared" si="7"/>
        <v>0.11699507389162561</v>
      </c>
    </row>
    <row r="250" spans="1:8">
      <c r="A250" s="46">
        <v>461</v>
      </c>
      <c r="B250" s="25" t="s">
        <v>666</v>
      </c>
      <c r="C250" s="25" t="s">
        <v>282</v>
      </c>
      <c r="D250" s="53">
        <v>717.2</v>
      </c>
      <c r="E250" s="47">
        <v>303</v>
      </c>
      <c r="F250" s="72">
        <f t="shared" si="6"/>
        <v>0.42247629670942549</v>
      </c>
      <c r="G250" s="69">
        <v>124</v>
      </c>
      <c r="H250" s="63">
        <f t="shared" si="7"/>
        <v>0.17289459007250418</v>
      </c>
    </row>
    <row r="251" spans="1:8">
      <c r="A251" s="46">
        <v>462</v>
      </c>
      <c r="B251" s="25" t="s">
        <v>667</v>
      </c>
      <c r="C251" s="25" t="s">
        <v>373</v>
      </c>
      <c r="D251" s="53">
        <v>347</v>
      </c>
      <c r="E251" s="47">
        <v>128</v>
      </c>
      <c r="F251" s="72">
        <f t="shared" si="6"/>
        <v>0.36887608069164263</v>
      </c>
      <c r="G251" s="69">
        <v>51</v>
      </c>
      <c r="H251" s="63">
        <f t="shared" si="7"/>
        <v>0.14697406340057637</v>
      </c>
    </row>
    <row r="252" spans="1:8">
      <c r="A252" s="46">
        <v>463</v>
      </c>
      <c r="B252" s="25" t="s">
        <v>668</v>
      </c>
      <c r="C252" s="25" t="s">
        <v>373</v>
      </c>
      <c r="D252" s="53">
        <v>362.5</v>
      </c>
      <c r="E252" s="47">
        <v>100</v>
      </c>
      <c r="F252" s="72">
        <f t="shared" si="6"/>
        <v>0.27586206896551724</v>
      </c>
      <c r="G252" s="69">
        <v>58</v>
      </c>
      <c r="H252" s="63">
        <f t="shared" si="7"/>
        <v>0.16</v>
      </c>
    </row>
    <row r="253" spans="1:8">
      <c r="A253" s="46">
        <v>464</v>
      </c>
      <c r="B253" s="25" t="s">
        <v>669</v>
      </c>
      <c r="C253" s="25" t="s">
        <v>45</v>
      </c>
      <c r="D253" s="53">
        <v>1860.9</v>
      </c>
      <c r="E253" s="47">
        <v>449</v>
      </c>
      <c r="F253" s="72">
        <f t="shared" si="6"/>
        <v>0.24128110054274812</v>
      </c>
      <c r="G253" s="69">
        <v>190</v>
      </c>
      <c r="H253" s="63">
        <f t="shared" si="7"/>
        <v>0.10210113385996022</v>
      </c>
    </row>
    <row r="254" spans="1:8">
      <c r="A254" s="46">
        <v>465</v>
      </c>
      <c r="B254" s="25" t="s">
        <v>670</v>
      </c>
      <c r="C254" s="25" t="s">
        <v>373</v>
      </c>
      <c r="D254" s="53">
        <v>2348.6</v>
      </c>
      <c r="E254" s="47">
        <v>946</v>
      </c>
      <c r="F254" s="72">
        <f t="shared" si="6"/>
        <v>0.4027931533679639</v>
      </c>
      <c r="G254" s="69">
        <v>325</v>
      </c>
      <c r="H254" s="63">
        <f t="shared" si="7"/>
        <v>0.13838031167504045</v>
      </c>
    </row>
    <row r="255" spans="1:8">
      <c r="A255" s="46">
        <v>466</v>
      </c>
      <c r="B255" s="25" t="s">
        <v>671</v>
      </c>
      <c r="C255" s="25" t="s">
        <v>378</v>
      </c>
      <c r="D255" s="53">
        <v>868.7</v>
      </c>
      <c r="E255" s="47">
        <v>325</v>
      </c>
      <c r="F255" s="72">
        <f t="shared" si="6"/>
        <v>0.37412225164038215</v>
      </c>
      <c r="G255" s="69">
        <v>130</v>
      </c>
      <c r="H255" s="63">
        <f t="shared" si="7"/>
        <v>0.14964890065615286</v>
      </c>
    </row>
    <row r="256" spans="1:8">
      <c r="A256" s="46">
        <v>467</v>
      </c>
      <c r="B256" s="25" t="s">
        <v>672</v>
      </c>
      <c r="C256" s="25" t="s">
        <v>380</v>
      </c>
      <c r="D256" s="53">
        <v>427.5</v>
      </c>
      <c r="E256" s="47">
        <v>187</v>
      </c>
      <c r="F256" s="72">
        <f t="shared" si="6"/>
        <v>0.43742690058479533</v>
      </c>
      <c r="G256" s="69">
        <v>53</v>
      </c>
      <c r="H256" s="63">
        <f t="shared" si="7"/>
        <v>0.1239766081871345</v>
      </c>
    </row>
    <row r="257" spans="1:8">
      <c r="A257" s="46">
        <v>468</v>
      </c>
      <c r="B257" s="25" t="s">
        <v>673</v>
      </c>
      <c r="C257" s="25" t="s">
        <v>382</v>
      </c>
      <c r="D257" s="53">
        <v>92.5</v>
      </c>
      <c r="E257" s="47">
        <v>37</v>
      </c>
      <c r="F257" s="72">
        <f t="shared" si="6"/>
        <v>0.4</v>
      </c>
      <c r="G257" s="69">
        <v>14</v>
      </c>
      <c r="H257" s="63">
        <f t="shared" si="7"/>
        <v>0.15135135135135136</v>
      </c>
    </row>
    <row r="258" spans="1:8">
      <c r="A258" s="46">
        <v>469</v>
      </c>
      <c r="B258" s="25" t="s">
        <v>674</v>
      </c>
      <c r="C258" s="25" t="s">
        <v>45</v>
      </c>
      <c r="D258" s="53">
        <v>2501.4</v>
      </c>
      <c r="E258" s="47">
        <v>407</v>
      </c>
      <c r="F258" s="72">
        <f t="shared" si="6"/>
        <v>0.16270888302550571</v>
      </c>
      <c r="G258" s="69">
        <v>125</v>
      </c>
      <c r="H258" s="63">
        <f t="shared" si="7"/>
        <v>4.9972015671224113E-2</v>
      </c>
    </row>
    <row r="259" spans="1:8">
      <c r="A259" s="46">
        <v>470</v>
      </c>
      <c r="B259" s="25" t="s">
        <v>675</v>
      </c>
      <c r="C259" s="25" t="s">
        <v>373</v>
      </c>
      <c r="D259" s="53">
        <v>2628.9</v>
      </c>
      <c r="E259" s="47">
        <v>1492</v>
      </c>
      <c r="F259" s="72">
        <f t="shared" si="6"/>
        <v>0.56753775343299473</v>
      </c>
      <c r="G259" s="69">
        <v>288</v>
      </c>
      <c r="H259" s="63">
        <f t="shared" si="7"/>
        <v>0.10955152345087299</v>
      </c>
    </row>
    <row r="260" spans="1:8">
      <c r="A260" s="46">
        <v>471</v>
      </c>
      <c r="B260" s="25" t="s">
        <v>676</v>
      </c>
      <c r="C260" s="25" t="s">
        <v>373</v>
      </c>
      <c r="D260" s="53">
        <v>151.19999999999999</v>
      </c>
      <c r="E260" s="47">
        <v>47</v>
      </c>
      <c r="F260" s="72">
        <f t="shared" si="6"/>
        <v>0.31084656084656087</v>
      </c>
      <c r="G260" s="69">
        <v>17</v>
      </c>
      <c r="H260" s="63">
        <f t="shared" si="7"/>
        <v>0.11243386243386244</v>
      </c>
    </row>
    <row r="261" spans="1:8">
      <c r="A261" s="46">
        <v>473</v>
      </c>
      <c r="B261" s="25" t="s">
        <v>677</v>
      </c>
      <c r="C261" s="25" t="s">
        <v>290</v>
      </c>
      <c r="D261" s="53">
        <v>969.7</v>
      </c>
      <c r="E261" s="47">
        <v>265</v>
      </c>
      <c r="F261" s="72">
        <f t="shared" si="6"/>
        <v>0.27328039599876247</v>
      </c>
      <c r="G261" s="69">
        <v>148</v>
      </c>
      <c r="H261" s="63">
        <f t="shared" si="7"/>
        <v>0.15262452304836546</v>
      </c>
    </row>
    <row r="262" spans="1:8">
      <c r="A262" s="46">
        <v>474</v>
      </c>
      <c r="B262" s="25" t="s">
        <v>678</v>
      </c>
      <c r="C262" s="25" t="s">
        <v>328</v>
      </c>
      <c r="D262" s="53">
        <v>141.80000000000001</v>
      </c>
      <c r="E262" s="47">
        <v>35</v>
      </c>
      <c r="F262" s="72">
        <f t="shared" ref="F262:F299" si="8">E262/D262</f>
        <v>0.24682651622002819</v>
      </c>
      <c r="G262" s="69">
        <v>34</v>
      </c>
      <c r="H262" s="63">
        <f t="shared" ref="H262:H299" si="9">G262/D262</f>
        <v>0.23977433004231311</v>
      </c>
    </row>
    <row r="263" spans="1:8">
      <c r="A263" s="46">
        <v>475</v>
      </c>
      <c r="B263" s="25" t="s">
        <v>679</v>
      </c>
      <c r="C263" s="25" t="s">
        <v>389</v>
      </c>
      <c r="D263" s="53">
        <v>7803.4</v>
      </c>
      <c r="E263" s="47">
        <v>2825</v>
      </c>
      <c r="F263" s="72">
        <f t="shared" si="8"/>
        <v>0.36202168285619091</v>
      </c>
      <c r="G263" s="69">
        <v>1401</v>
      </c>
      <c r="H263" s="63">
        <f t="shared" si="9"/>
        <v>0.17953712484301715</v>
      </c>
    </row>
    <row r="264" spans="1:8">
      <c r="A264" s="46">
        <v>476</v>
      </c>
      <c r="B264" s="25" t="s">
        <v>680</v>
      </c>
      <c r="C264" s="25" t="s">
        <v>16</v>
      </c>
      <c r="D264" s="53">
        <v>120</v>
      </c>
      <c r="E264" s="47">
        <v>57</v>
      </c>
      <c r="F264" s="72">
        <f t="shared" si="8"/>
        <v>0.47499999999999998</v>
      </c>
      <c r="G264" s="69">
        <v>20</v>
      </c>
      <c r="H264" s="63">
        <f t="shared" si="9"/>
        <v>0.16666666666666666</v>
      </c>
    </row>
    <row r="265" spans="1:8">
      <c r="A265" s="46">
        <v>477</v>
      </c>
      <c r="B265" s="25" t="s">
        <v>681</v>
      </c>
      <c r="C265" s="25" t="s">
        <v>16</v>
      </c>
      <c r="D265" s="53">
        <v>229</v>
      </c>
      <c r="E265" s="47">
        <v>90</v>
      </c>
      <c r="F265" s="72">
        <f t="shared" si="8"/>
        <v>0.3930131004366812</v>
      </c>
      <c r="G265" s="69">
        <v>18</v>
      </c>
      <c r="H265" s="63">
        <f t="shared" si="9"/>
        <v>7.8602620087336247E-2</v>
      </c>
    </row>
    <row r="266" spans="1:8">
      <c r="A266" s="46">
        <v>479</v>
      </c>
      <c r="B266" s="25" t="s">
        <v>682</v>
      </c>
      <c r="C266" s="25" t="s">
        <v>249</v>
      </c>
      <c r="D266" s="53">
        <v>224.5</v>
      </c>
      <c r="E266" s="47">
        <v>93</v>
      </c>
      <c r="F266" s="72">
        <f t="shared" si="8"/>
        <v>0.41425389755011138</v>
      </c>
      <c r="G266" s="69">
        <v>34</v>
      </c>
      <c r="H266" s="63">
        <f t="shared" si="9"/>
        <v>0.15144766146993319</v>
      </c>
    </row>
    <row r="267" spans="1:8">
      <c r="A267" s="46">
        <v>480</v>
      </c>
      <c r="B267" s="25" t="s">
        <v>683</v>
      </c>
      <c r="C267" s="25" t="s">
        <v>394</v>
      </c>
      <c r="D267" s="53">
        <v>4363</v>
      </c>
      <c r="E267" s="47">
        <v>2948</v>
      </c>
      <c r="F267" s="72">
        <f t="shared" si="8"/>
        <v>0.67568187027274806</v>
      </c>
      <c r="G267" s="69">
        <v>509</v>
      </c>
      <c r="H267" s="63">
        <f t="shared" si="9"/>
        <v>0.11666284666513867</v>
      </c>
    </row>
    <row r="268" spans="1:8">
      <c r="A268" s="46">
        <v>481</v>
      </c>
      <c r="B268" s="25" t="s">
        <v>684</v>
      </c>
      <c r="C268" s="25" t="s">
        <v>290</v>
      </c>
      <c r="D268" s="53">
        <v>419.3</v>
      </c>
      <c r="E268" s="47">
        <v>143</v>
      </c>
      <c r="F268" s="72">
        <f t="shared" si="8"/>
        <v>0.34104459813975674</v>
      </c>
      <c r="G268" s="69">
        <v>68</v>
      </c>
      <c r="H268" s="63">
        <f t="shared" si="9"/>
        <v>0.16217505366086335</v>
      </c>
    </row>
    <row r="269" spans="1:8">
      <c r="A269" s="46">
        <v>482</v>
      </c>
      <c r="B269" s="25" t="s">
        <v>685</v>
      </c>
      <c r="C269" s="25" t="s">
        <v>382</v>
      </c>
      <c r="D269" s="53">
        <v>243.5</v>
      </c>
      <c r="E269" s="47">
        <v>78</v>
      </c>
      <c r="F269" s="72">
        <f t="shared" si="8"/>
        <v>0.32032854209445583</v>
      </c>
      <c r="G269" s="69">
        <v>36</v>
      </c>
      <c r="H269" s="63">
        <f t="shared" si="9"/>
        <v>0.14784394250513347</v>
      </c>
    </row>
    <row r="270" spans="1:8">
      <c r="A270" s="46">
        <v>483</v>
      </c>
      <c r="B270" s="25" t="s">
        <v>686</v>
      </c>
      <c r="C270" s="25" t="s">
        <v>394</v>
      </c>
      <c r="D270" s="53">
        <v>725</v>
      </c>
      <c r="E270" s="47">
        <v>460</v>
      </c>
      <c r="F270" s="72">
        <f t="shared" si="8"/>
        <v>0.6344827586206897</v>
      </c>
      <c r="G270" s="69">
        <v>104</v>
      </c>
      <c r="H270" s="63">
        <f t="shared" si="9"/>
        <v>0.14344827586206896</v>
      </c>
    </row>
    <row r="271" spans="1:8">
      <c r="A271" s="46">
        <v>484</v>
      </c>
      <c r="B271" s="25" t="s">
        <v>687</v>
      </c>
      <c r="C271" s="25" t="s">
        <v>282</v>
      </c>
      <c r="D271" s="53">
        <v>730</v>
      </c>
      <c r="E271" s="47">
        <v>297</v>
      </c>
      <c r="F271" s="72">
        <f t="shared" si="8"/>
        <v>0.40684931506849314</v>
      </c>
      <c r="G271" s="69">
        <v>111</v>
      </c>
      <c r="H271" s="63">
        <f t="shared" si="9"/>
        <v>0.15205479452054796</v>
      </c>
    </row>
    <row r="272" spans="1:8">
      <c r="A272" s="46">
        <v>486</v>
      </c>
      <c r="B272" s="25" t="s">
        <v>688</v>
      </c>
      <c r="C272" s="25" t="s">
        <v>34</v>
      </c>
      <c r="D272" s="53">
        <v>300.2</v>
      </c>
      <c r="E272" s="47">
        <v>171</v>
      </c>
      <c r="F272" s="72">
        <f t="shared" si="8"/>
        <v>0.569620253164557</v>
      </c>
      <c r="G272" s="69">
        <v>37</v>
      </c>
      <c r="H272" s="63">
        <f t="shared" si="9"/>
        <v>0.12325116588940707</v>
      </c>
    </row>
    <row r="273" spans="1:8">
      <c r="A273" s="46">
        <v>487</v>
      </c>
      <c r="B273" s="25" t="s">
        <v>689</v>
      </c>
      <c r="C273" s="25" t="s">
        <v>290</v>
      </c>
      <c r="D273" s="53">
        <v>510.1</v>
      </c>
      <c r="E273" s="47">
        <v>209</v>
      </c>
      <c r="F273" s="72">
        <f t="shared" si="8"/>
        <v>0.40972358361105665</v>
      </c>
      <c r="G273" s="69">
        <v>91</v>
      </c>
      <c r="H273" s="63">
        <f t="shared" si="9"/>
        <v>0.17839639286414427</v>
      </c>
    </row>
    <row r="274" spans="1:8">
      <c r="A274" s="46">
        <v>488</v>
      </c>
      <c r="B274" s="25" t="s">
        <v>690</v>
      </c>
      <c r="C274" s="25" t="s">
        <v>247</v>
      </c>
      <c r="D274" s="53">
        <v>294.60000000000002</v>
      </c>
      <c r="E274" s="47">
        <v>61</v>
      </c>
      <c r="F274" s="72">
        <f t="shared" si="8"/>
        <v>0.20706042090970805</v>
      </c>
      <c r="G274" s="69">
        <v>47</v>
      </c>
      <c r="H274" s="63">
        <f t="shared" si="9"/>
        <v>0.15953835709436523</v>
      </c>
    </row>
    <row r="275" spans="1:8">
      <c r="A275" s="46">
        <v>489</v>
      </c>
      <c r="B275" s="25" t="s">
        <v>691</v>
      </c>
      <c r="C275" s="25" t="s">
        <v>284</v>
      </c>
      <c r="D275" s="53">
        <v>2839.3</v>
      </c>
      <c r="E275" s="47">
        <v>952</v>
      </c>
      <c r="F275" s="72">
        <f t="shared" si="8"/>
        <v>0.33529391047089069</v>
      </c>
      <c r="G275" s="69">
        <v>308</v>
      </c>
      <c r="H275" s="63">
        <f t="shared" si="9"/>
        <v>0.10847744162293523</v>
      </c>
    </row>
    <row r="276" spans="1:8">
      <c r="A276" s="46">
        <v>490</v>
      </c>
      <c r="B276" s="25" t="s">
        <v>692</v>
      </c>
      <c r="C276" s="25" t="s">
        <v>42</v>
      </c>
      <c r="D276" s="53">
        <v>1993</v>
      </c>
      <c r="E276" s="47">
        <v>811</v>
      </c>
      <c r="F276" s="72">
        <f t="shared" si="8"/>
        <v>0.40692423482187656</v>
      </c>
      <c r="G276" s="69">
        <v>248</v>
      </c>
      <c r="H276" s="63">
        <f t="shared" si="9"/>
        <v>0.1244355243351731</v>
      </c>
    </row>
    <row r="277" spans="1:8">
      <c r="A277" s="46">
        <v>491</v>
      </c>
      <c r="B277" s="25" t="s">
        <v>693</v>
      </c>
      <c r="C277" s="25" t="s">
        <v>224</v>
      </c>
      <c r="D277" s="53">
        <v>1454</v>
      </c>
      <c r="E277" s="47">
        <v>345</v>
      </c>
      <c r="F277" s="72">
        <f t="shared" si="8"/>
        <v>0.23727647867950483</v>
      </c>
      <c r="G277" s="69">
        <v>149</v>
      </c>
      <c r="H277" s="63">
        <f t="shared" si="9"/>
        <v>0.10247592847317744</v>
      </c>
    </row>
    <row r="278" spans="1:8">
      <c r="A278" s="46">
        <v>492</v>
      </c>
      <c r="B278" s="25" t="s">
        <v>694</v>
      </c>
      <c r="C278" s="25" t="s">
        <v>42</v>
      </c>
      <c r="D278" s="53">
        <v>284.5</v>
      </c>
      <c r="E278" s="47">
        <v>72</v>
      </c>
      <c r="F278" s="72">
        <f t="shared" si="8"/>
        <v>0.2530755711775044</v>
      </c>
      <c r="G278" s="69">
        <v>42</v>
      </c>
      <c r="H278" s="63">
        <f t="shared" si="9"/>
        <v>0.14762741652021089</v>
      </c>
    </row>
    <row r="279" spans="1:8">
      <c r="A279" s="46">
        <v>493</v>
      </c>
      <c r="B279" s="25" t="s">
        <v>695</v>
      </c>
      <c r="C279" s="25" t="s">
        <v>306</v>
      </c>
      <c r="D279" s="53">
        <v>1113</v>
      </c>
      <c r="E279" s="47">
        <v>487</v>
      </c>
      <c r="F279" s="72">
        <f t="shared" si="8"/>
        <v>0.43755615453728663</v>
      </c>
      <c r="G279" s="69">
        <v>144</v>
      </c>
      <c r="H279" s="63">
        <f t="shared" si="9"/>
        <v>0.1293800539083558</v>
      </c>
    </row>
    <row r="280" spans="1:8">
      <c r="A280" s="46">
        <v>494</v>
      </c>
      <c r="B280" s="25" t="s">
        <v>696</v>
      </c>
      <c r="C280" s="25" t="s">
        <v>408</v>
      </c>
      <c r="D280" s="53">
        <v>489</v>
      </c>
      <c r="E280" s="47">
        <v>245</v>
      </c>
      <c r="F280" s="72">
        <f t="shared" si="8"/>
        <v>0.50102249488752559</v>
      </c>
      <c r="G280" s="69">
        <v>80</v>
      </c>
      <c r="H280" s="63">
        <f t="shared" si="9"/>
        <v>0.16359918200408999</v>
      </c>
    </row>
    <row r="281" spans="1:8">
      <c r="A281" s="46">
        <v>495</v>
      </c>
      <c r="B281" s="25" t="s">
        <v>697</v>
      </c>
      <c r="C281" s="25" t="s">
        <v>410</v>
      </c>
      <c r="D281" s="53">
        <v>885</v>
      </c>
      <c r="E281" s="47">
        <v>354</v>
      </c>
      <c r="F281" s="72">
        <f t="shared" si="8"/>
        <v>0.4</v>
      </c>
      <c r="G281" s="69">
        <v>120</v>
      </c>
      <c r="H281" s="63">
        <f t="shared" si="9"/>
        <v>0.13559322033898305</v>
      </c>
    </row>
    <row r="282" spans="1:8">
      <c r="A282" s="46">
        <v>496</v>
      </c>
      <c r="B282" s="25" t="s">
        <v>698</v>
      </c>
      <c r="C282" s="25" t="s">
        <v>410</v>
      </c>
      <c r="D282" s="53">
        <v>146.1</v>
      </c>
      <c r="E282" s="47">
        <v>25</v>
      </c>
      <c r="F282" s="72">
        <f t="shared" si="8"/>
        <v>0.17111567419575635</v>
      </c>
      <c r="G282" s="69">
        <v>31</v>
      </c>
      <c r="H282" s="63">
        <f t="shared" si="9"/>
        <v>0.21218343600273787</v>
      </c>
    </row>
    <row r="283" spans="1:8">
      <c r="A283" s="46">
        <v>497</v>
      </c>
      <c r="B283" s="25" t="s">
        <v>699</v>
      </c>
      <c r="C283" s="25" t="s">
        <v>224</v>
      </c>
      <c r="D283" s="53">
        <v>10604.9</v>
      </c>
      <c r="E283" s="47">
        <v>2796</v>
      </c>
      <c r="F283" s="72">
        <f t="shared" si="8"/>
        <v>0.26365170817263717</v>
      </c>
      <c r="G283" s="69">
        <v>876</v>
      </c>
      <c r="H283" s="63">
        <f t="shared" si="9"/>
        <v>8.2603324878122386E-2</v>
      </c>
    </row>
    <row r="284" spans="1:8">
      <c r="A284" s="46">
        <v>498</v>
      </c>
      <c r="B284" s="25" t="s">
        <v>700</v>
      </c>
      <c r="C284" s="25" t="s">
        <v>247</v>
      </c>
      <c r="D284" s="53">
        <v>367</v>
      </c>
      <c r="E284" s="47">
        <v>154</v>
      </c>
      <c r="F284" s="72">
        <f t="shared" si="8"/>
        <v>0.4196185286103542</v>
      </c>
      <c r="G284" s="69">
        <v>51</v>
      </c>
      <c r="H284" s="63">
        <f t="shared" si="9"/>
        <v>0.13896457765667575</v>
      </c>
    </row>
    <row r="285" spans="1:8">
      <c r="A285" s="46">
        <v>499</v>
      </c>
      <c r="B285" s="25" t="s">
        <v>701</v>
      </c>
      <c r="C285" s="25" t="s">
        <v>306</v>
      </c>
      <c r="D285" s="53">
        <v>756.5</v>
      </c>
      <c r="E285" s="47">
        <v>447</v>
      </c>
      <c r="F285" s="72">
        <f t="shared" si="8"/>
        <v>0.59087904824851289</v>
      </c>
      <c r="G285" s="69">
        <v>107</v>
      </c>
      <c r="H285" s="63">
        <f t="shared" si="9"/>
        <v>0.14144084600132187</v>
      </c>
    </row>
    <row r="286" spans="1:8">
      <c r="A286" s="46">
        <v>500</v>
      </c>
      <c r="B286" s="25" t="s">
        <v>702</v>
      </c>
      <c r="C286" s="25" t="s">
        <v>38</v>
      </c>
      <c r="D286" s="53">
        <v>18735.7</v>
      </c>
      <c r="E286" s="47">
        <v>15541</v>
      </c>
      <c r="F286" s="72">
        <f t="shared" si="8"/>
        <v>0.82948595462139119</v>
      </c>
      <c r="G286" s="69">
        <v>1853</v>
      </c>
      <c r="H286" s="63">
        <f t="shared" si="9"/>
        <v>9.8902095998548226E-2</v>
      </c>
    </row>
    <row r="287" spans="1:8">
      <c r="A287" s="46">
        <v>501</v>
      </c>
      <c r="B287" s="25" t="s">
        <v>703</v>
      </c>
      <c r="C287" s="25" t="s">
        <v>219</v>
      </c>
      <c r="D287" s="53">
        <v>13219.4</v>
      </c>
      <c r="E287" s="47">
        <v>8598</v>
      </c>
      <c r="F287" s="72">
        <f t="shared" si="8"/>
        <v>0.65040773408778008</v>
      </c>
      <c r="G287" s="69">
        <v>1477</v>
      </c>
      <c r="H287" s="63">
        <f t="shared" si="9"/>
        <v>0.11172973054752863</v>
      </c>
    </row>
    <row r="288" spans="1:8">
      <c r="A288" s="46">
        <v>502</v>
      </c>
      <c r="B288" s="25" t="s">
        <v>704</v>
      </c>
      <c r="C288" s="25" t="s">
        <v>222</v>
      </c>
      <c r="D288" s="53">
        <v>109</v>
      </c>
      <c r="E288" s="47">
        <v>46</v>
      </c>
      <c r="F288" s="72">
        <f t="shared" si="8"/>
        <v>0.42201834862385323</v>
      </c>
      <c r="G288" s="69">
        <v>13</v>
      </c>
      <c r="H288" s="63">
        <f t="shared" si="9"/>
        <v>0.11926605504587157</v>
      </c>
    </row>
    <row r="289" spans="1:8">
      <c r="A289" s="46">
        <v>503</v>
      </c>
      <c r="B289" s="25" t="s">
        <v>705</v>
      </c>
      <c r="C289" s="25" t="s">
        <v>419</v>
      </c>
      <c r="D289" s="53">
        <v>1235</v>
      </c>
      <c r="E289" s="47">
        <v>684</v>
      </c>
      <c r="F289" s="72">
        <f t="shared" si="8"/>
        <v>0.55384615384615388</v>
      </c>
      <c r="G289" s="69">
        <v>180</v>
      </c>
      <c r="H289" s="63">
        <f t="shared" si="9"/>
        <v>0.145748987854251</v>
      </c>
    </row>
    <row r="290" spans="1:8">
      <c r="A290" s="46">
        <v>504</v>
      </c>
      <c r="B290" s="25" t="s">
        <v>706</v>
      </c>
      <c r="C290" s="25" t="s">
        <v>419</v>
      </c>
      <c r="D290" s="53">
        <v>465</v>
      </c>
      <c r="E290" s="47">
        <v>200</v>
      </c>
      <c r="F290" s="72">
        <f t="shared" si="8"/>
        <v>0.43010752688172044</v>
      </c>
      <c r="G290" s="69">
        <v>67</v>
      </c>
      <c r="H290" s="63">
        <f t="shared" si="9"/>
        <v>0.14408602150537633</v>
      </c>
    </row>
    <row r="291" spans="1:8">
      <c r="A291" s="46">
        <v>505</v>
      </c>
      <c r="B291" s="25" t="s">
        <v>707</v>
      </c>
      <c r="C291" s="25" t="s">
        <v>419</v>
      </c>
      <c r="D291" s="53">
        <v>496.6</v>
      </c>
      <c r="E291" s="47">
        <v>237</v>
      </c>
      <c r="F291" s="72">
        <f t="shared" si="8"/>
        <v>0.47724526782118404</v>
      </c>
      <c r="G291" s="69">
        <v>83</v>
      </c>
      <c r="H291" s="63">
        <f t="shared" si="9"/>
        <v>0.16713652839307289</v>
      </c>
    </row>
    <row r="292" spans="1:8">
      <c r="A292" s="46">
        <v>506</v>
      </c>
      <c r="B292" s="25" t="s">
        <v>708</v>
      </c>
      <c r="C292" s="25" t="s">
        <v>419</v>
      </c>
      <c r="D292" s="53">
        <v>1604.4</v>
      </c>
      <c r="E292" s="47">
        <v>612</v>
      </c>
      <c r="F292" s="72">
        <f t="shared" si="8"/>
        <v>0.38145100972326101</v>
      </c>
      <c r="G292" s="69">
        <v>378</v>
      </c>
      <c r="H292" s="63">
        <f t="shared" si="9"/>
        <v>0.2356020942408377</v>
      </c>
    </row>
    <row r="293" spans="1:8">
      <c r="A293" s="46">
        <v>507</v>
      </c>
      <c r="B293" s="25" t="s">
        <v>709</v>
      </c>
      <c r="C293" s="25" t="s">
        <v>261</v>
      </c>
      <c r="D293" s="53">
        <v>338.5</v>
      </c>
      <c r="E293" s="47">
        <v>172</v>
      </c>
      <c r="F293" s="72">
        <f t="shared" si="8"/>
        <v>0.50812407680945348</v>
      </c>
      <c r="G293" s="69">
        <v>59</v>
      </c>
      <c r="H293" s="63">
        <f t="shared" si="9"/>
        <v>0.17429837518463812</v>
      </c>
    </row>
    <row r="294" spans="1:8">
      <c r="A294" s="46">
        <v>508</v>
      </c>
      <c r="B294" s="25" t="s">
        <v>710</v>
      </c>
      <c r="C294" s="25" t="s">
        <v>306</v>
      </c>
      <c r="D294" s="53">
        <v>927</v>
      </c>
      <c r="E294" s="47">
        <v>481</v>
      </c>
      <c r="F294" s="72">
        <f t="shared" si="8"/>
        <v>0.51887810140237323</v>
      </c>
      <c r="G294" s="69">
        <v>123</v>
      </c>
      <c r="H294" s="63">
        <f t="shared" si="9"/>
        <v>0.13268608414239483</v>
      </c>
    </row>
    <row r="295" spans="1:8">
      <c r="A295" s="46">
        <v>509</v>
      </c>
      <c r="B295" s="25" t="s">
        <v>711</v>
      </c>
      <c r="C295" s="25" t="s">
        <v>232</v>
      </c>
      <c r="D295" s="53">
        <v>222</v>
      </c>
      <c r="E295" s="47">
        <v>67</v>
      </c>
      <c r="F295" s="72">
        <f t="shared" si="8"/>
        <v>0.30180180180180183</v>
      </c>
      <c r="G295" s="69">
        <v>25</v>
      </c>
      <c r="H295" s="63">
        <f t="shared" si="9"/>
        <v>0.11261261261261261</v>
      </c>
    </row>
    <row r="296" spans="1:8">
      <c r="A296" s="46">
        <v>511</v>
      </c>
      <c r="B296" s="25" t="s">
        <v>712</v>
      </c>
      <c r="C296" s="25" t="s">
        <v>242</v>
      </c>
      <c r="D296" s="53">
        <v>139</v>
      </c>
      <c r="E296" s="47">
        <v>51</v>
      </c>
      <c r="F296" s="72">
        <f t="shared" si="8"/>
        <v>0.36690647482014388</v>
      </c>
      <c r="G296" s="69">
        <v>16</v>
      </c>
      <c r="H296" s="63">
        <f t="shared" si="9"/>
        <v>0.11510791366906475</v>
      </c>
    </row>
    <row r="297" spans="1:8" ht="12.75" thickBot="1">
      <c r="A297" s="46">
        <v>512</v>
      </c>
      <c r="B297" s="25" t="s">
        <v>713</v>
      </c>
      <c r="C297" s="25" t="s">
        <v>77</v>
      </c>
      <c r="D297" s="62">
        <v>26548</v>
      </c>
      <c r="E297" s="64">
        <v>6398</v>
      </c>
      <c r="F297" s="71">
        <f t="shared" si="8"/>
        <v>0.24099743860177791</v>
      </c>
      <c r="G297" s="54">
        <v>2130</v>
      </c>
      <c r="H297" s="60">
        <f t="shared" si="9"/>
        <v>8.0232032544824472E-2</v>
      </c>
    </row>
    <row r="298" spans="1:8" ht="12.75" thickTop="1">
      <c r="A298" s="46"/>
      <c r="B298" s="25"/>
      <c r="C298" s="25"/>
      <c r="D298" s="53"/>
      <c r="E298" s="65"/>
      <c r="F298" s="65"/>
    </row>
    <row r="299" spans="1:8">
      <c r="A299" s="46" t="s">
        <v>428</v>
      </c>
      <c r="B299" s="25"/>
      <c r="C299" s="25"/>
      <c r="D299" s="53">
        <f>SUM(D5:D297)</f>
        <v>453362.30000000016</v>
      </c>
      <c r="E299" s="61">
        <f>SUM(E5:E297)</f>
        <v>171073</v>
      </c>
      <c r="F299" s="72">
        <f t="shared" si="8"/>
        <v>0.37734280066957471</v>
      </c>
      <c r="G299" s="61">
        <f>SUM(G5:G297)</f>
        <v>47710</v>
      </c>
      <c r="H299" s="63">
        <f t="shared" si="9"/>
        <v>0.10523592279287444</v>
      </c>
    </row>
    <row r="300" spans="1:8">
      <c r="A300" s="46"/>
      <c r="B300" s="25"/>
      <c r="C300" s="25"/>
      <c r="D300" s="38"/>
      <c r="E300" s="65"/>
      <c r="F300" s="65"/>
    </row>
    <row r="301" spans="1:8">
      <c r="A301" s="46"/>
      <c r="B301" s="25"/>
      <c r="C301" s="25"/>
      <c r="D301" s="52"/>
      <c r="E301" s="47"/>
      <c r="F301" s="47"/>
    </row>
    <row r="302" spans="1:8">
      <c r="A302" s="51"/>
      <c r="B302" s="25"/>
      <c r="C302" s="25"/>
      <c r="D302" s="53"/>
      <c r="E302" s="67"/>
      <c r="F302" s="67"/>
    </row>
    <row r="303" spans="1:8">
      <c r="A303" s="48"/>
      <c r="B303" s="41"/>
      <c r="C303" s="41"/>
      <c r="D303" s="41"/>
      <c r="E303" s="41"/>
      <c r="F303" s="41"/>
    </row>
    <row r="304" spans="1:8">
      <c r="A304" s="48"/>
      <c r="B304" s="41"/>
      <c r="C304" s="41"/>
      <c r="D304" s="41"/>
      <c r="E304" s="41"/>
      <c r="F304" s="41"/>
    </row>
  </sheetData>
  <printOptions horizontalCentered="1" gridLines="1"/>
  <pageMargins left="0.45" right="0.45" top="0.25" bottom="0.5" header="0.3" footer="0.3"/>
  <pageSetup orientation="landscape" r:id="rId1"/>
  <headerFooter>
    <oddFooter>&amp;R&amp;10SF1002.xlsx (AT RISK)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H30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"/>
  <cols>
    <col min="1" max="1" width="9.140625" style="23"/>
    <col min="2" max="2" width="22" style="4" customWidth="1"/>
    <col min="3" max="3" width="15.140625" style="4" customWidth="1"/>
    <col min="4" max="4" width="13.42578125" style="32" bestFit="1" customWidth="1"/>
    <col min="5" max="8" width="15.28515625" style="4" customWidth="1"/>
    <col min="9" max="16384" width="9.140625" style="4"/>
  </cols>
  <sheetData>
    <row r="1" spans="1:8">
      <c r="A1" s="42">
        <v>40387</v>
      </c>
      <c r="B1" s="46"/>
      <c r="C1" s="46"/>
      <c r="D1" s="74" t="s">
        <v>0</v>
      </c>
      <c r="E1" s="77" t="s">
        <v>1</v>
      </c>
      <c r="F1" s="77" t="s">
        <v>2</v>
      </c>
      <c r="G1" s="49" t="s">
        <v>735</v>
      </c>
      <c r="H1" s="49" t="s">
        <v>736</v>
      </c>
    </row>
    <row r="2" spans="1:8">
      <c r="A2" s="46" t="s">
        <v>715</v>
      </c>
      <c r="B2" s="46"/>
      <c r="C2" s="46"/>
      <c r="D2" s="76"/>
      <c r="E2" s="77" t="s">
        <v>715</v>
      </c>
      <c r="F2" s="36"/>
      <c r="G2" s="44"/>
    </row>
    <row r="3" spans="1:8">
      <c r="A3" s="36" t="s">
        <v>715</v>
      </c>
      <c r="B3" s="36"/>
      <c r="C3" s="36"/>
      <c r="D3" s="36" t="s">
        <v>717</v>
      </c>
      <c r="E3" s="36" t="s">
        <v>717</v>
      </c>
      <c r="F3" s="77" t="s">
        <v>717</v>
      </c>
      <c r="G3" s="49" t="s">
        <v>717</v>
      </c>
      <c r="H3" s="49" t="s">
        <v>717</v>
      </c>
    </row>
    <row r="4" spans="1:8">
      <c r="A4" s="36"/>
      <c r="B4" s="36"/>
      <c r="C4" s="36"/>
      <c r="D4" s="36" t="s">
        <v>720</v>
      </c>
      <c r="E4" s="77" t="s">
        <v>729</v>
      </c>
      <c r="F4" s="77" t="s">
        <v>728</v>
      </c>
      <c r="G4" s="49" t="s">
        <v>731</v>
      </c>
      <c r="H4" s="49" t="s">
        <v>733</v>
      </c>
    </row>
    <row r="5" spans="1:8" ht="12.75" thickBot="1">
      <c r="A5" s="40" t="s">
        <v>716</v>
      </c>
      <c r="B5" s="78" t="s">
        <v>10</v>
      </c>
      <c r="C5" s="78" t="s">
        <v>3</v>
      </c>
      <c r="D5" s="66" t="s">
        <v>721</v>
      </c>
      <c r="E5" s="73" t="s">
        <v>730</v>
      </c>
      <c r="F5" s="40" t="s">
        <v>727</v>
      </c>
      <c r="G5" s="68" t="s">
        <v>732</v>
      </c>
      <c r="H5" s="68" t="s">
        <v>734</v>
      </c>
    </row>
    <row r="6" spans="1:8">
      <c r="A6" s="46">
        <v>101</v>
      </c>
      <c r="B6" s="25" t="s">
        <v>433</v>
      </c>
      <c r="C6" s="25" t="s">
        <v>14</v>
      </c>
      <c r="D6" s="53">
        <v>508.5</v>
      </c>
      <c r="E6" s="61">
        <v>4518314</v>
      </c>
      <c r="F6" s="61">
        <v>1490735</v>
      </c>
      <c r="G6" s="27">
        <f>E6+F6</f>
        <v>6009049</v>
      </c>
      <c r="H6" s="27">
        <f>G6/D6</f>
        <v>11817.205506391347</v>
      </c>
    </row>
    <row r="7" spans="1:8">
      <c r="A7" s="46">
        <v>102</v>
      </c>
      <c r="B7" s="25" t="s">
        <v>434</v>
      </c>
      <c r="C7" s="25" t="s">
        <v>16</v>
      </c>
      <c r="D7" s="53">
        <v>658.7</v>
      </c>
      <c r="E7" s="61">
        <v>4829244</v>
      </c>
      <c r="F7" s="61">
        <v>1000000</v>
      </c>
      <c r="G7" s="27">
        <f t="shared" ref="G7:G69" si="0">E7+F7</f>
        <v>5829244</v>
      </c>
      <c r="H7" s="27">
        <f t="shared" ref="H7:H69" si="1">G7/D7</f>
        <v>8849.6189464095933</v>
      </c>
    </row>
    <row r="8" spans="1:8">
      <c r="A8" s="46">
        <v>103</v>
      </c>
      <c r="B8" s="25" t="s">
        <v>435</v>
      </c>
      <c r="C8" s="25" t="s">
        <v>18</v>
      </c>
      <c r="D8" s="53">
        <v>137</v>
      </c>
      <c r="E8" s="61">
        <v>1461170</v>
      </c>
      <c r="F8" s="61">
        <v>479054</v>
      </c>
      <c r="G8" s="27">
        <f t="shared" si="0"/>
        <v>1940224</v>
      </c>
      <c r="H8" s="27">
        <f t="shared" si="1"/>
        <v>14162.21897810219</v>
      </c>
    </row>
    <row r="9" spans="1:8">
      <c r="A9" s="46">
        <v>105</v>
      </c>
      <c r="B9" s="25" t="s">
        <v>437</v>
      </c>
      <c r="C9" s="25" t="s">
        <v>23</v>
      </c>
      <c r="D9" s="53">
        <v>312.2</v>
      </c>
      <c r="E9" s="61">
        <v>2495464</v>
      </c>
      <c r="F9" s="61">
        <v>839000</v>
      </c>
      <c r="G9" s="27">
        <f t="shared" si="0"/>
        <v>3334464</v>
      </c>
      <c r="H9" s="27">
        <f t="shared" si="1"/>
        <v>10680.538116591928</v>
      </c>
    </row>
    <row r="10" spans="1:8">
      <c r="A10" s="46">
        <v>106</v>
      </c>
      <c r="B10" s="25" t="s">
        <v>438</v>
      </c>
      <c r="C10" s="25" t="s">
        <v>25</v>
      </c>
      <c r="D10" s="53">
        <v>164</v>
      </c>
      <c r="E10" s="61">
        <v>1646926</v>
      </c>
      <c r="F10" s="61">
        <v>495439</v>
      </c>
      <c r="G10" s="27">
        <f t="shared" si="0"/>
        <v>2142365</v>
      </c>
      <c r="H10" s="27">
        <f t="shared" si="1"/>
        <v>13063.201219512195</v>
      </c>
    </row>
    <row r="11" spans="1:8">
      <c r="A11" s="46">
        <v>107</v>
      </c>
      <c r="B11" s="25" t="s">
        <v>439</v>
      </c>
      <c r="C11" s="25" t="s">
        <v>20</v>
      </c>
      <c r="D11" s="53">
        <v>292</v>
      </c>
      <c r="E11" s="61">
        <v>3575992</v>
      </c>
      <c r="F11" s="61">
        <v>838916</v>
      </c>
      <c r="G11" s="27">
        <f t="shared" si="0"/>
        <v>4414908</v>
      </c>
      <c r="H11" s="27">
        <f t="shared" si="1"/>
        <v>15119.547945205479</v>
      </c>
    </row>
    <row r="12" spans="1:8">
      <c r="A12" s="46">
        <v>108</v>
      </c>
      <c r="B12" s="25" t="s">
        <v>440</v>
      </c>
      <c r="C12" s="25" t="s">
        <v>28</v>
      </c>
      <c r="D12" s="53">
        <v>396.5</v>
      </c>
      <c r="E12" s="61">
        <v>3301475</v>
      </c>
      <c r="F12" s="61">
        <v>1073220</v>
      </c>
      <c r="G12" s="27">
        <f t="shared" si="0"/>
        <v>4374695</v>
      </c>
      <c r="H12" s="27">
        <f t="shared" si="1"/>
        <v>11033.27868852459</v>
      </c>
    </row>
    <row r="13" spans="1:8">
      <c r="A13" s="46">
        <v>109</v>
      </c>
      <c r="B13" s="25" t="s">
        <v>441</v>
      </c>
      <c r="C13" s="25" t="s">
        <v>30</v>
      </c>
      <c r="D13" s="53">
        <v>471.8</v>
      </c>
      <c r="E13" s="61">
        <v>3879604</v>
      </c>
      <c r="F13" s="61">
        <v>1273899</v>
      </c>
      <c r="G13" s="27">
        <f t="shared" si="0"/>
        <v>5153503</v>
      </c>
      <c r="H13" s="27">
        <f t="shared" si="1"/>
        <v>10923.066977532853</v>
      </c>
    </row>
    <row r="14" spans="1:8">
      <c r="A14" s="46">
        <v>110</v>
      </c>
      <c r="B14" s="25" t="s">
        <v>442</v>
      </c>
      <c r="C14" s="25" t="s">
        <v>32</v>
      </c>
      <c r="D14" s="53">
        <v>236.5</v>
      </c>
      <c r="E14" s="61">
        <v>3042603</v>
      </c>
      <c r="F14" s="61">
        <v>704953</v>
      </c>
      <c r="G14" s="27">
        <f t="shared" si="0"/>
        <v>3747556</v>
      </c>
      <c r="H14" s="27">
        <f t="shared" si="1"/>
        <v>15845.902748414377</v>
      </c>
    </row>
    <row r="15" spans="1:8">
      <c r="A15" s="46">
        <v>111</v>
      </c>
      <c r="B15" s="25" t="s">
        <v>443</v>
      </c>
      <c r="C15" s="25" t="s">
        <v>34</v>
      </c>
      <c r="D15" s="53">
        <v>373.1</v>
      </c>
      <c r="E15" s="61">
        <v>4029071</v>
      </c>
      <c r="F15" s="61">
        <v>820000</v>
      </c>
      <c r="G15" s="27">
        <f t="shared" si="0"/>
        <v>4849071</v>
      </c>
      <c r="H15" s="27">
        <f t="shared" si="1"/>
        <v>12996.705976949879</v>
      </c>
    </row>
    <row r="16" spans="1:8">
      <c r="A16" s="46">
        <v>200</v>
      </c>
      <c r="B16" s="25" t="s">
        <v>444</v>
      </c>
      <c r="C16" s="25" t="s">
        <v>36</v>
      </c>
      <c r="D16" s="53">
        <v>211.8</v>
      </c>
      <c r="E16" s="61">
        <v>1870796</v>
      </c>
      <c r="F16" s="61">
        <v>647279</v>
      </c>
      <c r="G16" s="27">
        <f t="shared" si="0"/>
        <v>2518075</v>
      </c>
      <c r="H16" s="27">
        <f t="shared" si="1"/>
        <v>11888.928234183191</v>
      </c>
    </row>
    <row r="17" spans="1:8">
      <c r="A17" s="46">
        <v>202</v>
      </c>
      <c r="B17" s="25" t="s">
        <v>445</v>
      </c>
      <c r="C17" s="25" t="s">
        <v>38</v>
      </c>
      <c r="D17" s="53">
        <v>3771.6</v>
      </c>
      <c r="E17" s="61">
        <v>24916526</v>
      </c>
      <c r="F17" s="61">
        <v>8201000</v>
      </c>
      <c r="G17" s="27">
        <f t="shared" si="0"/>
        <v>33117526</v>
      </c>
      <c r="H17" s="27">
        <f t="shared" si="1"/>
        <v>8780.7630713755443</v>
      </c>
    </row>
    <row r="18" spans="1:8">
      <c r="A18" s="46">
        <v>203</v>
      </c>
      <c r="B18" s="25" t="s">
        <v>446</v>
      </c>
      <c r="C18" s="25" t="s">
        <v>38</v>
      </c>
      <c r="D18" s="53">
        <v>1630.5</v>
      </c>
      <c r="E18" s="61">
        <v>9780911</v>
      </c>
      <c r="F18" s="61">
        <v>3165494</v>
      </c>
      <c r="G18" s="27">
        <f t="shared" si="0"/>
        <v>12946405</v>
      </c>
      <c r="H18" s="27">
        <f t="shared" si="1"/>
        <v>7940.1441275682309</v>
      </c>
    </row>
    <row r="19" spans="1:8">
      <c r="A19" s="46">
        <v>204</v>
      </c>
      <c r="B19" s="25" t="s">
        <v>447</v>
      </c>
      <c r="C19" s="25" t="s">
        <v>38</v>
      </c>
      <c r="D19" s="53">
        <v>2358.8000000000002</v>
      </c>
      <c r="E19" s="61">
        <v>13936484</v>
      </c>
      <c r="F19" s="61">
        <v>4447938</v>
      </c>
      <c r="G19" s="27">
        <f t="shared" si="0"/>
        <v>18384422</v>
      </c>
      <c r="H19" s="27">
        <f t="shared" si="1"/>
        <v>7793.9723588265215</v>
      </c>
    </row>
    <row r="20" spans="1:8">
      <c r="A20" s="46">
        <v>205</v>
      </c>
      <c r="B20" s="25" t="s">
        <v>448</v>
      </c>
      <c r="C20" s="25" t="s">
        <v>42</v>
      </c>
      <c r="D20" s="53">
        <v>537</v>
      </c>
      <c r="E20" s="61">
        <v>4545997</v>
      </c>
      <c r="F20" s="61">
        <v>1323654</v>
      </c>
      <c r="G20" s="27">
        <f t="shared" si="0"/>
        <v>5869651</v>
      </c>
      <c r="H20" s="27">
        <f t="shared" si="1"/>
        <v>10930.448789571694</v>
      </c>
    </row>
    <row r="21" spans="1:8">
      <c r="A21" s="46">
        <v>206</v>
      </c>
      <c r="B21" s="25" t="s">
        <v>449</v>
      </c>
      <c r="C21" s="25" t="s">
        <v>42</v>
      </c>
      <c r="D21" s="53">
        <v>524</v>
      </c>
      <c r="E21" s="61">
        <v>4080204</v>
      </c>
      <c r="F21" s="61">
        <v>1150000</v>
      </c>
      <c r="G21" s="27">
        <f t="shared" si="0"/>
        <v>5230204</v>
      </c>
      <c r="H21" s="27">
        <f t="shared" si="1"/>
        <v>9981.3053435114507</v>
      </c>
    </row>
    <row r="22" spans="1:8">
      <c r="A22" s="46">
        <v>207</v>
      </c>
      <c r="B22" s="25" t="s">
        <v>450</v>
      </c>
      <c r="C22" s="25" t="s">
        <v>45</v>
      </c>
      <c r="D22" s="53">
        <v>2065</v>
      </c>
      <c r="E22" s="61">
        <v>9999108</v>
      </c>
      <c r="F22" s="61">
        <v>3303379</v>
      </c>
      <c r="G22" s="27">
        <f t="shared" si="0"/>
        <v>13302487</v>
      </c>
      <c r="H22" s="27">
        <f t="shared" si="1"/>
        <v>6441.8823244552059</v>
      </c>
    </row>
    <row r="23" spans="1:8">
      <c r="A23" s="46">
        <v>208</v>
      </c>
      <c r="B23" s="25" t="s">
        <v>451</v>
      </c>
      <c r="C23" s="25" t="s">
        <v>47</v>
      </c>
      <c r="D23" s="53">
        <v>411.2</v>
      </c>
      <c r="E23" s="61">
        <v>3425446</v>
      </c>
      <c r="F23" s="61">
        <v>708000</v>
      </c>
      <c r="G23" s="27">
        <f t="shared" si="0"/>
        <v>4133446</v>
      </c>
      <c r="H23" s="27">
        <f t="shared" si="1"/>
        <v>10052.154669260701</v>
      </c>
    </row>
    <row r="24" spans="1:8">
      <c r="A24" s="46">
        <v>209</v>
      </c>
      <c r="B24" s="25" t="s">
        <v>452</v>
      </c>
      <c r="C24" s="25" t="s">
        <v>49</v>
      </c>
      <c r="D24" s="53">
        <v>187.8</v>
      </c>
      <c r="E24" s="61">
        <v>1941808</v>
      </c>
      <c r="F24" s="61">
        <v>661921</v>
      </c>
      <c r="G24" s="27">
        <f t="shared" si="0"/>
        <v>2603729</v>
      </c>
      <c r="H24" s="27">
        <f t="shared" si="1"/>
        <v>13864.371671991479</v>
      </c>
    </row>
    <row r="25" spans="1:8">
      <c r="A25" s="46">
        <v>210</v>
      </c>
      <c r="B25" s="25" t="s">
        <v>453</v>
      </c>
      <c r="C25" s="25" t="s">
        <v>49</v>
      </c>
      <c r="D25" s="53">
        <v>985.7</v>
      </c>
      <c r="E25" s="61">
        <v>7007359</v>
      </c>
      <c r="F25" s="61">
        <v>2219586</v>
      </c>
      <c r="G25" s="27">
        <f t="shared" si="0"/>
        <v>9226945</v>
      </c>
      <c r="H25" s="27">
        <f t="shared" si="1"/>
        <v>9360.8045044131068</v>
      </c>
    </row>
    <row r="26" spans="1:8">
      <c r="A26" s="46">
        <v>211</v>
      </c>
      <c r="B26" s="25" t="s">
        <v>52</v>
      </c>
      <c r="C26" s="25" t="s">
        <v>52</v>
      </c>
      <c r="D26" s="53">
        <v>688.9</v>
      </c>
      <c r="E26" s="61">
        <v>5032252</v>
      </c>
      <c r="F26" s="61">
        <v>1403600</v>
      </c>
      <c r="G26" s="27">
        <f t="shared" si="0"/>
        <v>6435852</v>
      </c>
      <c r="H26" s="27">
        <f t="shared" si="1"/>
        <v>9342.2151255624904</v>
      </c>
    </row>
    <row r="27" spans="1:8">
      <c r="A27" s="46">
        <v>212</v>
      </c>
      <c r="B27" s="25" t="s">
        <v>454</v>
      </c>
      <c r="C27" s="25" t="s">
        <v>52</v>
      </c>
      <c r="D27" s="53">
        <v>195</v>
      </c>
      <c r="E27" s="61">
        <v>1969892</v>
      </c>
      <c r="F27" s="61">
        <v>547000</v>
      </c>
      <c r="G27" s="27">
        <f t="shared" si="0"/>
        <v>2516892</v>
      </c>
      <c r="H27" s="27">
        <f t="shared" si="1"/>
        <v>12907.138461538461</v>
      </c>
    </row>
    <row r="28" spans="1:8">
      <c r="A28" s="46">
        <v>213</v>
      </c>
      <c r="B28" s="25" t="s">
        <v>455</v>
      </c>
      <c r="C28" s="25" t="s">
        <v>52</v>
      </c>
      <c r="D28" s="53">
        <v>38</v>
      </c>
      <c r="E28" s="61">
        <v>438913</v>
      </c>
      <c r="F28" s="61">
        <v>151504</v>
      </c>
      <c r="G28" s="27">
        <f t="shared" si="0"/>
        <v>590417</v>
      </c>
      <c r="H28" s="27">
        <f t="shared" si="1"/>
        <v>15537.28947368421</v>
      </c>
    </row>
    <row r="29" spans="1:8">
      <c r="A29" s="46">
        <v>214</v>
      </c>
      <c r="B29" s="25" t="s">
        <v>456</v>
      </c>
      <c r="C29" s="25" t="s">
        <v>56</v>
      </c>
      <c r="D29" s="53">
        <v>1610.4</v>
      </c>
      <c r="E29" s="61">
        <v>10088976</v>
      </c>
      <c r="F29" s="61">
        <v>3236151</v>
      </c>
      <c r="G29" s="27">
        <f t="shared" si="0"/>
        <v>13325127</v>
      </c>
      <c r="H29" s="27">
        <f t="shared" si="1"/>
        <v>8274.4206408345744</v>
      </c>
    </row>
    <row r="30" spans="1:8">
      <c r="A30" s="46">
        <v>215</v>
      </c>
      <c r="B30" s="25" t="s">
        <v>457</v>
      </c>
      <c r="C30" s="25" t="s">
        <v>58</v>
      </c>
      <c r="D30" s="53">
        <v>628.5</v>
      </c>
      <c r="E30" s="61">
        <v>4819616</v>
      </c>
      <c r="F30" s="61">
        <v>1450474</v>
      </c>
      <c r="G30" s="27">
        <f t="shared" si="0"/>
        <v>6270090</v>
      </c>
      <c r="H30" s="27">
        <f t="shared" si="1"/>
        <v>9976.2768496420049</v>
      </c>
    </row>
    <row r="31" spans="1:8">
      <c r="A31" s="46">
        <v>216</v>
      </c>
      <c r="B31" s="25" t="s">
        <v>458</v>
      </c>
      <c r="C31" s="25" t="s">
        <v>58</v>
      </c>
      <c r="D31" s="53">
        <v>246.9</v>
      </c>
      <c r="E31" s="61">
        <v>2431272</v>
      </c>
      <c r="F31" s="61">
        <v>809180</v>
      </c>
      <c r="G31" s="27">
        <f t="shared" si="0"/>
        <v>3240452</v>
      </c>
      <c r="H31" s="27">
        <f t="shared" si="1"/>
        <v>13124.55245038477</v>
      </c>
    </row>
    <row r="32" spans="1:8">
      <c r="A32" s="46">
        <v>217</v>
      </c>
      <c r="B32" s="25" t="s">
        <v>459</v>
      </c>
      <c r="C32" s="25" t="s">
        <v>61</v>
      </c>
      <c r="D32" s="53">
        <v>199.5</v>
      </c>
      <c r="E32" s="61">
        <v>1827065</v>
      </c>
      <c r="F32" s="61">
        <v>610040</v>
      </c>
      <c r="G32" s="27">
        <f t="shared" si="0"/>
        <v>2437105</v>
      </c>
      <c r="H32" s="27">
        <f t="shared" si="1"/>
        <v>12216.065162907269</v>
      </c>
    </row>
    <row r="33" spans="1:8">
      <c r="A33" s="46">
        <v>218</v>
      </c>
      <c r="B33" s="25" t="s">
        <v>460</v>
      </c>
      <c r="C33" s="25" t="s">
        <v>61</v>
      </c>
      <c r="D33" s="53">
        <v>633.9</v>
      </c>
      <c r="E33" s="61">
        <v>4833658</v>
      </c>
      <c r="F33" s="61">
        <v>1610448</v>
      </c>
      <c r="G33" s="27">
        <f t="shared" si="0"/>
        <v>6444106</v>
      </c>
      <c r="H33" s="27">
        <f t="shared" si="1"/>
        <v>10165.808487143084</v>
      </c>
    </row>
    <row r="34" spans="1:8">
      <c r="A34" s="46">
        <v>219</v>
      </c>
      <c r="B34" s="25" t="s">
        <v>461</v>
      </c>
      <c r="C34" s="25" t="s">
        <v>64</v>
      </c>
      <c r="D34" s="53">
        <v>261.10000000000002</v>
      </c>
      <c r="E34" s="61">
        <v>2125558</v>
      </c>
      <c r="F34" s="61">
        <v>640300</v>
      </c>
      <c r="G34" s="27">
        <f t="shared" si="0"/>
        <v>2765858</v>
      </c>
      <c r="H34" s="27">
        <f t="shared" si="1"/>
        <v>10593.098429720412</v>
      </c>
    </row>
    <row r="35" spans="1:8">
      <c r="A35" s="46">
        <v>220</v>
      </c>
      <c r="B35" s="25" t="s">
        <v>462</v>
      </c>
      <c r="C35" s="25" t="s">
        <v>64</v>
      </c>
      <c r="D35" s="53">
        <v>221</v>
      </c>
      <c r="E35" s="61">
        <v>1905700</v>
      </c>
      <c r="F35" s="61">
        <v>530000</v>
      </c>
      <c r="G35" s="27">
        <f t="shared" si="0"/>
        <v>2435700</v>
      </c>
      <c r="H35" s="27">
        <f t="shared" si="1"/>
        <v>11021.266968325792</v>
      </c>
    </row>
    <row r="36" spans="1:8">
      <c r="A36" s="46">
        <v>223</v>
      </c>
      <c r="B36" s="25" t="s">
        <v>464</v>
      </c>
      <c r="C36" s="25" t="s">
        <v>28</v>
      </c>
      <c r="D36" s="53">
        <v>329.7</v>
      </c>
      <c r="E36" s="61">
        <v>2780717</v>
      </c>
      <c r="F36" s="61">
        <v>918906</v>
      </c>
      <c r="G36" s="27">
        <f t="shared" si="0"/>
        <v>3699623</v>
      </c>
      <c r="H36" s="27">
        <f t="shared" si="1"/>
        <v>11221.179860479224</v>
      </c>
    </row>
    <row r="37" spans="1:8">
      <c r="A37" s="46">
        <v>224</v>
      </c>
      <c r="B37" s="25" t="s">
        <v>465</v>
      </c>
      <c r="C37" s="25" t="s">
        <v>28</v>
      </c>
      <c r="D37" s="53">
        <v>278.5</v>
      </c>
      <c r="E37" s="61">
        <v>2387942</v>
      </c>
      <c r="F37" s="61">
        <v>658750</v>
      </c>
      <c r="G37" s="27">
        <f t="shared" si="0"/>
        <v>3046692</v>
      </c>
      <c r="H37" s="27">
        <f t="shared" si="1"/>
        <v>10939.648114901256</v>
      </c>
    </row>
    <row r="38" spans="1:8">
      <c r="A38" s="46">
        <v>225</v>
      </c>
      <c r="B38" s="25" t="s">
        <v>466</v>
      </c>
      <c r="C38" s="25" t="s">
        <v>71</v>
      </c>
      <c r="D38" s="53">
        <v>161</v>
      </c>
      <c r="E38" s="61">
        <v>1548231</v>
      </c>
      <c r="F38" s="61">
        <v>523403</v>
      </c>
      <c r="G38" s="27">
        <f t="shared" si="0"/>
        <v>2071634</v>
      </c>
      <c r="H38" s="27">
        <f t="shared" si="1"/>
        <v>12867.291925465839</v>
      </c>
    </row>
    <row r="39" spans="1:8">
      <c r="A39" s="46">
        <v>226</v>
      </c>
      <c r="B39" s="25" t="s">
        <v>71</v>
      </c>
      <c r="C39" s="25" t="s">
        <v>71</v>
      </c>
      <c r="D39" s="53">
        <v>475.7</v>
      </c>
      <c r="E39" s="61">
        <v>3512105</v>
      </c>
      <c r="F39" s="61">
        <v>1139574</v>
      </c>
      <c r="G39" s="27">
        <f t="shared" si="0"/>
        <v>4651679</v>
      </c>
      <c r="H39" s="27">
        <f t="shared" si="1"/>
        <v>9778.5978557914659</v>
      </c>
    </row>
    <row r="40" spans="1:8">
      <c r="A40" s="46">
        <v>227</v>
      </c>
      <c r="B40" s="25" t="s">
        <v>467</v>
      </c>
      <c r="C40" s="25" t="s">
        <v>74</v>
      </c>
      <c r="D40" s="53">
        <v>264.5</v>
      </c>
      <c r="E40" s="61">
        <v>2126360</v>
      </c>
      <c r="F40" s="61">
        <v>697881</v>
      </c>
      <c r="G40" s="27">
        <f t="shared" si="0"/>
        <v>2824241</v>
      </c>
      <c r="H40" s="27">
        <f t="shared" si="1"/>
        <v>10677.659735349716</v>
      </c>
    </row>
    <row r="41" spans="1:8">
      <c r="A41" s="46">
        <v>228</v>
      </c>
      <c r="B41" s="25" t="s">
        <v>468</v>
      </c>
      <c r="C41" s="25" t="s">
        <v>74</v>
      </c>
      <c r="D41" s="53">
        <v>74.5</v>
      </c>
      <c r="E41" s="61">
        <v>801196</v>
      </c>
      <c r="F41" s="61">
        <v>255834</v>
      </c>
      <c r="G41" s="27">
        <f t="shared" si="0"/>
        <v>1057030</v>
      </c>
      <c r="H41" s="27">
        <f t="shared" si="1"/>
        <v>14188.322147651006</v>
      </c>
    </row>
    <row r="42" spans="1:8">
      <c r="A42" s="46">
        <v>229</v>
      </c>
      <c r="B42" s="25" t="s">
        <v>469</v>
      </c>
      <c r="C42" s="25" t="s">
        <v>77</v>
      </c>
      <c r="D42" s="53">
        <v>20308</v>
      </c>
      <c r="E42" s="61">
        <v>116803362</v>
      </c>
      <c r="F42" s="61">
        <v>40381147</v>
      </c>
      <c r="G42" s="27">
        <f t="shared" si="0"/>
        <v>157184509</v>
      </c>
      <c r="H42" s="27">
        <f t="shared" si="1"/>
        <v>7740.0290033484343</v>
      </c>
    </row>
    <row r="43" spans="1:8">
      <c r="A43" s="46">
        <v>230</v>
      </c>
      <c r="B43" s="25" t="s">
        <v>470</v>
      </c>
      <c r="C43" s="25" t="s">
        <v>77</v>
      </c>
      <c r="D43" s="53">
        <v>2828.3</v>
      </c>
      <c r="E43" s="61">
        <v>14896957</v>
      </c>
      <c r="F43" s="61">
        <v>4948603</v>
      </c>
      <c r="G43" s="27">
        <f t="shared" si="0"/>
        <v>19845560</v>
      </c>
      <c r="H43" s="27">
        <f t="shared" si="1"/>
        <v>7016.7803981190109</v>
      </c>
    </row>
    <row r="44" spans="1:8">
      <c r="A44" s="46">
        <v>231</v>
      </c>
      <c r="B44" s="25" t="s">
        <v>471</v>
      </c>
      <c r="C44" s="25" t="s">
        <v>77</v>
      </c>
      <c r="D44" s="53">
        <v>4549.8999999999996</v>
      </c>
      <c r="E44" s="61">
        <v>26025067</v>
      </c>
      <c r="F44" s="61">
        <v>8466980</v>
      </c>
      <c r="G44" s="27">
        <f t="shared" si="0"/>
        <v>34492047</v>
      </c>
      <c r="H44" s="27">
        <f t="shared" si="1"/>
        <v>7580.8362821160908</v>
      </c>
    </row>
    <row r="45" spans="1:8">
      <c r="A45" s="46">
        <v>232</v>
      </c>
      <c r="B45" s="25" t="s">
        <v>472</v>
      </c>
      <c r="C45" s="25" t="s">
        <v>77</v>
      </c>
      <c r="D45" s="53">
        <v>6214.7</v>
      </c>
      <c r="E45" s="61">
        <v>34867490</v>
      </c>
      <c r="F45" s="61">
        <v>11533491</v>
      </c>
      <c r="G45" s="27">
        <f t="shared" si="0"/>
        <v>46400981</v>
      </c>
      <c r="H45" s="27">
        <f t="shared" si="1"/>
        <v>7466.3267736173912</v>
      </c>
    </row>
    <row r="46" spans="1:8">
      <c r="A46" s="46">
        <v>233</v>
      </c>
      <c r="B46" s="25" t="s">
        <v>473</v>
      </c>
      <c r="C46" s="25" t="s">
        <v>77</v>
      </c>
      <c r="D46" s="53">
        <v>25478.400000000001</v>
      </c>
      <c r="E46" s="61">
        <v>149840577</v>
      </c>
      <c r="F46" s="61">
        <v>52737142</v>
      </c>
      <c r="G46" s="27">
        <f t="shared" si="0"/>
        <v>202577719</v>
      </c>
      <c r="H46" s="27">
        <f t="shared" si="1"/>
        <v>7950.9592046596326</v>
      </c>
    </row>
    <row r="47" spans="1:8">
      <c r="A47" s="46">
        <v>234</v>
      </c>
      <c r="B47" s="25" t="s">
        <v>474</v>
      </c>
      <c r="C47" s="25" t="s">
        <v>83</v>
      </c>
      <c r="D47" s="53">
        <v>1890.8</v>
      </c>
      <c r="E47" s="61">
        <v>11929281</v>
      </c>
      <c r="F47" s="61">
        <v>2500000</v>
      </c>
      <c r="G47" s="27">
        <f t="shared" si="0"/>
        <v>14429281</v>
      </c>
      <c r="H47" s="27">
        <f t="shared" si="1"/>
        <v>7631.3100275015868</v>
      </c>
    </row>
    <row r="48" spans="1:8">
      <c r="A48" s="46">
        <v>235</v>
      </c>
      <c r="B48" s="25" t="s">
        <v>475</v>
      </c>
      <c r="C48" s="25" t="s">
        <v>83</v>
      </c>
      <c r="D48" s="53">
        <v>437.6</v>
      </c>
      <c r="E48" s="61">
        <v>3646507</v>
      </c>
      <c r="F48" s="61">
        <v>719000</v>
      </c>
      <c r="G48" s="27">
        <f t="shared" si="0"/>
        <v>4365507</v>
      </c>
      <c r="H48" s="27">
        <f t="shared" si="1"/>
        <v>9976.0214808043875</v>
      </c>
    </row>
    <row r="49" spans="1:8">
      <c r="A49" s="46">
        <v>237</v>
      </c>
      <c r="B49" s="25" t="s">
        <v>476</v>
      </c>
      <c r="C49" s="25" t="s">
        <v>86</v>
      </c>
      <c r="D49" s="53">
        <v>433</v>
      </c>
      <c r="E49" s="61">
        <v>3561051</v>
      </c>
      <c r="F49" s="61">
        <v>1181082</v>
      </c>
      <c r="G49" s="27">
        <f t="shared" si="0"/>
        <v>4742133</v>
      </c>
      <c r="H49" s="27">
        <f t="shared" si="1"/>
        <v>10951.808314087761</v>
      </c>
    </row>
    <row r="50" spans="1:8">
      <c r="A50" s="46">
        <v>239</v>
      </c>
      <c r="B50" s="25" t="s">
        <v>478</v>
      </c>
      <c r="C50" s="25" t="s">
        <v>89</v>
      </c>
      <c r="D50" s="53">
        <v>619.20000000000005</v>
      </c>
      <c r="E50" s="61">
        <v>4649507</v>
      </c>
      <c r="F50" s="61">
        <v>1515000</v>
      </c>
      <c r="G50" s="27">
        <f t="shared" si="0"/>
        <v>6164507</v>
      </c>
      <c r="H50" s="27">
        <f t="shared" si="1"/>
        <v>9955.599160206717</v>
      </c>
    </row>
    <row r="51" spans="1:8">
      <c r="A51" s="46">
        <v>240</v>
      </c>
      <c r="B51" s="25" t="s">
        <v>479</v>
      </c>
      <c r="C51" s="25" t="s">
        <v>89</v>
      </c>
      <c r="D51" s="53">
        <v>606.5</v>
      </c>
      <c r="E51" s="61">
        <v>4584512</v>
      </c>
      <c r="F51" s="61">
        <v>1492832</v>
      </c>
      <c r="G51" s="27">
        <f t="shared" si="0"/>
        <v>6077344</v>
      </c>
      <c r="H51" s="27">
        <f t="shared" si="1"/>
        <v>10020.352844187964</v>
      </c>
    </row>
    <row r="52" spans="1:8">
      <c r="A52" s="46">
        <v>241</v>
      </c>
      <c r="B52" s="25" t="s">
        <v>92</v>
      </c>
      <c r="C52" s="25" t="s">
        <v>92</v>
      </c>
      <c r="D52" s="53">
        <v>198.5</v>
      </c>
      <c r="E52" s="61">
        <v>1758058</v>
      </c>
      <c r="F52" s="61">
        <v>385000</v>
      </c>
      <c r="G52" s="27">
        <f t="shared" si="0"/>
        <v>2143058</v>
      </c>
      <c r="H52" s="27">
        <f t="shared" si="1"/>
        <v>10796.261964735517</v>
      </c>
    </row>
    <row r="53" spans="1:8">
      <c r="A53" s="46">
        <v>242</v>
      </c>
      <c r="B53" s="25" t="s">
        <v>480</v>
      </c>
      <c r="C53" s="25" t="s">
        <v>92</v>
      </c>
      <c r="D53" s="53">
        <v>103</v>
      </c>
      <c r="E53" s="61">
        <v>1059970</v>
      </c>
      <c r="F53" s="61">
        <v>347456</v>
      </c>
      <c r="G53" s="27">
        <f t="shared" si="0"/>
        <v>1407426</v>
      </c>
      <c r="H53" s="27">
        <f t="shared" si="1"/>
        <v>13664.330097087379</v>
      </c>
    </row>
    <row r="54" spans="1:8">
      <c r="A54" s="46">
        <v>243</v>
      </c>
      <c r="B54" s="25" t="s">
        <v>481</v>
      </c>
      <c r="C54" s="25" t="s">
        <v>95</v>
      </c>
      <c r="D54" s="53">
        <v>526</v>
      </c>
      <c r="E54" s="61">
        <v>4016814</v>
      </c>
      <c r="F54" s="61">
        <v>1106647</v>
      </c>
      <c r="G54" s="27">
        <f t="shared" si="0"/>
        <v>5123461</v>
      </c>
      <c r="H54" s="27">
        <f t="shared" si="1"/>
        <v>9740.4201520912557</v>
      </c>
    </row>
    <row r="55" spans="1:8">
      <c r="A55" s="46">
        <v>244</v>
      </c>
      <c r="B55" s="25" t="s">
        <v>482</v>
      </c>
      <c r="C55" s="25" t="s">
        <v>95</v>
      </c>
      <c r="D55" s="53">
        <v>823</v>
      </c>
      <c r="E55" s="61">
        <v>6180887</v>
      </c>
      <c r="F55" s="61">
        <v>2064050</v>
      </c>
      <c r="G55" s="27">
        <f t="shared" si="0"/>
        <v>8244937</v>
      </c>
      <c r="H55" s="27">
        <f t="shared" si="1"/>
        <v>10018.149453219927</v>
      </c>
    </row>
    <row r="56" spans="1:8">
      <c r="A56" s="46">
        <v>245</v>
      </c>
      <c r="B56" s="25" t="s">
        <v>483</v>
      </c>
      <c r="C56" s="25" t="s">
        <v>95</v>
      </c>
      <c r="D56" s="53">
        <v>246.5</v>
      </c>
      <c r="E56" s="61">
        <v>2221846</v>
      </c>
      <c r="F56" s="61">
        <v>550000</v>
      </c>
      <c r="G56" s="27">
        <f t="shared" si="0"/>
        <v>2771846</v>
      </c>
      <c r="H56" s="27">
        <f t="shared" si="1"/>
        <v>11244.811359026369</v>
      </c>
    </row>
    <row r="57" spans="1:8">
      <c r="A57" s="46">
        <v>246</v>
      </c>
      <c r="B57" s="25" t="s">
        <v>484</v>
      </c>
      <c r="C57" s="25" t="s">
        <v>99</v>
      </c>
      <c r="D57" s="53">
        <v>561.5</v>
      </c>
      <c r="E57" s="61">
        <v>4543971</v>
      </c>
      <c r="F57" s="61">
        <v>1340000</v>
      </c>
      <c r="G57" s="27">
        <f t="shared" si="0"/>
        <v>5883971</v>
      </c>
      <c r="H57" s="27">
        <f t="shared" si="1"/>
        <v>10479.022261798753</v>
      </c>
    </row>
    <row r="58" spans="1:8">
      <c r="A58" s="46">
        <v>247</v>
      </c>
      <c r="B58" s="25" t="s">
        <v>306</v>
      </c>
      <c r="C58" s="25" t="s">
        <v>99</v>
      </c>
      <c r="D58" s="53">
        <v>657</v>
      </c>
      <c r="E58" s="61">
        <v>5371667</v>
      </c>
      <c r="F58" s="61">
        <v>1715000</v>
      </c>
      <c r="G58" s="27">
        <f t="shared" si="0"/>
        <v>7086667</v>
      </c>
      <c r="H58" s="27">
        <f t="shared" si="1"/>
        <v>10786.403348554033</v>
      </c>
    </row>
    <row r="59" spans="1:8">
      <c r="A59" s="46">
        <v>248</v>
      </c>
      <c r="B59" s="25" t="s">
        <v>485</v>
      </c>
      <c r="C59" s="25" t="s">
        <v>99</v>
      </c>
      <c r="D59" s="53">
        <v>1008.8</v>
      </c>
      <c r="E59" s="61">
        <v>7029702</v>
      </c>
      <c r="F59" s="61">
        <v>1995000</v>
      </c>
      <c r="G59" s="27">
        <f t="shared" si="0"/>
        <v>9024702</v>
      </c>
      <c r="H59" s="27">
        <f t="shared" si="1"/>
        <v>8945.9773988897705</v>
      </c>
    </row>
    <row r="60" spans="1:8">
      <c r="A60" s="46">
        <v>249</v>
      </c>
      <c r="B60" s="25" t="s">
        <v>486</v>
      </c>
      <c r="C60" s="25" t="s">
        <v>99</v>
      </c>
      <c r="D60" s="53">
        <v>850</v>
      </c>
      <c r="E60" s="61">
        <v>5687812</v>
      </c>
      <c r="F60" s="61">
        <v>1500000</v>
      </c>
      <c r="G60" s="27">
        <f t="shared" si="0"/>
        <v>7187812</v>
      </c>
      <c r="H60" s="27">
        <f t="shared" si="1"/>
        <v>8456.2494117647057</v>
      </c>
    </row>
    <row r="61" spans="1:8">
      <c r="A61" s="46">
        <v>250</v>
      </c>
      <c r="B61" s="25" t="s">
        <v>487</v>
      </c>
      <c r="C61" s="25" t="s">
        <v>99</v>
      </c>
      <c r="D61" s="53">
        <v>2700.2</v>
      </c>
      <c r="E61" s="61">
        <v>17706160</v>
      </c>
      <c r="F61" s="61">
        <v>5250000</v>
      </c>
      <c r="G61" s="27">
        <f t="shared" si="0"/>
        <v>22956160</v>
      </c>
      <c r="H61" s="27">
        <f t="shared" si="1"/>
        <v>8501.6517295015183</v>
      </c>
    </row>
    <row r="62" spans="1:8">
      <c r="A62" s="46">
        <v>251</v>
      </c>
      <c r="B62" s="25" t="s">
        <v>488</v>
      </c>
      <c r="C62" s="25" t="s">
        <v>105</v>
      </c>
      <c r="D62" s="53">
        <v>506.6</v>
      </c>
      <c r="E62" s="61">
        <v>4041689</v>
      </c>
      <c r="F62" s="61">
        <v>1285873</v>
      </c>
      <c r="G62" s="27">
        <f t="shared" si="0"/>
        <v>5327562</v>
      </c>
      <c r="H62" s="27">
        <f t="shared" si="1"/>
        <v>10516.308724832214</v>
      </c>
    </row>
    <row r="63" spans="1:8">
      <c r="A63" s="46">
        <v>252</v>
      </c>
      <c r="B63" s="25" t="s">
        <v>489</v>
      </c>
      <c r="C63" s="25" t="s">
        <v>105</v>
      </c>
      <c r="D63" s="53">
        <v>498.3</v>
      </c>
      <c r="E63" s="61">
        <v>3877999</v>
      </c>
      <c r="F63" s="61">
        <v>1233157</v>
      </c>
      <c r="G63" s="27">
        <f t="shared" si="0"/>
        <v>5111156</v>
      </c>
      <c r="H63" s="27">
        <f t="shared" si="1"/>
        <v>10257.186433875175</v>
      </c>
    </row>
    <row r="64" spans="1:8">
      <c r="A64" s="46">
        <v>253</v>
      </c>
      <c r="B64" s="25" t="s">
        <v>490</v>
      </c>
      <c r="C64" s="25" t="s">
        <v>105</v>
      </c>
      <c r="D64" s="53">
        <v>4328.1000000000004</v>
      </c>
      <c r="E64" s="61">
        <v>29415583</v>
      </c>
      <c r="F64" s="61">
        <v>8769542</v>
      </c>
      <c r="G64" s="27">
        <f t="shared" si="0"/>
        <v>38185125</v>
      </c>
      <c r="H64" s="27">
        <f t="shared" si="1"/>
        <v>8822.6069175850826</v>
      </c>
    </row>
    <row r="65" spans="1:8">
      <c r="A65" s="46">
        <v>254</v>
      </c>
      <c r="B65" s="25" t="s">
        <v>491</v>
      </c>
      <c r="C65" s="25" t="s">
        <v>109</v>
      </c>
      <c r="D65" s="53">
        <v>454.5</v>
      </c>
      <c r="E65" s="61">
        <v>3773953</v>
      </c>
      <c r="F65" s="61">
        <v>1259876</v>
      </c>
      <c r="G65" s="27">
        <f t="shared" si="0"/>
        <v>5033829</v>
      </c>
      <c r="H65" s="27">
        <f t="shared" si="1"/>
        <v>11075.531353135313</v>
      </c>
    </row>
    <row r="66" spans="1:8">
      <c r="A66" s="46">
        <v>255</v>
      </c>
      <c r="B66" s="25" t="s">
        <v>492</v>
      </c>
      <c r="C66" s="25" t="s">
        <v>109</v>
      </c>
      <c r="D66" s="53">
        <v>227.5</v>
      </c>
      <c r="E66" s="61">
        <v>2027665</v>
      </c>
      <c r="F66" s="61">
        <v>664910</v>
      </c>
      <c r="G66" s="27">
        <f t="shared" si="0"/>
        <v>2692575</v>
      </c>
      <c r="H66" s="27">
        <f t="shared" si="1"/>
        <v>11835.494505494506</v>
      </c>
    </row>
    <row r="67" spans="1:8">
      <c r="A67" s="46">
        <v>256</v>
      </c>
      <c r="B67" s="25" t="s">
        <v>493</v>
      </c>
      <c r="C67" s="25" t="s">
        <v>112</v>
      </c>
      <c r="D67" s="53">
        <v>338.5</v>
      </c>
      <c r="E67" s="61">
        <v>2939994</v>
      </c>
      <c r="F67" s="61">
        <v>373000</v>
      </c>
      <c r="G67" s="27">
        <f t="shared" si="0"/>
        <v>3312994</v>
      </c>
      <c r="H67" s="27">
        <f t="shared" si="1"/>
        <v>9787.2791728212705</v>
      </c>
    </row>
    <row r="68" spans="1:8">
      <c r="A68" s="46">
        <v>257</v>
      </c>
      <c r="B68" s="25" t="s">
        <v>494</v>
      </c>
      <c r="C68" s="25" t="s">
        <v>112</v>
      </c>
      <c r="D68" s="53">
        <v>1300.9000000000001</v>
      </c>
      <c r="E68" s="61">
        <v>9578249</v>
      </c>
      <c r="F68" s="61">
        <v>3182306</v>
      </c>
      <c r="G68" s="27">
        <f t="shared" si="0"/>
        <v>12760555</v>
      </c>
      <c r="H68" s="27">
        <f t="shared" si="1"/>
        <v>9809.0206779921591</v>
      </c>
    </row>
    <row r="69" spans="1:8">
      <c r="A69" s="46">
        <v>258</v>
      </c>
      <c r="B69" s="25" t="s">
        <v>495</v>
      </c>
      <c r="C69" s="25" t="s">
        <v>112</v>
      </c>
      <c r="D69" s="53">
        <v>528.5</v>
      </c>
      <c r="E69" s="61">
        <v>4028449</v>
      </c>
      <c r="F69" s="61">
        <v>937000</v>
      </c>
      <c r="G69" s="27">
        <f t="shared" si="0"/>
        <v>4965449</v>
      </c>
      <c r="H69" s="27">
        <f t="shared" si="1"/>
        <v>9395.3623462630094</v>
      </c>
    </row>
    <row r="70" spans="1:8">
      <c r="A70" s="46">
        <v>259</v>
      </c>
      <c r="B70" s="25" t="s">
        <v>380</v>
      </c>
      <c r="C70" s="25" t="s">
        <v>116</v>
      </c>
      <c r="D70" s="53">
        <v>46225</v>
      </c>
      <c r="E70" s="61">
        <v>316286421</v>
      </c>
      <c r="F70" s="61">
        <v>100371138</v>
      </c>
      <c r="G70" s="27">
        <f t="shared" ref="G70:G131" si="2">E70+F70</f>
        <v>416657559</v>
      </c>
      <c r="H70" s="27">
        <f t="shared" ref="H70:H131" si="3">G70/D70</f>
        <v>9013.6843482963759</v>
      </c>
    </row>
    <row r="71" spans="1:8">
      <c r="A71" s="46">
        <v>260</v>
      </c>
      <c r="B71" s="25" t="s">
        <v>496</v>
      </c>
      <c r="C71" s="25" t="s">
        <v>116</v>
      </c>
      <c r="D71" s="53">
        <v>6254.9</v>
      </c>
      <c r="E71" s="61">
        <v>35978814</v>
      </c>
      <c r="F71" s="61">
        <v>11862600</v>
      </c>
      <c r="G71" s="27">
        <f t="shared" si="2"/>
        <v>47841414</v>
      </c>
      <c r="H71" s="27">
        <f t="shared" si="3"/>
        <v>7648.6297143039865</v>
      </c>
    </row>
    <row r="72" spans="1:8">
      <c r="A72" s="46">
        <v>261</v>
      </c>
      <c r="B72" s="25" t="s">
        <v>497</v>
      </c>
      <c r="C72" s="25" t="s">
        <v>116</v>
      </c>
      <c r="D72" s="53">
        <v>4782.3999999999996</v>
      </c>
      <c r="E72" s="61">
        <v>29909460</v>
      </c>
      <c r="F72" s="61">
        <v>9298220</v>
      </c>
      <c r="G72" s="27">
        <f t="shared" si="2"/>
        <v>39207680</v>
      </c>
      <c r="H72" s="27">
        <f t="shared" si="3"/>
        <v>8198.3271997323518</v>
      </c>
    </row>
    <row r="73" spans="1:8">
      <c r="A73" s="46">
        <v>262</v>
      </c>
      <c r="B73" s="25" t="s">
        <v>498</v>
      </c>
      <c r="C73" s="25" t="s">
        <v>116</v>
      </c>
      <c r="D73" s="53">
        <v>2553.6999999999998</v>
      </c>
      <c r="E73" s="61">
        <v>14640421</v>
      </c>
      <c r="F73" s="61">
        <v>4290496</v>
      </c>
      <c r="G73" s="27">
        <f t="shared" si="2"/>
        <v>18930917</v>
      </c>
      <c r="H73" s="27">
        <f t="shared" si="3"/>
        <v>7413.1327094020444</v>
      </c>
    </row>
    <row r="74" spans="1:8">
      <c r="A74" s="46">
        <v>263</v>
      </c>
      <c r="B74" s="25" t="s">
        <v>499</v>
      </c>
      <c r="C74" s="25" t="s">
        <v>116</v>
      </c>
      <c r="D74" s="53">
        <v>1850</v>
      </c>
      <c r="E74" s="61">
        <v>10051264</v>
      </c>
      <c r="F74" s="61">
        <v>3270515</v>
      </c>
      <c r="G74" s="27">
        <f t="shared" si="2"/>
        <v>13321779</v>
      </c>
      <c r="H74" s="27">
        <f t="shared" si="3"/>
        <v>7200.9616216216218</v>
      </c>
    </row>
    <row r="75" spans="1:8">
      <c r="A75" s="46">
        <v>264</v>
      </c>
      <c r="B75" s="25" t="s">
        <v>500</v>
      </c>
      <c r="C75" s="25" t="s">
        <v>116</v>
      </c>
      <c r="D75" s="53">
        <v>1273.4000000000001</v>
      </c>
      <c r="E75" s="61">
        <v>7802136</v>
      </c>
      <c r="F75" s="61">
        <v>2490750</v>
      </c>
      <c r="G75" s="27">
        <f t="shared" si="2"/>
        <v>10292886</v>
      </c>
      <c r="H75" s="27">
        <f t="shared" si="3"/>
        <v>8082.9951311449659</v>
      </c>
    </row>
    <row r="76" spans="1:8">
      <c r="A76" s="46">
        <v>265</v>
      </c>
      <c r="B76" s="25" t="s">
        <v>501</v>
      </c>
      <c r="C76" s="25" t="s">
        <v>116</v>
      </c>
      <c r="D76" s="53">
        <v>4887</v>
      </c>
      <c r="E76" s="61">
        <v>27380295</v>
      </c>
      <c r="F76" s="61">
        <v>9017732</v>
      </c>
      <c r="G76" s="27">
        <f t="shared" si="2"/>
        <v>36398027</v>
      </c>
      <c r="H76" s="27">
        <f t="shared" si="3"/>
        <v>7447.928586044608</v>
      </c>
    </row>
    <row r="77" spans="1:8">
      <c r="A77" s="46">
        <v>266</v>
      </c>
      <c r="B77" s="25" t="s">
        <v>502</v>
      </c>
      <c r="C77" s="25" t="s">
        <v>116</v>
      </c>
      <c r="D77" s="53">
        <v>6378.9</v>
      </c>
      <c r="E77" s="61">
        <v>37049215</v>
      </c>
      <c r="F77" s="61">
        <v>12200000</v>
      </c>
      <c r="G77" s="27">
        <f t="shared" si="2"/>
        <v>49249215</v>
      </c>
      <c r="H77" s="27">
        <f t="shared" si="3"/>
        <v>7720.6438414146642</v>
      </c>
    </row>
    <row r="78" spans="1:8">
      <c r="A78" s="46">
        <v>267</v>
      </c>
      <c r="B78" s="25" t="s">
        <v>503</v>
      </c>
      <c r="C78" s="25" t="s">
        <v>116</v>
      </c>
      <c r="D78" s="53">
        <v>1945.7</v>
      </c>
      <c r="E78" s="61">
        <v>10608932</v>
      </c>
      <c r="F78" s="61">
        <v>3526880</v>
      </c>
      <c r="G78" s="27">
        <f t="shared" si="2"/>
        <v>14135812</v>
      </c>
      <c r="H78" s="27">
        <f t="shared" si="3"/>
        <v>7265.1549570848538</v>
      </c>
    </row>
    <row r="79" spans="1:8">
      <c r="A79" s="46">
        <v>268</v>
      </c>
      <c r="B79" s="25" t="s">
        <v>504</v>
      </c>
      <c r="C79" s="25" t="s">
        <v>116</v>
      </c>
      <c r="D79" s="53">
        <v>782.8</v>
      </c>
      <c r="E79" s="61">
        <v>5233253</v>
      </c>
      <c r="F79" s="61">
        <v>1721776</v>
      </c>
      <c r="G79" s="27">
        <f t="shared" si="2"/>
        <v>6955029</v>
      </c>
      <c r="H79" s="27">
        <f t="shared" si="3"/>
        <v>8884.8096576392436</v>
      </c>
    </row>
    <row r="80" spans="1:8">
      <c r="A80" s="46">
        <v>269</v>
      </c>
      <c r="B80" s="25" t="s">
        <v>505</v>
      </c>
      <c r="C80" s="25" t="s">
        <v>127</v>
      </c>
      <c r="D80" s="53">
        <v>147.5</v>
      </c>
      <c r="E80" s="61">
        <v>1639704</v>
      </c>
      <c r="F80" s="61">
        <v>533575</v>
      </c>
      <c r="G80" s="27">
        <f t="shared" si="2"/>
        <v>2173279</v>
      </c>
      <c r="H80" s="27">
        <f t="shared" si="3"/>
        <v>14734.094915254238</v>
      </c>
    </row>
    <row r="81" spans="1:8">
      <c r="A81" s="46">
        <v>270</v>
      </c>
      <c r="B81" s="25" t="s">
        <v>506</v>
      </c>
      <c r="C81" s="25" t="s">
        <v>127</v>
      </c>
      <c r="D81" s="53">
        <v>356.6</v>
      </c>
      <c r="E81" s="61">
        <v>2942401</v>
      </c>
      <c r="F81" s="61">
        <v>900000</v>
      </c>
      <c r="G81" s="27">
        <f t="shared" si="2"/>
        <v>3842401</v>
      </c>
      <c r="H81" s="27">
        <f t="shared" si="3"/>
        <v>10775.100953449242</v>
      </c>
    </row>
    <row r="82" spans="1:8">
      <c r="A82" s="46">
        <v>271</v>
      </c>
      <c r="B82" s="25" t="s">
        <v>507</v>
      </c>
      <c r="C82" s="25" t="s">
        <v>127</v>
      </c>
      <c r="D82" s="53">
        <v>288.3</v>
      </c>
      <c r="E82" s="61">
        <v>2375104</v>
      </c>
      <c r="F82" s="61">
        <v>796493</v>
      </c>
      <c r="G82" s="27">
        <f t="shared" si="2"/>
        <v>3171597</v>
      </c>
      <c r="H82" s="27">
        <f t="shared" si="3"/>
        <v>11001.030176899063</v>
      </c>
    </row>
    <row r="83" spans="1:8">
      <c r="A83" s="46">
        <v>272</v>
      </c>
      <c r="B83" s="25" t="s">
        <v>508</v>
      </c>
      <c r="C83" s="25" t="s">
        <v>131</v>
      </c>
      <c r="D83" s="53">
        <v>357.3</v>
      </c>
      <c r="E83" s="61">
        <v>2964066</v>
      </c>
      <c r="F83" s="61">
        <v>740000</v>
      </c>
      <c r="G83" s="27">
        <f t="shared" si="2"/>
        <v>3704066</v>
      </c>
      <c r="H83" s="27">
        <f t="shared" si="3"/>
        <v>10366.823397705009</v>
      </c>
    </row>
    <row r="84" spans="1:8">
      <c r="A84" s="46">
        <v>273</v>
      </c>
      <c r="B84" s="25" t="s">
        <v>509</v>
      </c>
      <c r="C84" s="25" t="s">
        <v>131</v>
      </c>
      <c r="D84" s="53">
        <v>746.9</v>
      </c>
      <c r="E84" s="61">
        <v>6052729</v>
      </c>
      <c r="F84" s="61">
        <v>1731481</v>
      </c>
      <c r="G84" s="27">
        <f t="shared" si="2"/>
        <v>7784210</v>
      </c>
      <c r="H84" s="27">
        <f t="shared" si="3"/>
        <v>10422.024367385193</v>
      </c>
    </row>
    <row r="85" spans="1:8">
      <c r="A85" s="46">
        <v>274</v>
      </c>
      <c r="B85" s="25" t="s">
        <v>510</v>
      </c>
      <c r="C85" s="25" t="s">
        <v>134</v>
      </c>
      <c r="D85" s="53">
        <v>413.4</v>
      </c>
      <c r="E85" s="61">
        <v>3229259</v>
      </c>
      <c r="F85" s="61">
        <v>640000</v>
      </c>
      <c r="G85" s="27">
        <f t="shared" si="2"/>
        <v>3869259</v>
      </c>
      <c r="H85" s="27">
        <f t="shared" si="3"/>
        <v>9359.6008708272857</v>
      </c>
    </row>
    <row r="86" spans="1:8">
      <c r="A86" s="46">
        <v>275</v>
      </c>
      <c r="B86" s="25" t="s">
        <v>511</v>
      </c>
      <c r="C86" s="25" t="s">
        <v>134</v>
      </c>
      <c r="D86" s="53">
        <v>82.5</v>
      </c>
      <c r="E86" s="61">
        <v>902700</v>
      </c>
      <c r="F86" s="61">
        <v>308276</v>
      </c>
      <c r="G86" s="27">
        <f t="shared" si="2"/>
        <v>1210976</v>
      </c>
      <c r="H86" s="27">
        <f t="shared" si="3"/>
        <v>14678.496969696969</v>
      </c>
    </row>
    <row r="87" spans="1:8">
      <c r="A87" s="46">
        <v>281</v>
      </c>
      <c r="B87" s="25" t="s">
        <v>513</v>
      </c>
      <c r="C87" s="25" t="s">
        <v>139</v>
      </c>
      <c r="D87" s="53">
        <v>363.1</v>
      </c>
      <c r="E87" s="61">
        <v>2906694</v>
      </c>
      <c r="F87" s="61">
        <v>970479</v>
      </c>
      <c r="G87" s="27">
        <f t="shared" si="2"/>
        <v>3877173</v>
      </c>
      <c r="H87" s="27">
        <f t="shared" si="3"/>
        <v>10677.975764252271</v>
      </c>
    </row>
    <row r="88" spans="1:8">
      <c r="A88" s="46">
        <v>282</v>
      </c>
      <c r="B88" s="25" t="s">
        <v>514</v>
      </c>
      <c r="C88" s="25" t="s">
        <v>141</v>
      </c>
      <c r="D88" s="53">
        <v>336</v>
      </c>
      <c r="E88" s="61">
        <v>3257343</v>
      </c>
      <c r="F88" s="61">
        <v>1065903</v>
      </c>
      <c r="G88" s="27">
        <f t="shared" si="2"/>
        <v>4323246</v>
      </c>
      <c r="H88" s="27">
        <f t="shared" si="3"/>
        <v>12866.803571428571</v>
      </c>
    </row>
    <row r="89" spans="1:8">
      <c r="A89" s="46">
        <v>283</v>
      </c>
      <c r="B89" s="25" t="s">
        <v>515</v>
      </c>
      <c r="C89" s="25" t="s">
        <v>141</v>
      </c>
      <c r="D89" s="53">
        <v>190.6</v>
      </c>
      <c r="E89" s="61">
        <v>2019641</v>
      </c>
      <c r="F89" s="61">
        <v>110000</v>
      </c>
      <c r="G89" s="27">
        <f t="shared" si="2"/>
        <v>2129641</v>
      </c>
      <c r="H89" s="27">
        <f t="shared" si="3"/>
        <v>11173.352570828962</v>
      </c>
    </row>
    <row r="90" spans="1:8">
      <c r="A90" s="46">
        <v>284</v>
      </c>
      <c r="B90" s="25" t="s">
        <v>516</v>
      </c>
      <c r="C90" s="25" t="s">
        <v>144</v>
      </c>
      <c r="D90" s="53">
        <v>405.1</v>
      </c>
      <c r="E90" s="61">
        <v>3385727</v>
      </c>
      <c r="F90" s="61">
        <v>1041363</v>
      </c>
      <c r="G90" s="27">
        <f t="shared" si="2"/>
        <v>4427090</v>
      </c>
      <c r="H90" s="27">
        <f t="shared" si="3"/>
        <v>10928.388052332757</v>
      </c>
    </row>
    <row r="91" spans="1:8">
      <c r="A91" s="46">
        <v>285</v>
      </c>
      <c r="B91" s="25" t="s">
        <v>517</v>
      </c>
      <c r="C91" s="25" t="s">
        <v>146</v>
      </c>
      <c r="D91" s="53">
        <v>144</v>
      </c>
      <c r="E91" s="61">
        <v>1375715</v>
      </c>
      <c r="F91" s="61">
        <v>281000</v>
      </c>
      <c r="G91" s="27">
        <f t="shared" si="2"/>
        <v>1656715</v>
      </c>
      <c r="H91" s="27">
        <f t="shared" si="3"/>
        <v>11504.965277777777</v>
      </c>
    </row>
    <row r="92" spans="1:8">
      <c r="A92" s="46">
        <v>286</v>
      </c>
      <c r="B92" s="25" t="s">
        <v>146</v>
      </c>
      <c r="C92" s="25" t="s">
        <v>146</v>
      </c>
      <c r="D92" s="53">
        <v>367.5</v>
      </c>
      <c r="E92" s="61">
        <v>3096462</v>
      </c>
      <c r="F92" s="61">
        <v>623500</v>
      </c>
      <c r="G92" s="27">
        <f t="shared" si="2"/>
        <v>3719962</v>
      </c>
      <c r="H92" s="27">
        <f t="shared" si="3"/>
        <v>10122.345578231292</v>
      </c>
    </row>
    <row r="93" spans="1:8">
      <c r="A93" s="46">
        <v>287</v>
      </c>
      <c r="B93" s="25" t="s">
        <v>518</v>
      </c>
      <c r="C93" s="25" t="s">
        <v>149</v>
      </c>
      <c r="D93" s="53">
        <v>700.5</v>
      </c>
      <c r="E93" s="61">
        <v>5747591</v>
      </c>
      <c r="F93" s="61">
        <v>1783711</v>
      </c>
      <c r="G93" s="27">
        <f t="shared" si="2"/>
        <v>7531302</v>
      </c>
      <c r="H93" s="27">
        <f t="shared" si="3"/>
        <v>10751.323340471092</v>
      </c>
    </row>
    <row r="94" spans="1:8">
      <c r="A94" s="46">
        <v>288</v>
      </c>
      <c r="B94" s="25" t="s">
        <v>519</v>
      </c>
      <c r="C94" s="25" t="s">
        <v>149</v>
      </c>
      <c r="D94" s="53">
        <v>531.5</v>
      </c>
      <c r="E94" s="61">
        <v>4384715</v>
      </c>
      <c r="F94" s="61">
        <v>1176050</v>
      </c>
      <c r="G94" s="27">
        <f t="shared" si="2"/>
        <v>5560765</v>
      </c>
      <c r="H94" s="27">
        <f t="shared" si="3"/>
        <v>10462.398871119472</v>
      </c>
    </row>
    <row r="95" spans="1:8">
      <c r="A95" s="46">
        <v>289</v>
      </c>
      <c r="B95" s="25" t="s">
        <v>520</v>
      </c>
      <c r="C95" s="25" t="s">
        <v>149</v>
      </c>
      <c r="D95" s="53">
        <v>842.7</v>
      </c>
      <c r="E95" s="61">
        <v>5599548</v>
      </c>
      <c r="F95" s="61">
        <v>1891480</v>
      </c>
      <c r="G95" s="27">
        <f t="shared" si="2"/>
        <v>7491028</v>
      </c>
      <c r="H95" s="27">
        <f t="shared" si="3"/>
        <v>8889.3176693959886</v>
      </c>
    </row>
    <row r="96" spans="1:8">
      <c r="A96" s="46">
        <v>290</v>
      </c>
      <c r="B96" s="25" t="s">
        <v>89</v>
      </c>
      <c r="C96" s="25" t="s">
        <v>149</v>
      </c>
      <c r="D96" s="53">
        <v>2439.8000000000002</v>
      </c>
      <c r="E96" s="61">
        <v>14395220</v>
      </c>
      <c r="F96" s="61">
        <v>4596480</v>
      </c>
      <c r="G96" s="27">
        <f t="shared" si="2"/>
        <v>18991700</v>
      </c>
      <c r="H96" s="27">
        <f t="shared" si="3"/>
        <v>7784.1216493155171</v>
      </c>
    </row>
    <row r="97" spans="1:8">
      <c r="A97" s="46">
        <v>291</v>
      </c>
      <c r="B97" s="25" t="s">
        <v>521</v>
      </c>
      <c r="C97" s="25" t="s">
        <v>154</v>
      </c>
      <c r="D97" s="53">
        <v>73.8</v>
      </c>
      <c r="E97" s="61">
        <v>830083</v>
      </c>
      <c r="F97" s="61">
        <v>121000</v>
      </c>
      <c r="G97" s="27">
        <f t="shared" si="2"/>
        <v>951083</v>
      </c>
      <c r="H97" s="27">
        <f t="shared" si="3"/>
        <v>12887.303523035231</v>
      </c>
    </row>
    <row r="98" spans="1:8">
      <c r="A98" s="46">
        <v>292</v>
      </c>
      <c r="B98" s="25" t="s">
        <v>522</v>
      </c>
      <c r="C98" s="25" t="s">
        <v>154</v>
      </c>
      <c r="D98" s="53">
        <v>102</v>
      </c>
      <c r="E98" s="61">
        <v>1218846</v>
      </c>
      <c r="F98" s="61">
        <v>295000</v>
      </c>
      <c r="G98" s="27">
        <f t="shared" si="2"/>
        <v>1513846</v>
      </c>
      <c r="H98" s="27">
        <f t="shared" si="3"/>
        <v>14841.627450980392</v>
      </c>
    </row>
    <row r="99" spans="1:8">
      <c r="A99" s="46">
        <v>293</v>
      </c>
      <c r="B99" s="25" t="s">
        <v>523</v>
      </c>
      <c r="C99" s="25" t="s">
        <v>154</v>
      </c>
      <c r="D99" s="53">
        <v>266.5</v>
      </c>
      <c r="E99" s="61">
        <v>2261966</v>
      </c>
      <c r="F99" s="61">
        <v>753866</v>
      </c>
      <c r="G99" s="27">
        <f t="shared" si="2"/>
        <v>3015832</v>
      </c>
      <c r="H99" s="27">
        <f t="shared" si="3"/>
        <v>11316.442776735459</v>
      </c>
    </row>
    <row r="100" spans="1:8">
      <c r="A100" s="46">
        <v>294</v>
      </c>
      <c r="B100" s="25" t="s">
        <v>524</v>
      </c>
      <c r="C100" s="25" t="s">
        <v>158</v>
      </c>
      <c r="D100" s="53">
        <v>358</v>
      </c>
      <c r="E100" s="61">
        <v>2831670</v>
      </c>
      <c r="F100" s="61">
        <v>946624</v>
      </c>
      <c r="G100" s="27">
        <f t="shared" si="2"/>
        <v>3778294</v>
      </c>
      <c r="H100" s="27">
        <f t="shared" si="3"/>
        <v>10553.893854748603</v>
      </c>
    </row>
    <row r="101" spans="1:8">
      <c r="A101" s="46">
        <v>297</v>
      </c>
      <c r="B101" s="25" t="s">
        <v>526</v>
      </c>
      <c r="C101" s="25" t="s">
        <v>18</v>
      </c>
      <c r="D101" s="53">
        <v>286.3</v>
      </c>
      <c r="E101" s="61">
        <v>2252738</v>
      </c>
      <c r="F101" s="61">
        <v>748205</v>
      </c>
      <c r="G101" s="27">
        <f t="shared" si="2"/>
        <v>3000943</v>
      </c>
      <c r="H101" s="27">
        <f t="shared" si="3"/>
        <v>10481.812783793224</v>
      </c>
    </row>
    <row r="102" spans="1:8">
      <c r="A102" s="46">
        <v>298</v>
      </c>
      <c r="B102" s="25" t="s">
        <v>162</v>
      </c>
      <c r="C102" s="25" t="s">
        <v>162</v>
      </c>
      <c r="D102" s="53">
        <v>340</v>
      </c>
      <c r="E102" s="61">
        <v>2788340</v>
      </c>
      <c r="F102" s="61">
        <v>896885</v>
      </c>
      <c r="G102" s="27">
        <f t="shared" si="2"/>
        <v>3685225</v>
      </c>
      <c r="H102" s="27">
        <f t="shared" si="3"/>
        <v>10838.89705882353</v>
      </c>
    </row>
    <row r="103" spans="1:8">
      <c r="A103" s="46">
        <v>299</v>
      </c>
      <c r="B103" s="25" t="s">
        <v>527</v>
      </c>
      <c r="C103" s="25" t="s">
        <v>162</v>
      </c>
      <c r="D103" s="53">
        <v>138.4</v>
      </c>
      <c r="E103" s="61">
        <v>1377320</v>
      </c>
      <c r="F103" s="61">
        <v>375000</v>
      </c>
      <c r="G103" s="27">
        <f t="shared" si="2"/>
        <v>1752320</v>
      </c>
      <c r="H103" s="27">
        <f t="shared" si="3"/>
        <v>12661.271676300577</v>
      </c>
    </row>
    <row r="104" spans="1:8">
      <c r="A104" s="46">
        <v>300</v>
      </c>
      <c r="B104" s="25" t="s">
        <v>528</v>
      </c>
      <c r="C104" s="25" t="s">
        <v>165</v>
      </c>
      <c r="D104" s="53">
        <v>317.10000000000002</v>
      </c>
      <c r="E104" s="61">
        <v>2605794</v>
      </c>
      <c r="F104" s="61">
        <v>847031</v>
      </c>
      <c r="G104" s="27">
        <f t="shared" si="2"/>
        <v>3452825</v>
      </c>
      <c r="H104" s="27">
        <f t="shared" si="3"/>
        <v>10888.757489750866</v>
      </c>
    </row>
    <row r="105" spans="1:8">
      <c r="A105" s="46">
        <v>303</v>
      </c>
      <c r="B105" s="25" t="s">
        <v>531</v>
      </c>
      <c r="C105" s="25" t="s">
        <v>25</v>
      </c>
      <c r="D105" s="53">
        <v>291</v>
      </c>
      <c r="E105" s="61">
        <v>2192558</v>
      </c>
      <c r="F105" s="61">
        <v>575000</v>
      </c>
      <c r="G105" s="27">
        <f t="shared" si="2"/>
        <v>2767558</v>
      </c>
      <c r="H105" s="27">
        <f t="shared" si="3"/>
        <v>9510.5085910652924</v>
      </c>
    </row>
    <row r="106" spans="1:8">
      <c r="A106" s="46">
        <v>305</v>
      </c>
      <c r="B106" s="25" t="s">
        <v>533</v>
      </c>
      <c r="C106" s="25" t="s">
        <v>171</v>
      </c>
      <c r="D106" s="53">
        <v>7036</v>
      </c>
      <c r="E106" s="61">
        <v>43308336</v>
      </c>
      <c r="F106" s="61">
        <v>14277757</v>
      </c>
      <c r="G106" s="27">
        <f t="shared" si="2"/>
        <v>57586093</v>
      </c>
      <c r="H106" s="27">
        <f t="shared" si="3"/>
        <v>8184.4930358158044</v>
      </c>
    </row>
    <row r="107" spans="1:8">
      <c r="A107" s="46">
        <v>306</v>
      </c>
      <c r="B107" s="25" t="s">
        <v>534</v>
      </c>
      <c r="C107" s="25" t="s">
        <v>171</v>
      </c>
      <c r="D107" s="53">
        <v>690.8</v>
      </c>
      <c r="E107" s="61">
        <v>4895041</v>
      </c>
      <c r="F107" s="61">
        <v>1251500</v>
      </c>
      <c r="G107" s="27">
        <f t="shared" si="2"/>
        <v>6146541</v>
      </c>
      <c r="H107" s="27">
        <f t="shared" si="3"/>
        <v>8897.7142443543726</v>
      </c>
    </row>
    <row r="108" spans="1:8">
      <c r="A108" s="46">
        <v>307</v>
      </c>
      <c r="B108" s="25" t="s">
        <v>535</v>
      </c>
      <c r="C108" s="25" t="s">
        <v>171</v>
      </c>
      <c r="D108" s="53">
        <v>466</v>
      </c>
      <c r="E108" s="61">
        <v>3471011</v>
      </c>
      <c r="F108" s="61">
        <v>1036000</v>
      </c>
      <c r="G108" s="27">
        <f t="shared" si="2"/>
        <v>4507011</v>
      </c>
      <c r="H108" s="27">
        <f t="shared" si="3"/>
        <v>9671.6974248927036</v>
      </c>
    </row>
    <row r="109" spans="1:8">
      <c r="A109" s="46">
        <v>308</v>
      </c>
      <c r="B109" s="25" t="s">
        <v>536</v>
      </c>
      <c r="C109" s="25" t="s">
        <v>175</v>
      </c>
      <c r="D109" s="53">
        <v>4653.5</v>
      </c>
      <c r="E109" s="61">
        <v>29238654</v>
      </c>
      <c r="F109" s="61">
        <v>7896432</v>
      </c>
      <c r="G109" s="27">
        <f t="shared" si="2"/>
        <v>37135086</v>
      </c>
      <c r="H109" s="27">
        <f t="shared" si="3"/>
        <v>7980.0335231546151</v>
      </c>
    </row>
    <row r="110" spans="1:8">
      <c r="A110" s="46">
        <v>309</v>
      </c>
      <c r="B110" s="25" t="s">
        <v>537</v>
      </c>
      <c r="C110" s="25" t="s">
        <v>175</v>
      </c>
      <c r="D110" s="53">
        <v>1140.7</v>
      </c>
      <c r="E110" s="61">
        <v>8182474</v>
      </c>
      <c r="F110" s="61">
        <v>2543587</v>
      </c>
      <c r="G110" s="27">
        <f t="shared" si="2"/>
        <v>10726061</v>
      </c>
      <c r="H110" s="27">
        <f t="shared" si="3"/>
        <v>9403.0516349609879</v>
      </c>
    </row>
    <row r="111" spans="1:8">
      <c r="A111" s="46">
        <v>310</v>
      </c>
      <c r="B111" s="25" t="s">
        <v>538</v>
      </c>
      <c r="C111" s="25" t="s">
        <v>175</v>
      </c>
      <c r="D111" s="53">
        <v>304.60000000000002</v>
      </c>
      <c r="E111" s="61">
        <v>2741801</v>
      </c>
      <c r="F111" s="61">
        <v>864574</v>
      </c>
      <c r="G111" s="27">
        <f t="shared" si="2"/>
        <v>3606375</v>
      </c>
      <c r="H111" s="27">
        <f t="shared" si="3"/>
        <v>11839.707813525934</v>
      </c>
    </row>
    <row r="112" spans="1:8">
      <c r="A112" s="46">
        <v>311</v>
      </c>
      <c r="B112" s="25" t="s">
        <v>539</v>
      </c>
      <c r="C112" s="25" t="s">
        <v>175</v>
      </c>
      <c r="D112" s="53">
        <v>258.39999999999998</v>
      </c>
      <c r="E112" s="61">
        <v>2180522</v>
      </c>
      <c r="F112" s="61">
        <v>700000</v>
      </c>
      <c r="G112" s="27">
        <f t="shared" si="2"/>
        <v>2880522</v>
      </c>
      <c r="H112" s="27">
        <f t="shared" si="3"/>
        <v>11147.530959752323</v>
      </c>
    </row>
    <row r="113" spans="1:8">
      <c r="A113" s="46">
        <v>312</v>
      </c>
      <c r="B113" s="25" t="s">
        <v>540</v>
      </c>
      <c r="C113" s="25" t="s">
        <v>175</v>
      </c>
      <c r="D113" s="53">
        <v>997.9</v>
      </c>
      <c r="E113" s="61">
        <v>6909585</v>
      </c>
      <c r="F113" s="61">
        <v>2275641</v>
      </c>
      <c r="G113" s="27">
        <f t="shared" si="2"/>
        <v>9185226</v>
      </c>
      <c r="H113" s="27">
        <f t="shared" si="3"/>
        <v>9204.5555666900491</v>
      </c>
    </row>
    <row r="114" spans="1:8">
      <c r="A114" s="46">
        <v>313</v>
      </c>
      <c r="B114" s="25" t="s">
        <v>541</v>
      </c>
      <c r="C114" s="25" t="s">
        <v>175</v>
      </c>
      <c r="D114" s="53">
        <v>2140.3000000000002</v>
      </c>
      <c r="E114" s="61">
        <v>13075509</v>
      </c>
      <c r="F114" s="61">
        <v>4363648</v>
      </c>
      <c r="G114" s="27">
        <f t="shared" si="2"/>
        <v>17439157</v>
      </c>
      <c r="H114" s="27">
        <f t="shared" si="3"/>
        <v>8147.9965425407645</v>
      </c>
    </row>
    <row r="115" spans="1:8">
      <c r="A115" s="46">
        <v>314</v>
      </c>
      <c r="B115" s="25" t="s">
        <v>542</v>
      </c>
      <c r="C115" s="25" t="s">
        <v>182</v>
      </c>
      <c r="D115" s="53">
        <v>98</v>
      </c>
      <c r="E115" s="61">
        <v>993371</v>
      </c>
      <c r="F115" s="61">
        <v>319073</v>
      </c>
      <c r="G115" s="27">
        <f t="shared" si="2"/>
        <v>1312444</v>
      </c>
      <c r="H115" s="27">
        <f t="shared" si="3"/>
        <v>13392.285714285714</v>
      </c>
    </row>
    <row r="116" spans="1:8">
      <c r="A116" s="46">
        <v>315</v>
      </c>
      <c r="B116" s="25" t="s">
        <v>543</v>
      </c>
      <c r="C116" s="25" t="s">
        <v>182</v>
      </c>
      <c r="D116" s="53">
        <v>916.5</v>
      </c>
      <c r="E116" s="61">
        <v>6486200</v>
      </c>
      <c r="F116" s="61">
        <v>2129990</v>
      </c>
      <c r="G116" s="27">
        <f t="shared" si="2"/>
        <v>8616190</v>
      </c>
      <c r="H116" s="27">
        <f t="shared" si="3"/>
        <v>9401.1893071467548</v>
      </c>
    </row>
    <row r="117" spans="1:8">
      <c r="A117" s="46">
        <v>316</v>
      </c>
      <c r="B117" s="25" t="s">
        <v>544</v>
      </c>
      <c r="C117" s="25" t="s">
        <v>182</v>
      </c>
      <c r="D117" s="53">
        <v>204.5</v>
      </c>
      <c r="E117" s="61">
        <v>1971898</v>
      </c>
      <c r="F117" s="61">
        <v>300000</v>
      </c>
      <c r="G117" s="27">
        <f t="shared" si="2"/>
        <v>2271898</v>
      </c>
      <c r="H117" s="27">
        <f t="shared" si="3"/>
        <v>11109.525672371637</v>
      </c>
    </row>
    <row r="118" spans="1:8">
      <c r="A118" s="46">
        <v>320</v>
      </c>
      <c r="B118" s="25" t="s">
        <v>545</v>
      </c>
      <c r="C118" s="25" t="s">
        <v>186</v>
      </c>
      <c r="D118" s="53">
        <v>1305.5</v>
      </c>
      <c r="E118" s="61">
        <v>8138743</v>
      </c>
      <c r="F118" s="61">
        <v>2676016</v>
      </c>
      <c r="G118" s="27">
        <f t="shared" si="2"/>
        <v>10814759</v>
      </c>
      <c r="H118" s="27">
        <f t="shared" si="3"/>
        <v>8283.9977020298738</v>
      </c>
    </row>
    <row r="119" spans="1:8">
      <c r="A119" s="46">
        <v>321</v>
      </c>
      <c r="B119" s="25" t="s">
        <v>546</v>
      </c>
      <c r="C119" s="25" t="s">
        <v>186</v>
      </c>
      <c r="D119" s="53">
        <v>1121.5999999999999</v>
      </c>
      <c r="E119" s="61">
        <v>7699687</v>
      </c>
      <c r="F119" s="61">
        <v>2546271</v>
      </c>
      <c r="G119" s="27">
        <f t="shared" si="2"/>
        <v>10245958</v>
      </c>
      <c r="H119" s="27">
        <f t="shared" si="3"/>
        <v>9135.1266048502148</v>
      </c>
    </row>
    <row r="120" spans="1:8">
      <c r="A120" s="46">
        <v>322</v>
      </c>
      <c r="B120" s="25" t="s">
        <v>547</v>
      </c>
      <c r="C120" s="25" t="s">
        <v>186</v>
      </c>
      <c r="D120" s="53">
        <v>320.5</v>
      </c>
      <c r="E120" s="61">
        <v>2578914</v>
      </c>
      <c r="F120" s="61">
        <v>730000</v>
      </c>
      <c r="G120" s="27">
        <f t="shared" si="2"/>
        <v>3308914</v>
      </c>
      <c r="H120" s="27">
        <f t="shared" si="3"/>
        <v>10324.224648985959</v>
      </c>
    </row>
    <row r="121" spans="1:8">
      <c r="A121" s="46">
        <v>323</v>
      </c>
      <c r="B121" s="25" t="s">
        <v>548</v>
      </c>
      <c r="C121" s="25" t="s">
        <v>186</v>
      </c>
      <c r="D121" s="53">
        <v>845.1</v>
      </c>
      <c r="E121" s="61">
        <v>5981090</v>
      </c>
      <c r="F121" s="61">
        <v>1205000</v>
      </c>
      <c r="G121" s="27">
        <f t="shared" si="2"/>
        <v>7186090</v>
      </c>
      <c r="H121" s="27">
        <f t="shared" si="3"/>
        <v>8503.2422198556378</v>
      </c>
    </row>
    <row r="122" spans="1:8">
      <c r="A122" s="46">
        <v>325</v>
      </c>
      <c r="B122" s="25" t="s">
        <v>550</v>
      </c>
      <c r="C122" s="25" t="s">
        <v>32</v>
      </c>
      <c r="D122" s="53">
        <v>628.1</v>
      </c>
      <c r="E122" s="61">
        <v>4809184</v>
      </c>
      <c r="F122" s="61">
        <v>1581482</v>
      </c>
      <c r="G122" s="27">
        <f t="shared" si="2"/>
        <v>6390666</v>
      </c>
      <c r="H122" s="27">
        <f t="shared" si="3"/>
        <v>10174.599586053177</v>
      </c>
    </row>
    <row r="123" spans="1:8">
      <c r="A123" s="46">
        <v>326</v>
      </c>
      <c r="B123" s="25" t="s">
        <v>134</v>
      </c>
      <c r="C123" s="25" t="s">
        <v>32</v>
      </c>
      <c r="D123" s="53">
        <v>183.5</v>
      </c>
      <c r="E123" s="61">
        <v>1755651</v>
      </c>
      <c r="F123" s="61">
        <v>470000</v>
      </c>
      <c r="G123" s="27">
        <f t="shared" si="2"/>
        <v>2225651</v>
      </c>
      <c r="H123" s="27">
        <f t="shared" si="3"/>
        <v>12128.888283378747</v>
      </c>
    </row>
    <row r="124" spans="1:8">
      <c r="A124" s="46">
        <v>327</v>
      </c>
      <c r="B124" s="25" t="s">
        <v>194</v>
      </c>
      <c r="C124" s="25" t="s">
        <v>194</v>
      </c>
      <c r="D124" s="53">
        <v>622</v>
      </c>
      <c r="E124" s="61">
        <v>4705675</v>
      </c>
      <c r="F124" s="61">
        <v>1452000</v>
      </c>
      <c r="G124" s="27">
        <f t="shared" si="2"/>
        <v>6157675</v>
      </c>
      <c r="H124" s="27">
        <f t="shared" si="3"/>
        <v>9899.7990353697751</v>
      </c>
    </row>
    <row r="125" spans="1:8">
      <c r="A125" s="46">
        <v>328</v>
      </c>
      <c r="B125" s="25" t="s">
        <v>551</v>
      </c>
      <c r="C125" s="25" t="s">
        <v>194</v>
      </c>
      <c r="D125" s="53">
        <v>410.3</v>
      </c>
      <c r="E125" s="61">
        <v>3622435</v>
      </c>
      <c r="F125" s="61">
        <v>1018422</v>
      </c>
      <c r="G125" s="27">
        <f t="shared" si="2"/>
        <v>4640857</v>
      </c>
      <c r="H125" s="27">
        <f t="shared" si="3"/>
        <v>11310.887155739701</v>
      </c>
    </row>
    <row r="126" spans="1:8">
      <c r="A126" s="46">
        <v>329</v>
      </c>
      <c r="B126" s="25" t="s">
        <v>552</v>
      </c>
      <c r="C126" s="25" t="s">
        <v>197</v>
      </c>
      <c r="D126" s="53">
        <v>470</v>
      </c>
      <c r="E126" s="61">
        <v>3686627</v>
      </c>
      <c r="F126" s="61">
        <v>1124000</v>
      </c>
      <c r="G126" s="27">
        <f t="shared" si="2"/>
        <v>4810627</v>
      </c>
      <c r="H126" s="27">
        <f t="shared" si="3"/>
        <v>10235.376595744681</v>
      </c>
    </row>
    <row r="127" spans="1:8">
      <c r="A127" s="46">
        <v>330</v>
      </c>
      <c r="B127" s="25" t="s">
        <v>553</v>
      </c>
      <c r="C127" s="25" t="s">
        <v>197</v>
      </c>
      <c r="D127" s="53">
        <v>500.5</v>
      </c>
      <c r="E127" s="61">
        <v>4206582</v>
      </c>
      <c r="F127" s="61">
        <v>1000000</v>
      </c>
      <c r="G127" s="27">
        <f t="shared" si="2"/>
        <v>5206582</v>
      </c>
      <c r="H127" s="27">
        <f t="shared" si="3"/>
        <v>10402.761238761239</v>
      </c>
    </row>
    <row r="128" spans="1:8">
      <c r="A128" s="46">
        <v>331</v>
      </c>
      <c r="B128" s="25" t="s">
        <v>200</v>
      </c>
      <c r="C128" s="25" t="s">
        <v>200</v>
      </c>
      <c r="D128" s="53">
        <v>988.7</v>
      </c>
      <c r="E128" s="61">
        <v>7231630</v>
      </c>
      <c r="F128" s="61">
        <v>2391192</v>
      </c>
      <c r="G128" s="27">
        <f t="shared" si="2"/>
        <v>9622822</v>
      </c>
      <c r="H128" s="27">
        <f t="shared" si="3"/>
        <v>9732.8026701729541</v>
      </c>
    </row>
    <row r="129" spans="1:8">
      <c r="A129" s="46">
        <v>332</v>
      </c>
      <c r="B129" s="25" t="s">
        <v>554</v>
      </c>
      <c r="C129" s="25" t="s">
        <v>200</v>
      </c>
      <c r="D129" s="53">
        <v>171.6</v>
      </c>
      <c r="E129" s="61">
        <v>1773304</v>
      </c>
      <c r="F129" s="61">
        <v>565839</v>
      </c>
      <c r="G129" s="27">
        <f t="shared" si="2"/>
        <v>2339143</v>
      </c>
      <c r="H129" s="27">
        <f t="shared" si="3"/>
        <v>13631.369463869465</v>
      </c>
    </row>
    <row r="130" spans="1:8">
      <c r="A130" s="46">
        <v>333</v>
      </c>
      <c r="B130" s="25" t="s">
        <v>555</v>
      </c>
      <c r="C130" s="25" t="s">
        <v>203</v>
      </c>
      <c r="D130" s="53">
        <v>1067.7</v>
      </c>
      <c r="E130" s="61">
        <v>7529722</v>
      </c>
      <c r="F130" s="61">
        <v>1962300</v>
      </c>
      <c r="G130" s="27">
        <f t="shared" si="2"/>
        <v>9492022</v>
      </c>
      <c r="H130" s="27">
        <f t="shared" si="3"/>
        <v>8890.1582841622167</v>
      </c>
    </row>
    <row r="131" spans="1:8">
      <c r="A131" s="46">
        <v>334</v>
      </c>
      <c r="B131" s="25" t="s">
        <v>556</v>
      </c>
      <c r="C131" s="25" t="s">
        <v>203</v>
      </c>
      <c r="D131" s="53">
        <v>255.6</v>
      </c>
      <c r="E131" s="61">
        <v>2290050</v>
      </c>
      <c r="F131" s="61">
        <v>545500</v>
      </c>
      <c r="G131" s="27">
        <f t="shared" si="2"/>
        <v>2835550</v>
      </c>
      <c r="H131" s="27">
        <f t="shared" si="3"/>
        <v>11093.70109546166</v>
      </c>
    </row>
    <row r="132" spans="1:8">
      <c r="A132" s="46">
        <v>335</v>
      </c>
      <c r="B132" s="25" t="s">
        <v>557</v>
      </c>
      <c r="C132" s="25" t="s">
        <v>206</v>
      </c>
      <c r="D132" s="53">
        <v>376.5</v>
      </c>
      <c r="E132" s="61">
        <v>3074396</v>
      </c>
      <c r="F132" s="61">
        <v>837000</v>
      </c>
      <c r="G132" s="27">
        <f t="shared" ref="G132:G195" si="4">E132+F132</f>
        <v>3911396</v>
      </c>
      <c r="H132" s="27">
        <f t="shared" ref="H132:H195" si="5">G132/D132</f>
        <v>10388.833997343958</v>
      </c>
    </row>
    <row r="133" spans="1:8">
      <c r="A133" s="46">
        <v>336</v>
      </c>
      <c r="B133" s="25" t="s">
        <v>558</v>
      </c>
      <c r="C133" s="25" t="s">
        <v>206</v>
      </c>
      <c r="D133" s="53">
        <v>1058</v>
      </c>
      <c r="E133" s="61">
        <v>6999335</v>
      </c>
      <c r="F133" s="61">
        <v>2310429</v>
      </c>
      <c r="G133" s="27">
        <f t="shared" si="4"/>
        <v>9309764</v>
      </c>
      <c r="H133" s="27">
        <f t="shared" si="5"/>
        <v>8799.3988657844984</v>
      </c>
    </row>
    <row r="134" spans="1:8">
      <c r="A134" s="46">
        <v>337</v>
      </c>
      <c r="B134" s="25" t="s">
        <v>559</v>
      </c>
      <c r="C134" s="25" t="s">
        <v>206</v>
      </c>
      <c r="D134" s="53">
        <v>908.2</v>
      </c>
      <c r="E134" s="61">
        <v>6759819</v>
      </c>
      <c r="F134" s="61">
        <v>2222293</v>
      </c>
      <c r="G134" s="27">
        <f t="shared" si="4"/>
        <v>8982112</v>
      </c>
      <c r="H134" s="27">
        <f t="shared" si="5"/>
        <v>9890.0154151068036</v>
      </c>
    </row>
    <row r="135" spans="1:8">
      <c r="A135" s="46">
        <v>338</v>
      </c>
      <c r="B135" s="25" t="s">
        <v>560</v>
      </c>
      <c r="C135" s="25" t="s">
        <v>210</v>
      </c>
      <c r="D135" s="53">
        <v>414.3</v>
      </c>
      <c r="E135" s="61">
        <v>3201175</v>
      </c>
      <c r="F135" s="61">
        <v>993213</v>
      </c>
      <c r="G135" s="27">
        <f t="shared" si="4"/>
        <v>4194388</v>
      </c>
      <c r="H135" s="27">
        <f t="shared" si="5"/>
        <v>10124.035722906106</v>
      </c>
    </row>
    <row r="136" spans="1:8">
      <c r="A136" s="46">
        <v>339</v>
      </c>
      <c r="B136" s="25" t="s">
        <v>561</v>
      </c>
      <c r="C136" s="25" t="s">
        <v>210</v>
      </c>
      <c r="D136" s="53">
        <v>482.5</v>
      </c>
      <c r="E136" s="61">
        <v>3707088</v>
      </c>
      <c r="F136" s="61">
        <v>1235699</v>
      </c>
      <c r="G136" s="27">
        <f t="shared" si="4"/>
        <v>4942787</v>
      </c>
      <c r="H136" s="27">
        <f t="shared" si="5"/>
        <v>10244.118134715025</v>
      </c>
    </row>
    <row r="137" spans="1:8">
      <c r="A137" s="46">
        <v>340</v>
      </c>
      <c r="B137" s="25" t="s">
        <v>562</v>
      </c>
      <c r="C137" s="25" t="s">
        <v>210</v>
      </c>
      <c r="D137" s="53">
        <v>893.8</v>
      </c>
      <c r="E137" s="61">
        <v>6289211</v>
      </c>
      <c r="F137" s="61">
        <v>1947127</v>
      </c>
      <c r="G137" s="27">
        <f t="shared" si="4"/>
        <v>8236338</v>
      </c>
      <c r="H137" s="27">
        <f t="shared" si="5"/>
        <v>9214.9675542626992</v>
      </c>
    </row>
    <row r="138" spans="1:8">
      <c r="A138" s="46">
        <v>341</v>
      </c>
      <c r="B138" s="25" t="s">
        <v>563</v>
      </c>
      <c r="C138" s="25" t="s">
        <v>210</v>
      </c>
      <c r="D138" s="53">
        <v>539.1</v>
      </c>
      <c r="E138" s="61">
        <v>4631052</v>
      </c>
      <c r="F138" s="61">
        <v>1406800</v>
      </c>
      <c r="G138" s="27">
        <f t="shared" si="4"/>
        <v>6037852</v>
      </c>
      <c r="H138" s="27">
        <f t="shared" si="5"/>
        <v>11199.873863847151</v>
      </c>
    </row>
    <row r="139" spans="1:8">
      <c r="A139" s="46">
        <v>342</v>
      </c>
      <c r="B139" s="25" t="s">
        <v>564</v>
      </c>
      <c r="C139" s="25" t="s">
        <v>210</v>
      </c>
      <c r="D139" s="53">
        <v>491.5</v>
      </c>
      <c r="E139" s="61">
        <v>3983515</v>
      </c>
      <c r="F139" s="61">
        <v>1155600</v>
      </c>
      <c r="G139" s="27">
        <f t="shared" si="4"/>
        <v>5139115</v>
      </c>
      <c r="H139" s="27">
        <f t="shared" si="5"/>
        <v>10455.981688708036</v>
      </c>
    </row>
    <row r="140" spans="1:8">
      <c r="A140" s="46">
        <v>343</v>
      </c>
      <c r="B140" s="25" t="s">
        <v>565</v>
      </c>
      <c r="C140" s="25" t="s">
        <v>210</v>
      </c>
      <c r="D140" s="53">
        <v>954.5</v>
      </c>
      <c r="E140" s="61">
        <v>6726920</v>
      </c>
      <c r="F140" s="61">
        <v>2166159</v>
      </c>
      <c r="G140" s="27">
        <f t="shared" si="4"/>
        <v>8893079</v>
      </c>
      <c r="H140" s="27">
        <f t="shared" si="5"/>
        <v>9317.0026191723409</v>
      </c>
    </row>
    <row r="141" spans="1:8">
      <c r="A141" s="46">
        <v>344</v>
      </c>
      <c r="B141" s="25" t="s">
        <v>566</v>
      </c>
      <c r="C141" s="25" t="s">
        <v>217</v>
      </c>
      <c r="D141" s="53">
        <v>323</v>
      </c>
      <c r="E141" s="61">
        <v>2711711</v>
      </c>
      <c r="F141" s="61">
        <v>650000</v>
      </c>
      <c r="G141" s="27">
        <f t="shared" si="4"/>
        <v>3361711</v>
      </c>
      <c r="H141" s="27">
        <f t="shared" si="5"/>
        <v>10407.77399380805</v>
      </c>
    </row>
    <row r="142" spans="1:8">
      <c r="A142" s="46">
        <v>345</v>
      </c>
      <c r="B142" s="25" t="s">
        <v>567</v>
      </c>
      <c r="C142" s="25" t="s">
        <v>219</v>
      </c>
      <c r="D142" s="53">
        <v>3546.5</v>
      </c>
      <c r="E142" s="61">
        <v>20996401</v>
      </c>
      <c r="F142" s="61">
        <v>6872305</v>
      </c>
      <c r="G142" s="27">
        <f t="shared" si="4"/>
        <v>27868706</v>
      </c>
      <c r="H142" s="27">
        <f t="shared" si="5"/>
        <v>7858.0871281545187</v>
      </c>
    </row>
    <row r="143" spans="1:8">
      <c r="A143" s="46">
        <v>346</v>
      </c>
      <c r="B143" s="25" t="s">
        <v>568</v>
      </c>
      <c r="C143" s="25" t="s">
        <v>217</v>
      </c>
      <c r="D143" s="53">
        <v>519.1</v>
      </c>
      <c r="E143" s="61">
        <v>4251115</v>
      </c>
      <c r="F143" s="61">
        <v>1317868</v>
      </c>
      <c r="G143" s="27">
        <f t="shared" si="4"/>
        <v>5568983</v>
      </c>
      <c r="H143" s="27">
        <f t="shared" si="5"/>
        <v>10728.150645347716</v>
      </c>
    </row>
    <row r="144" spans="1:8">
      <c r="A144" s="46">
        <v>347</v>
      </c>
      <c r="B144" s="25" t="s">
        <v>569</v>
      </c>
      <c r="C144" s="25" t="s">
        <v>222</v>
      </c>
      <c r="D144" s="53">
        <v>357.5</v>
      </c>
      <c r="E144" s="61">
        <v>3042701</v>
      </c>
      <c r="F144" s="61">
        <v>842743</v>
      </c>
      <c r="G144" s="27">
        <f t="shared" si="4"/>
        <v>3885444</v>
      </c>
      <c r="H144" s="27">
        <f t="shared" si="5"/>
        <v>10868.374825174826</v>
      </c>
    </row>
    <row r="145" spans="1:8">
      <c r="A145" s="46">
        <v>348</v>
      </c>
      <c r="B145" s="25" t="s">
        <v>570</v>
      </c>
      <c r="C145" s="25" t="s">
        <v>224</v>
      </c>
      <c r="D145" s="53">
        <v>1336.4</v>
      </c>
      <c r="E145" s="61">
        <v>7959407</v>
      </c>
      <c r="F145" s="61">
        <v>2644147</v>
      </c>
      <c r="G145" s="27">
        <f t="shared" si="4"/>
        <v>10603554</v>
      </c>
      <c r="H145" s="27">
        <f t="shared" si="5"/>
        <v>7934.4163424124508</v>
      </c>
    </row>
    <row r="146" spans="1:8">
      <c r="A146" s="46">
        <v>349</v>
      </c>
      <c r="B146" s="25" t="s">
        <v>226</v>
      </c>
      <c r="C146" s="25" t="s">
        <v>226</v>
      </c>
      <c r="D146" s="53">
        <v>268.8</v>
      </c>
      <c r="E146" s="61">
        <v>2218636</v>
      </c>
      <c r="F146" s="61">
        <v>674967</v>
      </c>
      <c r="G146" s="27">
        <f t="shared" si="4"/>
        <v>2893603</v>
      </c>
      <c r="H146" s="27">
        <f t="shared" si="5"/>
        <v>10764.892113095239</v>
      </c>
    </row>
    <row r="147" spans="1:8">
      <c r="A147" s="46">
        <v>350</v>
      </c>
      <c r="B147" s="25" t="s">
        <v>571</v>
      </c>
      <c r="C147" s="25" t="s">
        <v>226</v>
      </c>
      <c r="D147" s="53">
        <v>327.5</v>
      </c>
      <c r="E147" s="61">
        <v>2826454</v>
      </c>
      <c r="F147" s="61">
        <v>840000</v>
      </c>
      <c r="G147" s="27">
        <f t="shared" si="4"/>
        <v>3666454</v>
      </c>
      <c r="H147" s="27">
        <f t="shared" si="5"/>
        <v>11195.279389312976</v>
      </c>
    </row>
    <row r="148" spans="1:8">
      <c r="A148" s="46">
        <v>351</v>
      </c>
      <c r="B148" s="25" t="s">
        <v>572</v>
      </c>
      <c r="C148" s="25" t="s">
        <v>226</v>
      </c>
      <c r="D148" s="53">
        <v>264.10000000000002</v>
      </c>
      <c r="E148" s="61">
        <v>2450530</v>
      </c>
      <c r="F148" s="61">
        <v>537000</v>
      </c>
      <c r="G148" s="27">
        <f t="shared" si="4"/>
        <v>2987530</v>
      </c>
      <c r="H148" s="27">
        <f t="shared" si="5"/>
        <v>11312.11662249148</v>
      </c>
    </row>
    <row r="149" spans="1:8">
      <c r="A149" s="46">
        <v>352</v>
      </c>
      <c r="B149" s="25" t="s">
        <v>573</v>
      </c>
      <c r="C149" s="25" t="s">
        <v>230</v>
      </c>
      <c r="D149" s="53">
        <v>899.5</v>
      </c>
      <c r="E149" s="61">
        <v>6466140</v>
      </c>
      <c r="F149" s="61">
        <v>2066050</v>
      </c>
      <c r="G149" s="27">
        <f t="shared" si="4"/>
        <v>8532190</v>
      </c>
      <c r="H149" s="27">
        <f t="shared" si="5"/>
        <v>9485.4808226792666</v>
      </c>
    </row>
    <row r="150" spans="1:8">
      <c r="A150" s="46">
        <v>353</v>
      </c>
      <c r="B150" s="25" t="s">
        <v>574</v>
      </c>
      <c r="C150" s="25" t="s">
        <v>232</v>
      </c>
      <c r="D150" s="53">
        <v>1648.3</v>
      </c>
      <c r="E150" s="61">
        <v>10505823</v>
      </c>
      <c r="F150" s="61">
        <v>3296748</v>
      </c>
      <c r="G150" s="27">
        <f t="shared" si="4"/>
        <v>13802571</v>
      </c>
      <c r="H150" s="27">
        <f t="shared" si="5"/>
        <v>8373.8221197597522</v>
      </c>
    </row>
    <row r="151" spans="1:8">
      <c r="A151" s="46">
        <v>354</v>
      </c>
      <c r="B151" s="25" t="s">
        <v>575</v>
      </c>
      <c r="C151" s="25" t="s">
        <v>234</v>
      </c>
      <c r="D151" s="53">
        <v>210.5</v>
      </c>
      <c r="E151" s="61">
        <v>1970694</v>
      </c>
      <c r="F151" s="61">
        <v>600000</v>
      </c>
      <c r="G151" s="27">
        <f t="shared" si="4"/>
        <v>2570694</v>
      </c>
      <c r="H151" s="27">
        <f t="shared" si="5"/>
        <v>12212.323040380048</v>
      </c>
    </row>
    <row r="152" spans="1:8">
      <c r="A152" s="46">
        <v>355</v>
      </c>
      <c r="B152" s="25" t="s">
        <v>576</v>
      </c>
      <c r="C152" s="25" t="s">
        <v>234</v>
      </c>
      <c r="D152" s="53">
        <v>406.7</v>
      </c>
      <c r="E152" s="61">
        <v>3231666</v>
      </c>
      <c r="F152" s="61">
        <v>955000</v>
      </c>
      <c r="G152" s="27">
        <f t="shared" si="4"/>
        <v>4186666</v>
      </c>
      <c r="H152" s="27">
        <f t="shared" si="5"/>
        <v>10294.236537988691</v>
      </c>
    </row>
    <row r="153" spans="1:8">
      <c r="A153" s="46">
        <v>356</v>
      </c>
      <c r="B153" s="25" t="s">
        <v>577</v>
      </c>
      <c r="C153" s="25" t="s">
        <v>232</v>
      </c>
      <c r="D153" s="53">
        <v>518.79999999999995</v>
      </c>
      <c r="E153" s="61">
        <v>3910753</v>
      </c>
      <c r="F153" s="61">
        <v>1065000</v>
      </c>
      <c r="G153" s="27">
        <f t="shared" si="4"/>
        <v>4975753</v>
      </c>
      <c r="H153" s="27">
        <f t="shared" si="5"/>
        <v>9590.8885890516576</v>
      </c>
    </row>
    <row r="154" spans="1:8">
      <c r="A154" s="46">
        <v>357</v>
      </c>
      <c r="B154" s="25" t="s">
        <v>578</v>
      </c>
      <c r="C154" s="25" t="s">
        <v>232</v>
      </c>
      <c r="D154" s="53">
        <v>656.5</v>
      </c>
      <c r="E154" s="61">
        <v>5225229</v>
      </c>
      <c r="F154" s="61">
        <v>1637123</v>
      </c>
      <c r="G154" s="27">
        <f t="shared" si="4"/>
        <v>6862352</v>
      </c>
      <c r="H154" s="27">
        <f t="shared" si="5"/>
        <v>10452.935262757044</v>
      </c>
    </row>
    <row r="155" spans="1:8">
      <c r="A155" s="46">
        <v>358</v>
      </c>
      <c r="B155" s="25" t="s">
        <v>579</v>
      </c>
      <c r="C155" s="25" t="s">
        <v>232</v>
      </c>
      <c r="D155" s="53">
        <v>333.5</v>
      </c>
      <c r="E155" s="61">
        <v>2775903</v>
      </c>
      <c r="F155" s="61">
        <v>876336</v>
      </c>
      <c r="G155" s="27">
        <f t="shared" si="4"/>
        <v>3652239</v>
      </c>
      <c r="H155" s="27">
        <f t="shared" si="5"/>
        <v>10951.241379310344</v>
      </c>
    </row>
    <row r="156" spans="1:8">
      <c r="A156" s="46">
        <v>359</v>
      </c>
      <c r="B156" s="25" t="s">
        <v>580</v>
      </c>
      <c r="C156" s="25" t="s">
        <v>232</v>
      </c>
      <c r="D156" s="53">
        <v>179.5</v>
      </c>
      <c r="E156" s="61">
        <v>1711545</v>
      </c>
      <c r="F156" s="61">
        <v>397355</v>
      </c>
      <c r="G156" s="27">
        <f t="shared" si="4"/>
        <v>2108900</v>
      </c>
      <c r="H156" s="27">
        <f t="shared" si="5"/>
        <v>11748.746518105849</v>
      </c>
    </row>
    <row r="157" spans="1:8">
      <c r="A157" s="46">
        <v>360</v>
      </c>
      <c r="B157" s="25" t="s">
        <v>581</v>
      </c>
      <c r="C157" s="25" t="s">
        <v>232</v>
      </c>
      <c r="D157" s="53">
        <v>234</v>
      </c>
      <c r="E157" s="61">
        <v>2142809</v>
      </c>
      <c r="F157" s="61">
        <v>690921</v>
      </c>
      <c r="G157" s="27">
        <f t="shared" si="4"/>
        <v>2833730</v>
      </c>
      <c r="H157" s="27">
        <f t="shared" si="5"/>
        <v>12109.957264957266</v>
      </c>
    </row>
    <row r="158" spans="1:8">
      <c r="A158" s="46">
        <v>361</v>
      </c>
      <c r="B158" s="25" t="s">
        <v>582</v>
      </c>
      <c r="C158" s="25" t="s">
        <v>242</v>
      </c>
      <c r="D158" s="53">
        <v>833.6</v>
      </c>
      <c r="E158" s="61">
        <v>6448889</v>
      </c>
      <c r="F158" s="61">
        <v>1700000</v>
      </c>
      <c r="G158" s="27">
        <f t="shared" si="4"/>
        <v>8148889</v>
      </c>
      <c r="H158" s="27">
        <f t="shared" si="5"/>
        <v>9775.5386276391546</v>
      </c>
    </row>
    <row r="159" spans="1:8">
      <c r="A159" s="46">
        <v>362</v>
      </c>
      <c r="B159" s="25" t="s">
        <v>583</v>
      </c>
      <c r="C159" s="25" t="s">
        <v>217</v>
      </c>
      <c r="D159" s="53">
        <v>943.4</v>
      </c>
      <c r="E159" s="61">
        <v>7362421</v>
      </c>
      <c r="F159" s="61">
        <v>2340079</v>
      </c>
      <c r="G159" s="27">
        <f t="shared" si="4"/>
        <v>9702500</v>
      </c>
      <c r="H159" s="27">
        <f t="shared" si="5"/>
        <v>10284.608861564553</v>
      </c>
    </row>
    <row r="160" spans="1:8">
      <c r="A160" s="46">
        <v>363</v>
      </c>
      <c r="B160" s="25" t="s">
        <v>584</v>
      </c>
      <c r="C160" s="25" t="s">
        <v>245</v>
      </c>
      <c r="D160" s="53">
        <v>939.8</v>
      </c>
      <c r="E160" s="61">
        <v>6357014</v>
      </c>
      <c r="F160" s="61">
        <v>2009799</v>
      </c>
      <c r="G160" s="27">
        <f t="shared" si="4"/>
        <v>8366813</v>
      </c>
      <c r="H160" s="27">
        <f t="shared" si="5"/>
        <v>8902.7590976803585</v>
      </c>
    </row>
    <row r="161" spans="1:8">
      <c r="A161" s="46">
        <v>364</v>
      </c>
      <c r="B161" s="25" t="s">
        <v>585</v>
      </c>
      <c r="C161" s="25" t="s">
        <v>247</v>
      </c>
      <c r="D161" s="53">
        <v>719.2</v>
      </c>
      <c r="E161" s="61">
        <v>5360433</v>
      </c>
      <c r="F161" s="61">
        <v>1807734</v>
      </c>
      <c r="G161" s="27">
        <f t="shared" si="4"/>
        <v>7168167</v>
      </c>
      <c r="H161" s="27">
        <f t="shared" si="5"/>
        <v>9966.8617908787528</v>
      </c>
    </row>
    <row r="162" spans="1:8">
      <c r="A162" s="46">
        <v>365</v>
      </c>
      <c r="B162" s="25" t="s">
        <v>586</v>
      </c>
      <c r="C162" s="25" t="s">
        <v>249</v>
      </c>
      <c r="D162" s="53">
        <v>1100.9000000000001</v>
      </c>
      <c r="E162" s="61">
        <v>7591734</v>
      </c>
      <c r="F162" s="61">
        <v>2225000</v>
      </c>
      <c r="G162" s="27">
        <f t="shared" si="4"/>
        <v>9816734</v>
      </c>
      <c r="H162" s="27">
        <f t="shared" si="5"/>
        <v>8917.0079026251242</v>
      </c>
    </row>
    <row r="163" spans="1:8">
      <c r="A163" s="46">
        <v>366</v>
      </c>
      <c r="B163" s="25" t="s">
        <v>251</v>
      </c>
      <c r="C163" s="25" t="s">
        <v>251</v>
      </c>
      <c r="D163" s="53">
        <v>398.3</v>
      </c>
      <c r="E163" s="61">
        <v>3482416</v>
      </c>
      <c r="F163" s="61">
        <v>993050</v>
      </c>
      <c r="G163" s="27">
        <f t="shared" si="4"/>
        <v>4475466</v>
      </c>
      <c r="H163" s="27">
        <f t="shared" si="5"/>
        <v>11236.419784082349</v>
      </c>
    </row>
    <row r="164" spans="1:8">
      <c r="A164" s="46">
        <v>367</v>
      </c>
      <c r="B164" s="25" t="s">
        <v>587</v>
      </c>
      <c r="C164" s="25" t="s">
        <v>253</v>
      </c>
      <c r="D164" s="53">
        <v>1137</v>
      </c>
      <c r="E164" s="61">
        <v>8389493</v>
      </c>
      <c r="F164" s="61">
        <v>2200000</v>
      </c>
      <c r="G164" s="27">
        <f t="shared" si="4"/>
        <v>10589493</v>
      </c>
      <c r="H164" s="27">
        <f t="shared" si="5"/>
        <v>9313.5382585751977</v>
      </c>
    </row>
    <row r="165" spans="1:8">
      <c r="A165" s="46">
        <v>368</v>
      </c>
      <c r="B165" s="25" t="s">
        <v>588</v>
      </c>
      <c r="C165" s="25" t="s">
        <v>253</v>
      </c>
      <c r="D165" s="53">
        <v>2028.1</v>
      </c>
      <c r="E165" s="61">
        <v>11423431</v>
      </c>
      <c r="F165" s="61">
        <v>3825659</v>
      </c>
      <c r="G165" s="27">
        <f t="shared" si="4"/>
        <v>15249090</v>
      </c>
      <c r="H165" s="27">
        <f t="shared" si="5"/>
        <v>7518.9043932744935</v>
      </c>
    </row>
    <row r="166" spans="1:8">
      <c r="A166" s="46">
        <v>369</v>
      </c>
      <c r="B166" s="25" t="s">
        <v>589</v>
      </c>
      <c r="C166" s="25" t="s">
        <v>256</v>
      </c>
      <c r="D166" s="53">
        <v>237.7</v>
      </c>
      <c r="E166" s="61">
        <v>2123150</v>
      </c>
      <c r="F166" s="61">
        <v>684521</v>
      </c>
      <c r="G166" s="27">
        <f t="shared" si="4"/>
        <v>2807671</v>
      </c>
      <c r="H166" s="27">
        <f t="shared" si="5"/>
        <v>11811.825830879259</v>
      </c>
    </row>
    <row r="167" spans="1:8">
      <c r="A167" s="46">
        <v>371</v>
      </c>
      <c r="B167" s="25" t="s">
        <v>590</v>
      </c>
      <c r="C167" s="25" t="s">
        <v>16</v>
      </c>
      <c r="D167" s="53">
        <v>234.3</v>
      </c>
      <c r="E167" s="61">
        <v>2023252</v>
      </c>
      <c r="F167" s="61">
        <v>596499</v>
      </c>
      <c r="G167" s="27">
        <f t="shared" si="4"/>
        <v>2619751</v>
      </c>
      <c r="H167" s="27">
        <f t="shared" si="5"/>
        <v>11181.182244985061</v>
      </c>
    </row>
    <row r="168" spans="1:8">
      <c r="A168" s="46">
        <v>372</v>
      </c>
      <c r="B168" s="25" t="s">
        <v>591</v>
      </c>
      <c r="C168" s="25" t="s">
        <v>219</v>
      </c>
      <c r="D168" s="53">
        <v>742.9</v>
      </c>
      <c r="E168" s="61">
        <v>5089233</v>
      </c>
      <c r="F168" s="61">
        <v>1627279</v>
      </c>
      <c r="G168" s="27">
        <f t="shared" si="4"/>
        <v>6716512</v>
      </c>
      <c r="H168" s="27">
        <f t="shared" si="5"/>
        <v>9040.9368690267875</v>
      </c>
    </row>
    <row r="169" spans="1:8">
      <c r="A169" s="46">
        <v>373</v>
      </c>
      <c r="B169" s="25" t="s">
        <v>592</v>
      </c>
      <c r="C169" s="25" t="s">
        <v>256</v>
      </c>
      <c r="D169" s="53">
        <v>3401.6</v>
      </c>
      <c r="E169" s="61">
        <v>20727998</v>
      </c>
      <c r="F169" s="61">
        <v>6040000</v>
      </c>
      <c r="G169" s="27">
        <f t="shared" si="4"/>
        <v>26767998</v>
      </c>
      <c r="H169" s="27">
        <f t="shared" si="5"/>
        <v>7869.2374176857948</v>
      </c>
    </row>
    <row r="170" spans="1:8">
      <c r="A170" s="46">
        <v>374</v>
      </c>
      <c r="B170" s="25" t="s">
        <v>593</v>
      </c>
      <c r="C170" s="25" t="s">
        <v>261</v>
      </c>
      <c r="D170" s="53">
        <v>478.5</v>
      </c>
      <c r="E170" s="61">
        <v>3780508</v>
      </c>
      <c r="F170" s="61">
        <v>1230909</v>
      </c>
      <c r="G170" s="27">
        <f t="shared" si="4"/>
        <v>5011417</v>
      </c>
      <c r="H170" s="27">
        <f t="shared" si="5"/>
        <v>10473.180773249738</v>
      </c>
    </row>
    <row r="171" spans="1:8">
      <c r="A171" s="46">
        <v>375</v>
      </c>
      <c r="B171" s="25" t="s">
        <v>594</v>
      </c>
      <c r="C171" s="25" t="s">
        <v>42</v>
      </c>
      <c r="D171" s="53">
        <v>1628.2</v>
      </c>
      <c r="E171" s="61">
        <v>9282966</v>
      </c>
      <c r="F171" s="61">
        <v>2875434</v>
      </c>
      <c r="G171" s="27">
        <f t="shared" si="4"/>
        <v>12158400</v>
      </c>
      <c r="H171" s="27">
        <f t="shared" si="5"/>
        <v>7467.3872988576341</v>
      </c>
    </row>
    <row r="172" spans="1:8">
      <c r="A172" s="46">
        <v>376</v>
      </c>
      <c r="B172" s="25" t="s">
        <v>595</v>
      </c>
      <c r="C172" s="25" t="s">
        <v>264</v>
      </c>
      <c r="D172" s="53">
        <v>530.5</v>
      </c>
      <c r="E172" s="61">
        <v>4057336</v>
      </c>
      <c r="F172" s="61">
        <v>1343642</v>
      </c>
      <c r="G172" s="27">
        <f t="shared" si="4"/>
        <v>5400978</v>
      </c>
      <c r="H172" s="27">
        <f t="shared" si="5"/>
        <v>10180.919886899152</v>
      </c>
    </row>
    <row r="173" spans="1:8">
      <c r="A173" s="46">
        <v>377</v>
      </c>
      <c r="B173" s="25" t="s">
        <v>596</v>
      </c>
      <c r="C173" s="25" t="s">
        <v>266</v>
      </c>
      <c r="D173" s="53">
        <v>664.6</v>
      </c>
      <c r="E173" s="61">
        <v>5429038</v>
      </c>
      <c r="F173" s="61">
        <v>1689717</v>
      </c>
      <c r="G173" s="27">
        <f t="shared" si="4"/>
        <v>7118755</v>
      </c>
      <c r="H173" s="27">
        <f t="shared" si="5"/>
        <v>10711.337646704784</v>
      </c>
    </row>
    <row r="174" spans="1:8">
      <c r="A174" s="46">
        <v>378</v>
      </c>
      <c r="B174" s="25" t="s">
        <v>597</v>
      </c>
      <c r="C174" s="25" t="s">
        <v>268</v>
      </c>
      <c r="D174" s="53">
        <v>698.5</v>
      </c>
      <c r="E174" s="61">
        <v>5064348</v>
      </c>
      <c r="F174" s="61">
        <v>1584803</v>
      </c>
      <c r="G174" s="27">
        <f t="shared" si="4"/>
        <v>6649151</v>
      </c>
      <c r="H174" s="27">
        <f t="shared" si="5"/>
        <v>9519.1853972798854</v>
      </c>
    </row>
    <row r="175" spans="1:8">
      <c r="A175" s="46">
        <v>379</v>
      </c>
      <c r="B175" s="25" t="s">
        <v>598</v>
      </c>
      <c r="C175" s="25" t="s">
        <v>270</v>
      </c>
      <c r="D175" s="53">
        <v>1359.3</v>
      </c>
      <c r="E175" s="61">
        <v>8544356</v>
      </c>
      <c r="F175" s="61">
        <v>2550000</v>
      </c>
      <c r="G175" s="27">
        <f t="shared" si="4"/>
        <v>11094356</v>
      </c>
      <c r="H175" s="27">
        <f t="shared" si="5"/>
        <v>8161.8156404031488</v>
      </c>
    </row>
    <row r="176" spans="1:8">
      <c r="A176" s="46">
        <v>380</v>
      </c>
      <c r="B176" s="25" t="s">
        <v>599</v>
      </c>
      <c r="C176" s="25" t="s">
        <v>247</v>
      </c>
      <c r="D176" s="53">
        <v>529.1</v>
      </c>
      <c r="E176" s="61">
        <v>3932964</v>
      </c>
      <c r="F176" s="61">
        <v>1050000</v>
      </c>
      <c r="G176" s="27">
        <f t="shared" si="4"/>
        <v>4982964</v>
      </c>
      <c r="H176" s="27">
        <f t="shared" si="5"/>
        <v>9417.8113778113766</v>
      </c>
    </row>
    <row r="177" spans="1:8">
      <c r="A177" s="46">
        <v>381</v>
      </c>
      <c r="B177" s="25" t="s">
        <v>600</v>
      </c>
      <c r="C177" s="25" t="s">
        <v>273</v>
      </c>
      <c r="D177" s="53">
        <v>358</v>
      </c>
      <c r="E177" s="61">
        <v>2556045</v>
      </c>
      <c r="F177" s="61">
        <v>765000</v>
      </c>
      <c r="G177" s="27">
        <f t="shared" si="4"/>
        <v>3321045</v>
      </c>
      <c r="H177" s="27">
        <f t="shared" si="5"/>
        <v>9276.6620111731845</v>
      </c>
    </row>
    <row r="178" spans="1:8">
      <c r="A178" s="46">
        <v>382</v>
      </c>
      <c r="B178" s="25" t="s">
        <v>275</v>
      </c>
      <c r="C178" s="25" t="s">
        <v>275</v>
      </c>
      <c r="D178" s="53">
        <v>1115.2</v>
      </c>
      <c r="E178" s="61">
        <v>7520093</v>
      </c>
      <c r="F178" s="61">
        <v>2473421</v>
      </c>
      <c r="G178" s="27">
        <f t="shared" si="4"/>
        <v>9993514</v>
      </c>
      <c r="H178" s="27">
        <f t="shared" si="5"/>
        <v>8961.1854375896692</v>
      </c>
    </row>
    <row r="179" spans="1:8">
      <c r="A179" s="46">
        <v>383</v>
      </c>
      <c r="B179" s="25" t="s">
        <v>601</v>
      </c>
      <c r="C179" s="25" t="s">
        <v>268</v>
      </c>
      <c r="D179" s="53">
        <v>5953.8</v>
      </c>
      <c r="E179" s="61">
        <v>35317636</v>
      </c>
      <c r="F179" s="61">
        <v>9479450</v>
      </c>
      <c r="G179" s="27">
        <f t="shared" si="4"/>
        <v>44797086</v>
      </c>
      <c r="H179" s="27">
        <f t="shared" si="5"/>
        <v>7524.1166985790587</v>
      </c>
    </row>
    <row r="180" spans="1:8">
      <c r="A180" s="46">
        <v>384</v>
      </c>
      <c r="B180" s="25" t="s">
        <v>469</v>
      </c>
      <c r="C180" s="25" t="s">
        <v>268</v>
      </c>
      <c r="D180" s="53">
        <v>217.5</v>
      </c>
      <c r="E180" s="61">
        <v>2000784</v>
      </c>
      <c r="F180" s="61">
        <v>603000</v>
      </c>
      <c r="G180" s="27">
        <f t="shared" si="4"/>
        <v>2603784</v>
      </c>
      <c r="H180" s="27">
        <f t="shared" si="5"/>
        <v>11971.420689655173</v>
      </c>
    </row>
    <row r="181" spans="1:8">
      <c r="A181" s="46">
        <v>385</v>
      </c>
      <c r="B181" s="25" t="s">
        <v>602</v>
      </c>
      <c r="C181" s="25" t="s">
        <v>42</v>
      </c>
      <c r="D181" s="53">
        <v>4699.5</v>
      </c>
      <c r="E181" s="61">
        <v>25271187</v>
      </c>
      <c r="F181" s="61">
        <v>8146966</v>
      </c>
      <c r="G181" s="27">
        <f t="shared" si="4"/>
        <v>33418153</v>
      </c>
      <c r="H181" s="27">
        <f t="shared" si="5"/>
        <v>7111.0018087030539</v>
      </c>
    </row>
    <row r="182" spans="1:8">
      <c r="A182" s="46">
        <v>386</v>
      </c>
      <c r="B182" s="25" t="s">
        <v>603</v>
      </c>
      <c r="C182" s="25" t="s">
        <v>280</v>
      </c>
      <c r="D182" s="53">
        <v>230.2</v>
      </c>
      <c r="E182" s="61">
        <v>2026461</v>
      </c>
      <c r="F182" s="61">
        <v>565000</v>
      </c>
      <c r="G182" s="27">
        <f t="shared" si="4"/>
        <v>2591461</v>
      </c>
      <c r="H182" s="27">
        <f t="shared" si="5"/>
        <v>11257.432667245874</v>
      </c>
    </row>
    <row r="183" spans="1:8">
      <c r="A183" s="46">
        <v>387</v>
      </c>
      <c r="B183" s="25" t="s">
        <v>604</v>
      </c>
      <c r="C183" s="25" t="s">
        <v>282</v>
      </c>
      <c r="D183" s="53">
        <v>182.7</v>
      </c>
      <c r="E183" s="61">
        <v>1920143</v>
      </c>
      <c r="F183" s="61">
        <v>560000</v>
      </c>
      <c r="G183" s="27">
        <f t="shared" si="4"/>
        <v>2480143</v>
      </c>
      <c r="H183" s="27">
        <f t="shared" si="5"/>
        <v>13574.948002189381</v>
      </c>
    </row>
    <row r="184" spans="1:8">
      <c r="A184" s="46">
        <v>388</v>
      </c>
      <c r="B184" s="25" t="s">
        <v>284</v>
      </c>
      <c r="C184" s="25" t="s">
        <v>284</v>
      </c>
      <c r="D184" s="53">
        <v>392.6</v>
      </c>
      <c r="E184" s="61">
        <v>2919131</v>
      </c>
      <c r="F184" s="61">
        <v>800000</v>
      </c>
      <c r="G184" s="27">
        <f t="shared" si="4"/>
        <v>3719131</v>
      </c>
      <c r="H184" s="27">
        <f t="shared" si="5"/>
        <v>9473.0794701986742</v>
      </c>
    </row>
    <row r="185" spans="1:8">
      <c r="A185" s="46">
        <v>389</v>
      </c>
      <c r="B185" s="25" t="s">
        <v>605</v>
      </c>
      <c r="C185" s="25" t="s">
        <v>280</v>
      </c>
      <c r="D185" s="53">
        <v>609</v>
      </c>
      <c r="E185" s="61">
        <v>4760639</v>
      </c>
      <c r="F185" s="61">
        <v>1487908</v>
      </c>
      <c r="G185" s="27">
        <f t="shared" si="4"/>
        <v>6248547</v>
      </c>
      <c r="H185" s="27">
        <f t="shared" si="5"/>
        <v>10260.339901477833</v>
      </c>
    </row>
    <row r="186" spans="1:8">
      <c r="A186" s="46">
        <v>390</v>
      </c>
      <c r="B186" s="25" t="s">
        <v>408</v>
      </c>
      <c r="C186" s="25" t="s">
        <v>280</v>
      </c>
      <c r="D186" s="53">
        <v>93.5</v>
      </c>
      <c r="E186" s="61">
        <v>1092468</v>
      </c>
      <c r="F186" s="61">
        <v>166000</v>
      </c>
      <c r="G186" s="27">
        <f t="shared" si="4"/>
        <v>1258468</v>
      </c>
      <c r="H186" s="27">
        <f t="shared" si="5"/>
        <v>13459.550802139038</v>
      </c>
    </row>
    <row r="187" spans="1:8">
      <c r="A187" s="46">
        <v>392</v>
      </c>
      <c r="B187" s="25" t="s">
        <v>288</v>
      </c>
      <c r="C187" s="25" t="s">
        <v>288</v>
      </c>
      <c r="D187" s="53">
        <v>331.9</v>
      </c>
      <c r="E187" s="61">
        <v>2820837</v>
      </c>
      <c r="F187" s="61">
        <v>835861</v>
      </c>
      <c r="G187" s="27">
        <f t="shared" si="4"/>
        <v>3656698</v>
      </c>
      <c r="H187" s="27">
        <f t="shared" si="5"/>
        <v>11017.469117203978</v>
      </c>
    </row>
    <row r="188" spans="1:8">
      <c r="A188" s="46">
        <v>393</v>
      </c>
      <c r="B188" s="25" t="s">
        <v>606</v>
      </c>
      <c r="C188" s="25" t="s">
        <v>290</v>
      </c>
      <c r="D188" s="53">
        <v>369</v>
      </c>
      <c r="E188" s="61">
        <v>2970084</v>
      </c>
      <c r="F188" s="61">
        <v>635000</v>
      </c>
      <c r="G188" s="27">
        <f t="shared" si="4"/>
        <v>3605084</v>
      </c>
      <c r="H188" s="27">
        <f t="shared" si="5"/>
        <v>9769.875338753387</v>
      </c>
    </row>
    <row r="189" spans="1:8">
      <c r="A189" s="46">
        <v>394</v>
      </c>
      <c r="B189" s="25" t="s">
        <v>607</v>
      </c>
      <c r="C189" s="25" t="s">
        <v>42</v>
      </c>
      <c r="D189" s="53">
        <v>1724.7</v>
      </c>
      <c r="E189" s="61">
        <v>9704627</v>
      </c>
      <c r="F189" s="61">
        <v>3140910</v>
      </c>
      <c r="G189" s="27">
        <f t="shared" si="4"/>
        <v>12845537</v>
      </c>
      <c r="H189" s="27">
        <f t="shared" si="5"/>
        <v>7447.9834174059251</v>
      </c>
    </row>
    <row r="190" spans="1:8">
      <c r="A190" s="46">
        <v>395</v>
      </c>
      <c r="B190" s="25" t="s">
        <v>608</v>
      </c>
      <c r="C190" s="25" t="s">
        <v>293</v>
      </c>
      <c r="D190" s="53">
        <v>294.5</v>
      </c>
      <c r="E190" s="61">
        <v>2463769</v>
      </c>
      <c r="F190" s="61">
        <v>660000</v>
      </c>
      <c r="G190" s="27">
        <f t="shared" si="4"/>
        <v>3123769</v>
      </c>
      <c r="H190" s="27">
        <f t="shared" si="5"/>
        <v>10607.025466893039</v>
      </c>
    </row>
    <row r="191" spans="1:8">
      <c r="A191" s="46">
        <v>396</v>
      </c>
      <c r="B191" s="25" t="s">
        <v>609</v>
      </c>
      <c r="C191" s="25" t="s">
        <v>42</v>
      </c>
      <c r="D191" s="53">
        <v>736.8</v>
      </c>
      <c r="E191" s="61">
        <v>5419811</v>
      </c>
      <c r="F191" s="61">
        <v>1786046</v>
      </c>
      <c r="G191" s="27">
        <f t="shared" si="4"/>
        <v>7205857</v>
      </c>
      <c r="H191" s="27">
        <f t="shared" si="5"/>
        <v>9779.9362106406079</v>
      </c>
    </row>
    <row r="192" spans="1:8">
      <c r="A192" s="46">
        <v>397</v>
      </c>
      <c r="B192" s="25" t="s">
        <v>610</v>
      </c>
      <c r="C192" s="25" t="s">
        <v>296</v>
      </c>
      <c r="D192" s="53">
        <v>246</v>
      </c>
      <c r="E192" s="61">
        <v>2267175</v>
      </c>
      <c r="F192" s="61">
        <v>445000</v>
      </c>
      <c r="G192" s="27">
        <f t="shared" si="4"/>
        <v>2712175</v>
      </c>
      <c r="H192" s="27">
        <f t="shared" si="5"/>
        <v>11025.10162601626</v>
      </c>
    </row>
    <row r="193" spans="1:8">
      <c r="A193" s="46">
        <v>398</v>
      </c>
      <c r="B193" s="25" t="s">
        <v>611</v>
      </c>
      <c r="C193" s="25" t="s">
        <v>296</v>
      </c>
      <c r="D193" s="53">
        <v>325.7</v>
      </c>
      <c r="E193" s="61">
        <v>2858149</v>
      </c>
      <c r="F193" s="61">
        <v>661500</v>
      </c>
      <c r="G193" s="27">
        <f t="shared" si="4"/>
        <v>3519649</v>
      </c>
      <c r="H193" s="27">
        <f t="shared" si="5"/>
        <v>10806.413877801659</v>
      </c>
    </row>
    <row r="194" spans="1:8">
      <c r="A194" s="46">
        <v>399</v>
      </c>
      <c r="B194" s="25" t="s">
        <v>612</v>
      </c>
      <c r="C194" s="25" t="s">
        <v>299</v>
      </c>
      <c r="D194" s="53">
        <v>122.3</v>
      </c>
      <c r="E194" s="61">
        <v>1286648</v>
      </c>
      <c r="F194" s="61">
        <v>435481</v>
      </c>
      <c r="G194" s="27">
        <f t="shared" si="4"/>
        <v>1722129</v>
      </c>
      <c r="H194" s="27">
        <f t="shared" si="5"/>
        <v>14081.185609157808</v>
      </c>
    </row>
    <row r="195" spans="1:8">
      <c r="A195" s="46">
        <v>400</v>
      </c>
      <c r="B195" s="25" t="s">
        <v>613</v>
      </c>
      <c r="C195" s="25" t="s">
        <v>301</v>
      </c>
      <c r="D195" s="53">
        <v>993.5</v>
      </c>
      <c r="E195" s="61">
        <v>6733741</v>
      </c>
      <c r="F195" s="61">
        <v>2119123</v>
      </c>
      <c r="G195" s="27">
        <f t="shared" si="4"/>
        <v>8852864</v>
      </c>
      <c r="H195" s="27">
        <f t="shared" si="5"/>
        <v>8910.7840966280819</v>
      </c>
    </row>
    <row r="196" spans="1:8">
      <c r="A196" s="46">
        <v>401</v>
      </c>
      <c r="B196" s="25" t="s">
        <v>144</v>
      </c>
      <c r="C196" s="25" t="s">
        <v>264</v>
      </c>
      <c r="D196" s="53">
        <v>138.5</v>
      </c>
      <c r="E196" s="61">
        <v>1461170</v>
      </c>
      <c r="F196" s="61">
        <v>469604</v>
      </c>
      <c r="G196" s="27">
        <f t="shared" ref="G196:G257" si="6">E196+F196</f>
        <v>1930774</v>
      </c>
      <c r="H196" s="27">
        <f t="shared" ref="H196:H257" si="7">G196/D196</f>
        <v>13940.606498194946</v>
      </c>
    </row>
    <row r="197" spans="1:8">
      <c r="A197" s="46">
        <v>402</v>
      </c>
      <c r="B197" s="25" t="s">
        <v>614</v>
      </c>
      <c r="C197" s="25" t="s">
        <v>42</v>
      </c>
      <c r="D197" s="53">
        <v>2179.5</v>
      </c>
      <c r="E197" s="61">
        <v>12209720</v>
      </c>
      <c r="F197" s="61">
        <v>3966848</v>
      </c>
      <c r="G197" s="27">
        <f t="shared" si="6"/>
        <v>16176568</v>
      </c>
      <c r="H197" s="27">
        <f t="shared" si="7"/>
        <v>7422.1463638449186</v>
      </c>
    </row>
    <row r="198" spans="1:8">
      <c r="A198" s="46">
        <v>403</v>
      </c>
      <c r="B198" s="25" t="s">
        <v>615</v>
      </c>
      <c r="C198" s="25" t="s">
        <v>293</v>
      </c>
      <c r="D198" s="53">
        <v>177</v>
      </c>
      <c r="E198" s="61">
        <v>1768088</v>
      </c>
      <c r="F198" s="61">
        <v>520000</v>
      </c>
      <c r="G198" s="27">
        <f t="shared" si="6"/>
        <v>2288088</v>
      </c>
      <c r="H198" s="27">
        <f t="shared" si="7"/>
        <v>12927.050847457627</v>
      </c>
    </row>
    <row r="199" spans="1:8">
      <c r="A199" s="46">
        <v>404</v>
      </c>
      <c r="B199" s="25" t="s">
        <v>616</v>
      </c>
      <c r="C199" s="25" t="s">
        <v>306</v>
      </c>
      <c r="D199" s="53">
        <v>794.5</v>
      </c>
      <c r="E199" s="61">
        <v>5998742</v>
      </c>
      <c r="F199" s="61">
        <v>1978184</v>
      </c>
      <c r="G199" s="27">
        <f t="shared" si="6"/>
        <v>7976926</v>
      </c>
      <c r="H199" s="27">
        <f t="shared" si="7"/>
        <v>10040.18376337319</v>
      </c>
    </row>
    <row r="200" spans="1:8">
      <c r="A200" s="46">
        <v>405</v>
      </c>
      <c r="B200" s="25" t="s">
        <v>617</v>
      </c>
      <c r="C200" s="25" t="s">
        <v>264</v>
      </c>
      <c r="D200" s="53">
        <v>799.4</v>
      </c>
      <c r="E200" s="61">
        <v>6267546</v>
      </c>
      <c r="F200" s="61">
        <v>1725000</v>
      </c>
      <c r="G200" s="27">
        <f t="shared" si="6"/>
        <v>7992546</v>
      </c>
      <c r="H200" s="27">
        <f t="shared" si="7"/>
        <v>9998.1811358518898</v>
      </c>
    </row>
    <row r="201" spans="1:8">
      <c r="A201" s="46">
        <v>406</v>
      </c>
      <c r="B201" s="25" t="s">
        <v>618</v>
      </c>
      <c r="C201" s="25" t="s">
        <v>34</v>
      </c>
      <c r="D201" s="53">
        <v>409.5</v>
      </c>
      <c r="E201" s="61">
        <v>3095862</v>
      </c>
      <c r="F201" s="61">
        <v>486630</v>
      </c>
      <c r="G201" s="27">
        <f t="shared" si="6"/>
        <v>3582492</v>
      </c>
      <c r="H201" s="27">
        <f t="shared" si="7"/>
        <v>8748.4542124542131</v>
      </c>
    </row>
    <row r="202" spans="1:8">
      <c r="A202" s="46">
        <v>407</v>
      </c>
      <c r="B202" s="25" t="s">
        <v>619</v>
      </c>
      <c r="C202" s="25" t="s">
        <v>299</v>
      </c>
      <c r="D202" s="53">
        <v>944.6</v>
      </c>
      <c r="E202" s="61">
        <v>6607764</v>
      </c>
      <c r="F202" s="61">
        <v>2066944</v>
      </c>
      <c r="G202" s="27">
        <f t="shared" si="6"/>
        <v>8674708</v>
      </c>
      <c r="H202" s="27">
        <f t="shared" si="7"/>
        <v>9183.4723692568277</v>
      </c>
    </row>
    <row r="203" spans="1:8">
      <c r="A203" s="46">
        <v>408</v>
      </c>
      <c r="B203" s="25" t="s">
        <v>296</v>
      </c>
      <c r="C203" s="25" t="s">
        <v>296</v>
      </c>
      <c r="D203" s="53">
        <v>579.5</v>
      </c>
      <c r="E203" s="61">
        <v>4510692</v>
      </c>
      <c r="F203" s="61">
        <v>1000000</v>
      </c>
      <c r="G203" s="27">
        <f t="shared" si="6"/>
        <v>5510692</v>
      </c>
      <c r="H203" s="27">
        <f t="shared" si="7"/>
        <v>9509.3908541846413</v>
      </c>
    </row>
    <row r="204" spans="1:8">
      <c r="A204" s="46">
        <v>409</v>
      </c>
      <c r="B204" s="25" t="s">
        <v>266</v>
      </c>
      <c r="C204" s="25" t="s">
        <v>266</v>
      </c>
      <c r="D204" s="53">
        <v>1732.1</v>
      </c>
      <c r="E204" s="61">
        <v>11057539</v>
      </c>
      <c r="F204" s="61">
        <v>3147100</v>
      </c>
      <c r="G204" s="27">
        <f t="shared" si="6"/>
        <v>14204639</v>
      </c>
      <c r="H204" s="27">
        <f t="shared" si="7"/>
        <v>8200.8192367646207</v>
      </c>
    </row>
    <row r="205" spans="1:8">
      <c r="A205" s="46">
        <v>410</v>
      </c>
      <c r="B205" s="25" t="s">
        <v>620</v>
      </c>
      <c r="C205" s="25" t="s">
        <v>296</v>
      </c>
      <c r="D205" s="53">
        <v>587.1</v>
      </c>
      <c r="E205" s="61">
        <v>4510290</v>
      </c>
      <c r="F205" s="61">
        <v>1504514</v>
      </c>
      <c r="G205" s="27">
        <f t="shared" si="6"/>
        <v>6014804</v>
      </c>
      <c r="H205" s="27">
        <f t="shared" si="7"/>
        <v>10244.939533299268</v>
      </c>
    </row>
    <row r="206" spans="1:8">
      <c r="A206" s="46">
        <v>411</v>
      </c>
      <c r="B206" s="25" t="s">
        <v>621</v>
      </c>
      <c r="C206" s="25" t="s">
        <v>296</v>
      </c>
      <c r="D206" s="53">
        <v>257.5</v>
      </c>
      <c r="E206" s="61">
        <v>2168486</v>
      </c>
      <c r="F206" s="61">
        <v>652000</v>
      </c>
      <c r="G206" s="27">
        <f t="shared" si="6"/>
        <v>2820486</v>
      </c>
      <c r="H206" s="27">
        <f t="shared" si="7"/>
        <v>10953.343689320389</v>
      </c>
    </row>
    <row r="207" spans="1:8">
      <c r="A207" s="46">
        <v>412</v>
      </c>
      <c r="B207" s="25" t="s">
        <v>622</v>
      </c>
      <c r="C207" s="25" t="s">
        <v>315</v>
      </c>
      <c r="D207" s="53">
        <v>286.7</v>
      </c>
      <c r="E207" s="61">
        <v>2359056</v>
      </c>
      <c r="F207" s="61">
        <v>784238</v>
      </c>
      <c r="G207" s="27">
        <f t="shared" si="6"/>
        <v>3143294</v>
      </c>
      <c r="H207" s="27">
        <f t="shared" si="7"/>
        <v>10963.704220439484</v>
      </c>
    </row>
    <row r="208" spans="1:8">
      <c r="A208" s="46">
        <v>413</v>
      </c>
      <c r="B208" s="25" t="s">
        <v>623</v>
      </c>
      <c r="C208" s="25" t="s">
        <v>14</v>
      </c>
      <c r="D208" s="53">
        <v>1810.9</v>
      </c>
      <c r="E208" s="61">
        <v>13201486</v>
      </c>
      <c r="F208" s="61">
        <v>4241939</v>
      </c>
      <c r="G208" s="27">
        <f t="shared" si="6"/>
        <v>17443425</v>
      </c>
      <c r="H208" s="27">
        <f t="shared" si="7"/>
        <v>9632.4617593461808</v>
      </c>
    </row>
    <row r="209" spans="1:8">
      <c r="A209" s="46">
        <v>415</v>
      </c>
      <c r="B209" s="25" t="s">
        <v>624</v>
      </c>
      <c r="C209" s="25" t="s">
        <v>318</v>
      </c>
      <c r="D209" s="53">
        <v>835.9</v>
      </c>
      <c r="E209" s="61">
        <v>6274768</v>
      </c>
      <c r="F209" s="61">
        <v>2028812</v>
      </c>
      <c r="G209" s="27">
        <f t="shared" si="6"/>
        <v>8303580</v>
      </c>
      <c r="H209" s="27">
        <f t="shared" si="7"/>
        <v>9933.7002033736098</v>
      </c>
    </row>
    <row r="210" spans="1:8">
      <c r="A210" s="46">
        <v>416</v>
      </c>
      <c r="B210" s="25" t="s">
        <v>625</v>
      </c>
      <c r="C210" s="25" t="s">
        <v>253</v>
      </c>
      <c r="D210" s="53">
        <v>1674</v>
      </c>
      <c r="E210" s="61">
        <v>9562957</v>
      </c>
      <c r="F210" s="61">
        <v>3138860</v>
      </c>
      <c r="G210" s="27">
        <f t="shared" si="6"/>
        <v>12701817</v>
      </c>
      <c r="H210" s="27">
        <f t="shared" si="7"/>
        <v>7587.7043010752686</v>
      </c>
    </row>
    <row r="211" spans="1:8">
      <c r="A211" s="46">
        <v>417</v>
      </c>
      <c r="B211" s="25" t="s">
        <v>626</v>
      </c>
      <c r="C211" s="25" t="s">
        <v>321</v>
      </c>
      <c r="D211" s="53">
        <v>750.9</v>
      </c>
      <c r="E211" s="61">
        <v>5503260</v>
      </c>
      <c r="F211" s="61">
        <v>1600000</v>
      </c>
      <c r="G211" s="27">
        <f t="shared" si="6"/>
        <v>7103260</v>
      </c>
      <c r="H211" s="27">
        <f t="shared" si="7"/>
        <v>9459.6617392462376</v>
      </c>
    </row>
    <row r="212" spans="1:8">
      <c r="A212" s="46">
        <v>418</v>
      </c>
      <c r="B212" s="25" t="s">
        <v>301</v>
      </c>
      <c r="C212" s="25" t="s">
        <v>301</v>
      </c>
      <c r="D212" s="53">
        <v>2251.6</v>
      </c>
      <c r="E212" s="61">
        <v>13046222</v>
      </c>
      <c r="F212" s="61">
        <v>4280521</v>
      </c>
      <c r="G212" s="27">
        <f t="shared" si="6"/>
        <v>17326743</v>
      </c>
      <c r="H212" s="27">
        <f t="shared" si="7"/>
        <v>7695.3024515899806</v>
      </c>
    </row>
    <row r="213" spans="1:8">
      <c r="A213" s="46">
        <v>419</v>
      </c>
      <c r="B213" s="25" t="s">
        <v>627</v>
      </c>
      <c r="C213" s="25" t="s">
        <v>301</v>
      </c>
      <c r="D213" s="53">
        <v>373.4</v>
      </c>
      <c r="E213" s="61">
        <v>3027856</v>
      </c>
      <c r="F213" s="61">
        <v>985304</v>
      </c>
      <c r="G213" s="27">
        <f t="shared" si="6"/>
        <v>4013160</v>
      </c>
      <c r="H213" s="27">
        <f t="shared" si="7"/>
        <v>10747.616497054098</v>
      </c>
    </row>
    <row r="214" spans="1:8">
      <c r="A214" s="46">
        <v>420</v>
      </c>
      <c r="B214" s="25" t="s">
        <v>628</v>
      </c>
      <c r="C214" s="25" t="s">
        <v>325</v>
      </c>
      <c r="D214" s="53">
        <v>642.70000000000005</v>
      </c>
      <c r="E214" s="61">
        <v>4799556</v>
      </c>
      <c r="F214" s="61">
        <v>700000</v>
      </c>
      <c r="G214" s="27">
        <f t="shared" si="6"/>
        <v>5499556</v>
      </c>
      <c r="H214" s="27">
        <f t="shared" si="7"/>
        <v>8556.9565893885174</v>
      </c>
    </row>
    <row r="215" spans="1:8">
      <c r="A215" s="46">
        <v>421</v>
      </c>
      <c r="B215" s="25" t="s">
        <v>629</v>
      </c>
      <c r="C215" s="25" t="s">
        <v>325</v>
      </c>
      <c r="D215" s="53">
        <v>428</v>
      </c>
      <c r="E215" s="61">
        <v>3295858</v>
      </c>
      <c r="F215" s="61">
        <v>530000</v>
      </c>
      <c r="G215" s="27">
        <f t="shared" si="6"/>
        <v>3825858</v>
      </c>
      <c r="H215" s="27">
        <f t="shared" si="7"/>
        <v>8938.9205607476633</v>
      </c>
    </row>
    <row r="216" spans="1:8">
      <c r="A216" s="46">
        <v>422</v>
      </c>
      <c r="B216" s="25" t="s">
        <v>630</v>
      </c>
      <c r="C216" s="25" t="s">
        <v>328</v>
      </c>
      <c r="D216" s="53">
        <v>203.8</v>
      </c>
      <c r="E216" s="61">
        <v>2069791</v>
      </c>
      <c r="F216" s="61">
        <v>602492</v>
      </c>
      <c r="G216" s="27">
        <f t="shared" si="6"/>
        <v>2672283</v>
      </c>
      <c r="H216" s="27">
        <f t="shared" si="7"/>
        <v>13112.281648675171</v>
      </c>
    </row>
    <row r="217" spans="1:8">
      <c r="A217" s="46">
        <v>423</v>
      </c>
      <c r="B217" s="25" t="s">
        <v>631</v>
      </c>
      <c r="C217" s="25" t="s">
        <v>301</v>
      </c>
      <c r="D217" s="53">
        <v>415</v>
      </c>
      <c r="E217" s="61">
        <v>3255738</v>
      </c>
      <c r="F217" s="61">
        <v>1067058</v>
      </c>
      <c r="G217" s="27">
        <f t="shared" si="6"/>
        <v>4322796</v>
      </c>
      <c r="H217" s="27">
        <f t="shared" si="7"/>
        <v>10416.375903614458</v>
      </c>
    </row>
    <row r="218" spans="1:8">
      <c r="A218" s="46">
        <v>424</v>
      </c>
      <c r="B218" s="25" t="s">
        <v>632</v>
      </c>
      <c r="C218" s="25" t="s">
        <v>328</v>
      </c>
      <c r="D218" s="53">
        <v>222</v>
      </c>
      <c r="E218" s="61">
        <v>1600788</v>
      </c>
      <c r="F218" s="61">
        <v>499749</v>
      </c>
      <c r="G218" s="27">
        <f t="shared" si="6"/>
        <v>2100537</v>
      </c>
      <c r="H218" s="27">
        <f t="shared" si="7"/>
        <v>9461.8783783783783</v>
      </c>
    </row>
    <row r="219" spans="1:8">
      <c r="A219" s="46">
        <v>426</v>
      </c>
      <c r="B219" s="25" t="s">
        <v>634</v>
      </c>
      <c r="C219" s="25" t="s">
        <v>30</v>
      </c>
      <c r="D219" s="53">
        <v>247</v>
      </c>
      <c r="E219" s="61">
        <v>2218636</v>
      </c>
      <c r="F219" s="61">
        <v>564700</v>
      </c>
      <c r="G219" s="27">
        <f t="shared" si="6"/>
        <v>2783336</v>
      </c>
      <c r="H219" s="27">
        <f t="shared" si="7"/>
        <v>11268.566801619434</v>
      </c>
    </row>
    <row r="220" spans="1:8">
      <c r="A220" s="46">
        <v>428</v>
      </c>
      <c r="B220" s="25" t="s">
        <v>636</v>
      </c>
      <c r="C220" s="25" t="s">
        <v>234</v>
      </c>
      <c r="D220" s="53">
        <v>3038.7</v>
      </c>
      <c r="E220" s="61">
        <v>19219085</v>
      </c>
      <c r="F220" s="61">
        <v>5571500</v>
      </c>
      <c r="G220" s="27">
        <f t="shared" si="6"/>
        <v>24790585</v>
      </c>
      <c r="H220" s="27">
        <f t="shared" si="7"/>
        <v>8158.2864382795278</v>
      </c>
    </row>
    <row r="221" spans="1:8">
      <c r="A221" s="46">
        <v>429</v>
      </c>
      <c r="B221" s="25" t="s">
        <v>637</v>
      </c>
      <c r="C221" s="25" t="s">
        <v>34</v>
      </c>
      <c r="D221" s="53">
        <v>347</v>
      </c>
      <c r="E221" s="61">
        <v>2703687</v>
      </c>
      <c r="F221" s="61">
        <v>768130</v>
      </c>
      <c r="G221" s="27">
        <f t="shared" si="6"/>
        <v>3471817</v>
      </c>
      <c r="H221" s="27">
        <f t="shared" si="7"/>
        <v>10005.236311239192</v>
      </c>
    </row>
    <row r="222" spans="1:8">
      <c r="A222" s="46">
        <v>430</v>
      </c>
      <c r="B222" s="25" t="s">
        <v>638</v>
      </c>
      <c r="C222" s="25" t="s">
        <v>318</v>
      </c>
      <c r="D222" s="53">
        <v>617.20000000000005</v>
      </c>
      <c r="E222" s="61">
        <v>5354415</v>
      </c>
      <c r="F222" s="61">
        <v>1761081</v>
      </c>
      <c r="G222" s="27">
        <f t="shared" si="6"/>
        <v>7115496</v>
      </c>
      <c r="H222" s="27">
        <f t="shared" si="7"/>
        <v>11528.671419313026</v>
      </c>
    </row>
    <row r="223" spans="1:8">
      <c r="A223" s="46">
        <v>431</v>
      </c>
      <c r="B223" s="25" t="s">
        <v>639</v>
      </c>
      <c r="C223" s="25" t="s">
        <v>234</v>
      </c>
      <c r="D223" s="53">
        <v>622.4</v>
      </c>
      <c r="E223" s="61">
        <v>4480200</v>
      </c>
      <c r="F223" s="61">
        <v>1260000</v>
      </c>
      <c r="G223" s="27">
        <f t="shared" si="6"/>
        <v>5740200</v>
      </c>
      <c r="H223" s="27">
        <f t="shared" si="7"/>
        <v>9222.6863753213365</v>
      </c>
    </row>
    <row r="224" spans="1:8">
      <c r="A224" s="46">
        <v>432</v>
      </c>
      <c r="B224" s="25" t="s">
        <v>640</v>
      </c>
      <c r="C224" s="25" t="s">
        <v>284</v>
      </c>
      <c r="D224" s="53">
        <v>257</v>
      </c>
      <c r="E224" s="61">
        <v>2036491</v>
      </c>
      <c r="F224" s="61">
        <v>681251</v>
      </c>
      <c r="G224" s="27">
        <f t="shared" si="6"/>
        <v>2717742</v>
      </c>
      <c r="H224" s="27">
        <f t="shared" si="7"/>
        <v>10574.87159533074</v>
      </c>
    </row>
    <row r="225" spans="1:8">
      <c r="A225" s="46">
        <v>434</v>
      </c>
      <c r="B225" s="25" t="s">
        <v>642</v>
      </c>
      <c r="C225" s="25" t="s">
        <v>325</v>
      </c>
      <c r="D225" s="53">
        <v>1061.4000000000001</v>
      </c>
      <c r="E225" s="61">
        <v>7948173</v>
      </c>
      <c r="F225" s="61">
        <v>2650456</v>
      </c>
      <c r="G225" s="27">
        <f t="shared" si="6"/>
        <v>10598629</v>
      </c>
      <c r="H225" s="27">
        <f t="shared" si="7"/>
        <v>9985.5181835311851</v>
      </c>
    </row>
    <row r="226" spans="1:8">
      <c r="A226" s="46">
        <v>435</v>
      </c>
      <c r="B226" s="25" t="s">
        <v>643</v>
      </c>
      <c r="C226" s="25" t="s">
        <v>290</v>
      </c>
      <c r="D226" s="53">
        <v>1526.7</v>
      </c>
      <c r="E226" s="61">
        <v>8980862</v>
      </c>
      <c r="F226" s="61">
        <v>2738500</v>
      </c>
      <c r="G226" s="27">
        <f t="shared" si="6"/>
        <v>11719362</v>
      </c>
      <c r="H226" s="27">
        <f t="shared" si="7"/>
        <v>7676.2703871094518</v>
      </c>
    </row>
    <row r="227" spans="1:8">
      <c r="A227" s="46">
        <v>436</v>
      </c>
      <c r="B227" s="25" t="s">
        <v>644</v>
      </c>
      <c r="C227" s="25" t="s">
        <v>343</v>
      </c>
      <c r="D227" s="53">
        <v>829.7</v>
      </c>
      <c r="E227" s="61">
        <v>5694232</v>
      </c>
      <c r="F227" s="61">
        <v>1050000</v>
      </c>
      <c r="G227" s="27">
        <f t="shared" si="6"/>
        <v>6744232</v>
      </c>
      <c r="H227" s="27">
        <f t="shared" si="7"/>
        <v>8128.5187417138723</v>
      </c>
    </row>
    <row r="228" spans="1:8">
      <c r="A228" s="46">
        <v>437</v>
      </c>
      <c r="B228" s="25" t="s">
        <v>645</v>
      </c>
      <c r="C228" s="25" t="s">
        <v>219</v>
      </c>
      <c r="D228" s="53">
        <v>5408.5</v>
      </c>
      <c r="E228" s="61">
        <v>31808741</v>
      </c>
      <c r="F228" s="61">
        <v>10515863</v>
      </c>
      <c r="G228" s="27">
        <f t="shared" si="6"/>
        <v>42324604</v>
      </c>
      <c r="H228" s="27">
        <f t="shared" si="7"/>
        <v>7825.5716002588515</v>
      </c>
    </row>
    <row r="229" spans="1:8">
      <c r="A229" s="46">
        <v>438</v>
      </c>
      <c r="B229" s="25" t="s">
        <v>646</v>
      </c>
      <c r="C229" s="25" t="s">
        <v>275</v>
      </c>
      <c r="D229" s="53">
        <v>342.4</v>
      </c>
      <c r="E229" s="61">
        <v>2838891</v>
      </c>
      <c r="F229" s="61">
        <v>910000</v>
      </c>
      <c r="G229" s="27">
        <f t="shared" si="6"/>
        <v>3748891</v>
      </c>
      <c r="H229" s="27">
        <f t="shared" si="7"/>
        <v>10948.863901869159</v>
      </c>
    </row>
    <row r="230" spans="1:8">
      <c r="A230" s="46">
        <v>439</v>
      </c>
      <c r="B230" s="25" t="s">
        <v>116</v>
      </c>
      <c r="C230" s="25" t="s">
        <v>256</v>
      </c>
      <c r="D230" s="53">
        <v>554.5</v>
      </c>
      <c r="E230" s="61">
        <v>3850718</v>
      </c>
      <c r="F230" s="61">
        <v>550000</v>
      </c>
      <c r="G230" s="27">
        <f t="shared" si="6"/>
        <v>4400718</v>
      </c>
      <c r="H230" s="27">
        <f t="shared" si="7"/>
        <v>7936.371505861136</v>
      </c>
    </row>
    <row r="231" spans="1:8">
      <c r="A231" s="46">
        <v>440</v>
      </c>
      <c r="B231" s="25" t="s">
        <v>647</v>
      </c>
      <c r="C231" s="25" t="s">
        <v>256</v>
      </c>
      <c r="D231" s="53">
        <v>785.1</v>
      </c>
      <c r="E231" s="61">
        <v>5589920</v>
      </c>
      <c r="F231" s="61">
        <v>1295000</v>
      </c>
      <c r="G231" s="27">
        <f t="shared" si="6"/>
        <v>6884920</v>
      </c>
      <c r="H231" s="27">
        <f t="shared" si="7"/>
        <v>8769.4815947013121</v>
      </c>
    </row>
    <row r="232" spans="1:8">
      <c r="A232" s="46">
        <v>441</v>
      </c>
      <c r="B232" s="25" t="s">
        <v>648</v>
      </c>
      <c r="C232" s="25" t="s">
        <v>349</v>
      </c>
      <c r="D232" s="53">
        <v>924.6</v>
      </c>
      <c r="E232" s="61">
        <v>6332541</v>
      </c>
      <c r="F232" s="61">
        <v>2087606</v>
      </c>
      <c r="G232" s="27">
        <f t="shared" si="6"/>
        <v>8420147</v>
      </c>
      <c r="H232" s="27">
        <f t="shared" si="7"/>
        <v>9106.7996971663415</v>
      </c>
    </row>
    <row r="233" spans="1:8">
      <c r="A233" s="46">
        <v>442</v>
      </c>
      <c r="B233" s="25" t="s">
        <v>649</v>
      </c>
      <c r="C233" s="25" t="s">
        <v>349</v>
      </c>
      <c r="D233" s="53">
        <v>436.1</v>
      </c>
      <c r="E233" s="61">
        <v>3283020</v>
      </c>
      <c r="F233" s="61">
        <v>665000</v>
      </c>
      <c r="G233" s="27">
        <f t="shared" si="6"/>
        <v>3948020</v>
      </c>
      <c r="H233" s="27">
        <f t="shared" si="7"/>
        <v>9053.0153634487506</v>
      </c>
    </row>
    <row r="234" spans="1:8">
      <c r="A234" s="46">
        <v>443</v>
      </c>
      <c r="B234" s="25" t="s">
        <v>650</v>
      </c>
      <c r="C234" s="25" t="s">
        <v>273</v>
      </c>
      <c r="D234" s="53">
        <v>5808.5</v>
      </c>
      <c r="E234" s="61">
        <v>42586578</v>
      </c>
      <c r="F234" s="61">
        <v>12501992</v>
      </c>
      <c r="G234" s="27">
        <f t="shared" si="6"/>
        <v>55088570</v>
      </c>
      <c r="H234" s="27">
        <f t="shared" si="7"/>
        <v>9484.1301540845307</v>
      </c>
    </row>
    <row r="235" spans="1:8">
      <c r="A235" s="46">
        <v>444</v>
      </c>
      <c r="B235" s="25" t="s">
        <v>651</v>
      </c>
      <c r="C235" s="25" t="s">
        <v>264</v>
      </c>
      <c r="D235" s="53">
        <v>316.5</v>
      </c>
      <c r="E235" s="61">
        <v>2534380</v>
      </c>
      <c r="F235" s="61">
        <v>490000</v>
      </c>
      <c r="G235" s="27">
        <f t="shared" si="6"/>
        <v>3024380</v>
      </c>
      <c r="H235" s="27">
        <f t="shared" si="7"/>
        <v>9555.7030015797791</v>
      </c>
    </row>
    <row r="236" spans="1:8">
      <c r="A236" s="46">
        <v>445</v>
      </c>
      <c r="B236" s="25" t="s">
        <v>652</v>
      </c>
      <c r="C236" s="25" t="s">
        <v>343</v>
      </c>
      <c r="D236" s="53">
        <v>1815.2</v>
      </c>
      <c r="E236" s="61">
        <v>11983844</v>
      </c>
      <c r="F236" s="61">
        <v>3896400</v>
      </c>
      <c r="G236" s="27">
        <f t="shared" si="6"/>
        <v>15880244</v>
      </c>
      <c r="H236" s="27">
        <f t="shared" si="7"/>
        <v>8748.4817100044074</v>
      </c>
    </row>
    <row r="237" spans="1:8">
      <c r="A237" s="46">
        <v>446</v>
      </c>
      <c r="B237" s="25" t="s">
        <v>653</v>
      </c>
      <c r="C237" s="25" t="s">
        <v>343</v>
      </c>
      <c r="D237" s="53">
        <v>1837.7</v>
      </c>
      <c r="E237" s="61">
        <v>11201042</v>
      </c>
      <c r="F237" s="61">
        <v>3565473</v>
      </c>
      <c r="G237" s="27">
        <f t="shared" si="6"/>
        <v>14766515</v>
      </c>
      <c r="H237" s="27">
        <f t="shared" si="7"/>
        <v>8035.3240463623006</v>
      </c>
    </row>
    <row r="238" spans="1:8">
      <c r="A238" s="46">
        <v>447</v>
      </c>
      <c r="B238" s="25" t="s">
        <v>654</v>
      </c>
      <c r="C238" s="25" t="s">
        <v>343</v>
      </c>
      <c r="D238" s="53">
        <v>885.1</v>
      </c>
      <c r="E238" s="61">
        <v>6308068</v>
      </c>
      <c r="F238" s="61">
        <v>1630000</v>
      </c>
      <c r="G238" s="27">
        <f t="shared" si="6"/>
        <v>7938068</v>
      </c>
      <c r="H238" s="27">
        <f t="shared" si="7"/>
        <v>8968.5549655406176</v>
      </c>
    </row>
    <row r="239" spans="1:8">
      <c r="A239" s="46">
        <v>448</v>
      </c>
      <c r="B239" s="25" t="s">
        <v>655</v>
      </c>
      <c r="C239" s="25" t="s">
        <v>301</v>
      </c>
      <c r="D239" s="53">
        <v>456</v>
      </c>
      <c r="E239" s="61">
        <v>3337583</v>
      </c>
      <c r="F239" s="61">
        <v>1072631</v>
      </c>
      <c r="G239" s="27">
        <f t="shared" si="6"/>
        <v>4410214</v>
      </c>
      <c r="H239" s="27">
        <f t="shared" si="7"/>
        <v>9671.5219298245611</v>
      </c>
    </row>
    <row r="240" spans="1:8">
      <c r="A240" s="46">
        <v>449</v>
      </c>
      <c r="B240" s="25" t="s">
        <v>656</v>
      </c>
      <c r="C240" s="25" t="s">
        <v>45</v>
      </c>
      <c r="D240" s="53">
        <v>698.7</v>
      </c>
      <c r="E240" s="61">
        <v>5117306</v>
      </c>
      <c r="F240" s="61">
        <v>1708658</v>
      </c>
      <c r="G240" s="27">
        <f t="shared" si="6"/>
        <v>6825964</v>
      </c>
      <c r="H240" s="27">
        <f t="shared" si="7"/>
        <v>9769.5205381422638</v>
      </c>
    </row>
    <row r="241" spans="1:8">
      <c r="A241" s="46">
        <v>450</v>
      </c>
      <c r="B241" s="25" t="s">
        <v>657</v>
      </c>
      <c r="C241" s="25" t="s">
        <v>219</v>
      </c>
      <c r="D241" s="53">
        <v>3403</v>
      </c>
      <c r="E241" s="61">
        <v>19805238</v>
      </c>
      <c r="F241" s="61">
        <v>6568412</v>
      </c>
      <c r="G241" s="27">
        <f t="shared" si="6"/>
        <v>26373650</v>
      </c>
      <c r="H241" s="27">
        <f t="shared" si="7"/>
        <v>7750.1175433441085</v>
      </c>
    </row>
    <row r="242" spans="1:8">
      <c r="A242" s="46">
        <v>451</v>
      </c>
      <c r="B242" s="25" t="s">
        <v>360</v>
      </c>
      <c r="C242" s="25" t="s">
        <v>349</v>
      </c>
      <c r="D242" s="53">
        <v>186.5</v>
      </c>
      <c r="E242" s="61">
        <v>1687046</v>
      </c>
      <c r="F242" s="61">
        <v>297250</v>
      </c>
      <c r="G242" s="27">
        <f t="shared" si="6"/>
        <v>1984296</v>
      </c>
      <c r="H242" s="27">
        <f t="shared" si="7"/>
        <v>10639.656836461127</v>
      </c>
    </row>
    <row r="243" spans="1:8">
      <c r="A243" s="46">
        <v>452</v>
      </c>
      <c r="B243" s="25" t="s">
        <v>658</v>
      </c>
      <c r="C243" s="25" t="s">
        <v>362</v>
      </c>
      <c r="D243" s="53">
        <v>462.5</v>
      </c>
      <c r="E243" s="61">
        <v>3766064</v>
      </c>
      <c r="F243" s="61">
        <v>1081255</v>
      </c>
      <c r="G243" s="27">
        <f t="shared" si="6"/>
        <v>4847319</v>
      </c>
      <c r="H243" s="27">
        <f t="shared" si="7"/>
        <v>10480.689729729729</v>
      </c>
    </row>
    <row r="244" spans="1:8">
      <c r="A244" s="46">
        <v>453</v>
      </c>
      <c r="B244" s="25" t="s">
        <v>45</v>
      </c>
      <c r="C244" s="25" t="s">
        <v>45</v>
      </c>
      <c r="D244" s="53">
        <v>3823</v>
      </c>
      <c r="E244" s="61">
        <v>25025251</v>
      </c>
      <c r="F244" s="61">
        <v>7910090</v>
      </c>
      <c r="G244" s="27">
        <f t="shared" si="6"/>
        <v>32935341</v>
      </c>
      <c r="H244" s="27">
        <f t="shared" si="7"/>
        <v>8615.0512686371967</v>
      </c>
    </row>
    <row r="245" spans="1:8">
      <c r="A245" s="46">
        <v>454</v>
      </c>
      <c r="B245" s="25" t="s">
        <v>659</v>
      </c>
      <c r="C245" s="25" t="s">
        <v>325</v>
      </c>
      <c r="D245" s="53">
        <v>317</v>
      </c>
      <c r="E245" s="61">
        <v>2627459</v>
      </c>
      <c r="F245" s="61">
        <v>550000</v>
      </c>
      <c r="G245" s="27">
        <f t="shared" si="6"/>
        <v>3177459</v>
      </c>
      <c r="H245" s="27">
        <f t="shared" si="7"/>
        <v>10023.529968454259</v>
      </c>
    </row>
    <row r="246" spans="1:8">
      <c r="A246" s="46">
        <v>456</v>
      </c>
      <c r="B246" s="25" t="s">
        <v>661</v>
      </c>
      <c r="C246" s="25" t="s">
        <v>325</v>
      </c>
      <c r="D246" s="53">
        <v>266</v>
      </c>
      <c r="E246" s="61">
        <v>2478212</v>
      </c>
      <c r="F246" s="61">
        <v>445000</v>
      </c>
      <c r="G246" s="27">
        <f t="shared" si="6"/>
        <v>2923212</v>
      </c>
      <c r="H246" s="27">
        <f t="shared" si="7"/>
        <v>10989.518796992481</v>
      </c>
    </row>
    <row r="247" spans="1:8">
      <c r="A247" s="46">
        <v>457</v>
      </c>
      <c r="B247" s="25" t="s">
        <v>662</v>
      </c>
      <c r="C247" s="25" t="s">
        <v>245</v>
      </c>
      <c r="D247" s="53">
        <v>6930.3</v>
      </c>
      <c r="E247" s="61">
        <v>47106497</v>
      </c>
      <c r="F247" s="61">
        <v>8910769</v>
      </c>
      <c r="G247" s="27">
        <f t="shared" si="6"/>
        <v>56017266</v>
      </c>
      <c r="H247" s="27">
        <f t="shared" si="7"/>
        <v>8082.9496558590536</v>
      </c>
    </row>
    <row r="248" spans="1:8">
      <c r="A248" s="46">
        <v>458</v>
      </c>
      <c r="B248" s="25" t="s">
        <v>663</v>
      </c>
      <c r="C248" s="25" t="s">
        <v>45</v>
      </c>
      <c r="D248" s="53">
        <v>2121.6</v>
      </c>
      <c r="E248" s="61">
        <v>11940916</v>
      </c>
      <c r="F248" s="61">
        <v>3963686</v>
      </c>
      <c r="G248" s="27">
        <f t="shared" si="6"/>
        <v>15904602</v>
      </c>
      <c r="H248" s="27">
        <f t="shared" si="7"/>
        <v>7496.5130090497742</v>
      </c>
    </row>
    <row r="249" spans="1:8">
      <c r="A249" s="46">
        <v>459</v>
      </c>
      <c r="B249" s="25" t="s">
        <v>664</v>
      </c>
      <c r="C249" s="25" t="s">
        <v>273</v>
      </c>
      <c r="D249" s="53">
        <v>244.7</v>
      </c>
      <c r="E249" s="61">
        <v>2046922</v>
      </c>
      <c r="F249" s="61">
        <v>551102</v>
      </c>
      <c r="G249" s="27">
        <f t="shared" si="6"/>
        <v>2598024</v>
      </c>
      <c r="H249" s="27">
        <f t="shared" si="7"/>
        <v>10617.180220678381</v>
      </c>
    </row>
    <row r="250" spans="1:8">
      <c r="A250" s="46">
        <v>460</v>
      </c>
      <c r="B250" s="25" t="s">
        <v>665</v>
      </c>
      <c r="C250" s="25" t="s">
        <v>256</v>
      </c>
      <c r="D250" s="53">
        <v>812</v>
      </c>
      <c r="E250" s="61">
        <v>5328337</v>
      </c>
      <c r="F250" s="61">
        <v>1748564</v>
      </c>
      <c r="G250" s="27">
        <f t="shared" si="6"/>
        <v>7076901</v>
      </c>
      <c r="H250" s="27">
        <f t="shared" si="7"/>
        <v>8715.3953201970435</v>
      </c>
    </row>
    <row r="251" spans="1:8">
      <c r="A251" s="46">
        <v>461</v>
      </c>
      <c r="B251" s="25" t="s">
        <v>666</v>
      </c>
      <c r="C251" s="25" t="s">
        <v>282</v>
      </c>
      <c r="D251" s="53">
        <v>717.2</v>
      </c>
      <c r="E251" s="61">
        <v>5236864</v>
      </c>
      <c r="F251" s="61">
        <v>1684025</v>
      </c>
      <c r="G251" s="27">
        <f t="shared" si="6"/>
        <v>6920889</v>
      </c>
      <c r="H251" s="27">
        <f t="shared" si="7"/>
        <v>9649.8731176798647</v>
      </c>
    </row>
    <row r="252" spans="1:8">
      <c r="A252" s="46">
        <v>462</v>
      </c>
      <c r="B252" s="25" t="s">
        <v>667</v>
      </c>
      <c r="C252" s="25" t="s">
        <v>373</v>
      </c>
      <c r="D252" s="53">
        <v>347</v>
      </c>
      <c r="E252" s="61">
        <v>2739474</v>
      </c>
      <c r="F252" s="61">
        <v>897738</v>
      </c>
      <c r="G252" s="27">
        <f t="shared" si="6"/>
        <v>3637212</v>
      </c>
      <c r="H252" s="27">
        <f t="shared" si="7"/>
        <v>10481.878962536022</v>
      </c>
    </row>
    <row r="253" spans="1:8">
      <c r="A253" s="46">
        <v>463</v>
      </c>
      <c r="B253" s="25" t="s">
        <v>668</v>
      </c>
      <c r="C253" s="25" t="s">
        <v>373</v>
      </c>
      <c r="D253" s="53">
        <v>362.5</v>
      </c>
      <c r="E253" s="61">
        <v>2905089</v>
      </c>
      <c r="F253" s="61">
        <v>977243</v>
      </c>
      <c r="G253" s="27">
        <f t="shared" si="6"/>
        <v>3882332</v>
      </c>
      <c r="H253" s="27">
        <f t="shared" si="7"/>
        <v>10709.881379310345</v>
      </c>
    </row>
    <row r="254" spans="1:8">
      <c r="A254" s="46">
        <v>464</v>
      </c>
      <c r="B254" s="25" t="s">
        <v>669</v>
      </c>
      <c r="C254" s="25" t="s">
        <v>45</v>
      </c>
      <c r="D254" s="53">
        <v>1860.9</v>
      </c>
      <c r="E254" s="61">
        <v>10507829</v>
      </c>
      <c r="F254" s="61">
        <v>3305921</v>
      </c>
      <c r="G254" s="27">
        <f t="shared" si="6"/>
        <v>13813750</v>
      </c>
      <c r="H254" s="27">
        <f t="shared" si="7"/>
        <v>7423.1554624106611</v>
      </c>
    </row>
    <row r="255" spans="1:8">
      <c r="A255" s="46">
        <v>465</v>
      </c>
      <c r="B255" s="25" t="s">
        <v>670</v>
      </c>
      <c r="C255" s="25" t="s">
        <v>373</v>
      </c>
      <c r="D255" s="53">
        <v>2348.6</v>
      </c>
      <c r="E255" s="61">
        <v>14484524</v>
      </c>
      <c r="F255" s="61">
        <v>4827797</v>
      </c>
      <c r="G255" s="27">
        <f t="shared" si="6"/>
        <v>19312321</v>
      </c>
      <c r="H255" s="27">
        <f t="shared" si="7"/>
        <v>8222.907689687474</v>
      </c>
    </row>
    <row r="256" spans="1:8">
      <c r="A256" s="46">
        <v>466</v>
      </c>
      <c r="B256" s="25" t="s">
        <v>671</v>
      </c>
      <c r="C256" s="25" t="s">
        <v>378</v>
      </c>
      <c r="D256" s="53">
        <v>868.7</v>
      </c>
      <c r="E256" s="61">
        <v>5968251</v>
      </c>
      <c r="F256" s="61">
        <v>1966606</v>
      </c>
      <c r="G256" s="27">
        <f t="shared" si="6"/>
        <v>7934857</v>
      </c>
      <c r="H256" s="27">
        <f t="shared" si="7"/>
        <v>9134.1740531829164</v>
      </c>
    </row>
    <row r="257" spans="1:8">
      <c r="A257" s="46">
        <v>467</v>
      </c>
      <c r="B257" s="25" t="s">
        <v>672</v>
      </c>
      <c r="C257" s="25" t="s">
        <v>380</v>
      </c>
      <c r="D257" s="53">
        <v>427.5</v>
      </c>
      <c r="E257" s="61">
        <v>3406188</v>
      </c>
      <c r="F257" s="61">
        <v>1040542</v>
      </c>
      <c r="G257" s="27">
        <f t="shared" si="6"/>
        <v>4446730</v>
      </c>
      <c r="H257" s="27">
        <f t="shared" si="7"/>
        <v>10401.707602339182</v>
      </c>
    </row>
    <row r="258" spans="1:8">
      <c r="A258" s="46">
        <v>468</v>
      </c>
      <c r="B258" s="25" t="s">
        <v>673</v>
      </c>
      <c r="C258" s="25" t="s">
        <v>382</v>
      </c>
      <c r="D258" s="53">
        <v>92.5</v>
      </c>
      <c r="E258" s="61">
        <v>982539</v>
      </c>
      <c r="F258" s="61">
        <v>291296</v>
      </c>
      <c r="G258" s="27">
        <f t="shared" ref="G258:G298" si="8">E258+F258</f>
        <v>1273835</v>
      </c>
      <c r="H258" s="27">
        <f t="shared" ref="H258:H298" si="9">G258/D258</f>
        <v>13771.18918918919</v>
      </c>
    </row>
    <row r="259" spans="1:8">
      <c r="A259" s="46">
        <v>469</v>
      </c>
      <c r="B259" s="25" t="s">
        <v>674</v>
      </c>
      <c r="C259" s="25" t="s">
        <v>45</v>
      </c>
      <c r="D259" s="53">
        <v>2501.4</v>
      </c>
      <c r="E259" s="61">
        <v>14197666</v>
      </c>
      <c r="F259" s="61">
        <v>4605720</v>
      </c>
      <c r="G259" s="27">
        <f t="shared" si="8"/>
        <v>18803386</v>
      </c>
      <c r="H259" s="27">
        <f t="shared" si="9"/>
        <v>7517.1447989126091</v>
      </c>
    </row>
    <row r="260" spans="1:8">
      <c r="A260" s="46">
        <v>470</v>
      </c>
      <c r="B260" s="25" t="s">
        <v>675</v>
      </c>
      <c r="C260" s="25" t="s">
        <v>373</v>
      </c>
      <c r="D260" s="53">
        <v>2628.9</v>
      </c>
      <c r="E260" s="61">
        <v>17527419</v>
      </c>
      <c r="F260" s="61">
        <v>5358908</v>
      </c>
      <c r="G260" s="27">
        <f t="shared" si="8"/>
        <v>22886327</v>
      </c>
      <c r="H260" s="27">
        <f t="shared" si="9"/>
        <v>8705.6666286279433</v>
      </c>
    </row>
    <row r="261" spans="1:8">
      <c r="A261" s="46">
        <v>471</v>
      </c>
      <c r="B261" s="25" t="s">
        <v>676</v>
      </c>
      <c r="C261" s="25" t="s">
        <v>373</v>
      </c>
      <c r="D261" s="53">
        <v>151.19999999999999</v>
      </c>
      <c r="E261" s="61">
        <v>1552644</v>
      </c>
      <c r="F261" s="61">
        <v>205000</v>
      </c>
      <c r="G261" s="27">
        <f t="shared" si="8"/>
        <v>1757644</v>
      </c>
      <c r="H261" s="27">
        <f t="shared" si="9"/>
        <v>11624.629629629631</v>
      </c>
    </row>
    <row r="262" spans="1:8">
      <c r="A262" s="46">
        <v>473</v>
      </c>
      <c r="B262" s="25" t="s">
        <v>677</v>
      </c>
      <c r="C262" s="25" t="s">
        <v>290</v>
      </c>
      <c r="D262" s="53">
        <v>969.7</v>
      </c>
      <c r="E262" s="61">
        <v>7411368</v>
      </c>
      <c r="F262" s="61">
        <v>2428603</v>
      </c>
      <c r="G262" s="27">
        <f t="shared" si="8"/>
        <v>9839971</v>
      </c>
      <c r="H262" s="27">
        <f t="shared" si="9"/>
        <v>10147.438383005052</v>
      </c>
    </row>
    <row r="263" spans="1:8">
      <c r="A263" s="46">
        <v>474</v>
      </c>
      <c r="B263" s="25" t="s">
        <v>678</v>
      </c>
      <c r="C263" s="25" t="s">
        <v>328</v>
      </c>
      <c r="D263" s="53">
        <v>141.80000000000001</v>
      </c>
      <c r="E263" s="61">
        <v>1326768</v>
      </c>
      <c r="F263" s="61">
        <v>443439</v>
      </c>
      <c r="G263" s="27">
        <f t="shared" si="8"/>
        <v>1770207</v>
      </c>
      <c r="H263" s="27">
        <f t="shared" si="9"/>
        <v>12483.829337094498</v>
      </c>
    </row>
    <row r="264" spans="1:8">
      <c r="A264" s="46">
        <v>475</v>
      </c>
      <c r="B264" s="25" t="s">
        <v>679</v>
      </c>
      <c r="C264" s="25" t="s">
        <v>389</v>
      </c>
      <c r="D264" s="53">
        <v>7803.4</v>
      </c>
      <c r="E264" s="61">
        <v>46031281</v>
      </c>
      <c r="F264" s="61">
        <v>12000000</v>
      </c>
      <c r="G264" s="27">
        <f t="shared" si="8"/>
        <v>58031281</v>
      </c>
      <c r="H264" s="27">
        <f t="shared" si="9"/>
        <v>7436.6661967860164</v>
      </c>
    </row>
    <row r="265" spans="1:8">
      <c r="A265" s="46">
        <v>476</v>
      </c>
      <c r="B265" s="25" t="s">
        <v>680</v>
      </c>
      <c r="C265" s="25" t="s">
        <v>16</v>
      </c>
      <c r="D265" s="53">
        <v>120</v>
      </c>
      <c r="E265" s="61">
        <v>1317140</v>
      </c>
      <c r="F265" s="61">
        <v>431876</v>
      </c>
      <c r="G265" s="27">
        <f t="shared" si="8"/>
        <v>1749016</v>
      </c>
      <c r="H265" s="27">
        <f t="shared" si="9"/>
        <v>14575.133333333333</v>
      </c>
    </row>
    <row r="266" spans="1:8">
      <c r="A266" s="46">
        <v>477</v>
      </c>
      <c r="B266" s="25" t="s">
        <v>681</v>
      </c>
      <c r="C266" s="25" t="s">
        <v>16</v>
      </c>
      <c r="D266" s="53">
        <v>229</v>
      </c>
      <c r="E266" s="61">
        <v>2061767</v>
      </c>
      <c r="F266" s="61">
        <v>514048</v>
      </c>
      <c r="G266" s="27">
        <f t="shared" si="8"/>
        <v>2575815</v>
      </c>
      <c r="H266" s="27">
        <f t="shared" si="9"/>
        <v>11248.100436681223</v>
      </c>
    </row>
    <row r="267" spans="1:8">
      <c r="A267" s="46">
        <v>479</v>
      </c>
      <c r="B267" s="25" t="s">
        <v>682</v>
      </c>
      <c r="C267" s="25" t="s">
        <v>249</v>
      </c>
      <c r="D267" s="53">
        <v>224.5</v>
      </c>
      <c r="E267" s="61">
        <v>2147624</v>
      </c>
      <c r="F267" s="61">
        <v>288000</v>
      </c>
      <c r="G267" s="27">
        <f t="shared" si="8"/>
        <v>2435624</v>
      </c>
      <c r="H267" s="27">
        <f t="shared" si="9"/>
        <v>10849.104677060133</v>
      </c>
    </row>
    <row r="268" spans="1:8">
      <c r="A268" s="46">
        <v>480</v>
      </c>
      <c r="B268" s="25" t="s">
        <v>683</v>
      </c>
      <c r="C268" s="25" t="s">
        <v>394</v>
      </c>
      <c r="D268" s="53">
        <v>4363</v>
      </c>
      <c r="E268" s="61">
        <v>29182486</v>
      </c>
      <c r="F268" s="61">
        <v>4875000</v>
      </c>
      <c r="G268" s="27">
        <f t="shared" si="8"/>
        <v>34057486</v>
      </c>
      <c r="H268" s="27">
        <f t="shared" si="9"/>
        <v>7805.9789135915653</v>
      </c>
    </row>
    <row r="269" spans="1:8">
      <c r="A269" s="46">
        <v>481</v>
      </c>
      <c r="B269" s="25" t="s">
        <v>684</v>
      </c>
      <c r="C269" s="25" t="s">
        <v>290</v>
      </c>
      <c r="D269" s="53">
        <v>419.3</v>
      </c>
      <c r="E269" s="61">
        <v>3369679</v>
      </c>
      <c r="F269" s="61">
        <v>900000</v>
      </c>
      <c r="G269" s="27">
        <f t="shared" si="8"/>
        <v>4269679</v>
      </c>
      <c r="H269" s="27">
        <f t="shared" si="9"/>
        <v>10182.873837347961</v>
      </c>
    </row>
    <row r="270" spans="1:8">
      <c r="A270" s="46">
        <v>482</v>
      </c>
      <c r="B270" s="25" t="s">
        <v>685</v>
      </c>
      <c r="C270" s="25" t="s">
        <v>382</v>
      </c>
      <c r="D270" s="53">
        <v>243.5</v>
      </c>
      <c r="E270" s="61">
        <v>2041707</v>
      </c>
      <c r="F270" s="61">
        <v>683312</v>
      </c>
      <c r="G270" s="27">
        <f t="shared" si="8"/>
        <v>2725019</v>
      </c>
      <c r="H270" s="27">
        <f t="shared" si="9"/>
        <v>11191.043121149898</v>
      </c>
    </row>
    <row r="271" spans="1:8">
      <c r="A271" s="46">
        <v>483</v>
      </c>
      <c r="B271" s="25" t="s">
        <v>686</v>
      </c>
      <c r="C271" s="25" t="s">
        <v>394</v>
      </c>
      <c r="D271" s="53">
        <v>725</v>
      </c>
      <c r="E271" s="61">
        <v>6585698</v>
      </c>
      <c r="F271" s="61">
        <v>978000</v>
      </c>
      <c r="G271" s="27">
        <f t="shared" si="8"/>
        <v>7563698</v>
      </c>
      <c r="H271" s="27">
        <f t="shared" si="9"/>
        <v>10432.686896551724</v>
      </c>
    </row>
    <row r="272" spans="1:8">
      <c r="A272" s="46">
        <v>484</v>
      </c>
      <c r="B272" s="25" t="s">
        <v>687</v>
      </c>
      <c r="C272" s="25" t="s">
        <v>282</v>
      </c>
      <c r="D272" s="53">
        <v>730</v>
      </c>
      <c r="E272" s="61">
        <v>5456721</v>
      </c>
      <c r="F272" s="61">
        <v>1776344</v>
      </c>
      <c r="G272" s="27">
        <f t="shared" si="8"/>
        <v>7233065</v>
      </c>
      <c r="H272" s="27">
        <f t="shared" si="9"/>
        <v>9908.3082191780813</v>
      </c>
    </row>
    <row r="273" spans="1:8">
      <c r="A273" s="46">
        <v>486</v>
      </c>
      <c r="B273" s="25" t="s">
        <v>688</v>
      </c>
      <c r="C273" s="25" t="s">
        <v>34</v>
      </c>
      <c r="D273" s="53">
        <v>300.2</v>
      </c>
      <c r="E273" s="61">
        <v>2493458</v>
      </c>
      <c r="F273" s="61">
        <v>485000</v>
      </c>
      <c r="G273" s="27">
        <f t="shared" si="8"/>
        <v>2978458</v>
      </c>
      <c r="H273" s="27">
        <f t="shared" si="9"/>
        <v>9921.5789473684217</v>
      </c>
    </row>
    <row r="274" spans="1:8">
      <c r="A274" s="46">
        <v>487</v>
      </c>
      <c r="B274" s="25" t="s">
        <v>689</v>
      </c>
      <c r="C274" s="25" t="s">
        <v>290</v>
      </c>
      <c r="D274" s="53">
        <v>510.1</v>
      </c>
      <c r="E274" s="61">
        <v>3874388</v>
      </c>
      <c r="F274" s="61">
        <v>1165000</v>
      </c>
      <c r="G274" s="27">
        <f t="shared" si="8"/>
        <v>5039388</v>
      </c>
      <c r="H274" s="27">
        <f t="shared" si="9"/>
        <v>9879.2158400313656</v>
      </c>
    </row>
    <row r="275" spans="1:8">
      <c r="A275" s="46">
        <v>488</v>
      </c>
      <c r="B275" s="25" t="s">
        <v>690</v>
      </c>
      <c r="C275" s="25" t="s">
        <v>247</v>
      </c>
      <c r="D275" s="53">
        <v>294.60000000000002</v>
      </c>
      <c r="E275" s="61">
        <v>2323750</v>
      </c>
      <c r="F275" s="61">
        <v>747898</v>
      </c>
      <c r="G275" s="27">
        <f t="shared" si="8"/>
        <v>3071648</v>
      </c>
      <c r="H275" s="27">
        <f t="shared" si="9"/>
        <v>10426.503733876441</v>
      </c>
    </row>
    <row r="276" spans="1:8">
      <c r="A276" s="46">
        <v>489</v>
      </c>
      <c r="B276" s="25" t="s">
        <v>691</v>
      </c>
      <c r="C276" s="25" t="s">
        <v>284</v>
      </c>
      <c r="D276" s="53">
        <v>2839.3</v>
      </c>
      <c r="E276" s="61">
        <v>17396032</v>
      </c>
      <c r="F276" s="61">
        <v>5723578</v>
      </c>
      <c r="G276" s="27">
        <f t="shared" si="8"/>
        <v>23119610</v>
      </c>
      <c r="H276" s="27">
        <f t="shared" si="9"/>
        <v>8142.7147536364591</v>
      </c>
    </row>
    <row r="277" spans="1:8">
      <c r="A277" s="46">
        <v>490</v>
      </c>
      <c r="B277" s="25" t="s">
        <v>692</v>
      </c>
      <c r="C277" s="25" t="s">
        <v>42</v>
      </c>
      <c r="D277" s="53">
        <v>1993</v>
      </c>
      <c r="E277" s="61">
        <v>12458062</v>
      </c>
      <c r="F277" s="61">
        <v>4142053</v>
      </c>
      <c r="G277" s="27">
        <f t="shared" si="8"/>
        <v>16600115</v>
      </c>
      <c r="H277" s="27">
        <f t="shared" si="9"/>
        <v>8329.2097340692417</v>
      </c>
    </row>
    <row r="278" spans="1:8">
      <c r="A278" s="46">
        <v>491</v>
      </c>
      <c r="B278" s="25" t="s">
        <v>693</v>
      </c>
      <c r="C278" s="25" t="s">
        <v>224</v>
      </c>
      <c r="D278" s="53">
        <v>1454</v>
      </c>
      <c r="E278" s="61">
        <v>9082767</v>
      </c>
      <c r="F278" s="61">
        <v>2999432</v>
      </c>
      <c r="G278" s="27">
        <f t="shared" si="8"/>
        <v>12082199</v>
      </c>
      <c r="H278" s="27">
        <f t="shared" si="9"/>
        <v>8309.6279229711145</v>
      </c>
    </row>
    <row r="279" spans="1:8">
      <c r="A279" s="46">
        <v>492</v>
      </c>
      <c r="B279" s="25" t="s">
        <v>694</v>
      </c>
      <c r="C279" s="25" t="s">
        <v>42</v>
      </c>
      <c r="D279" s="53">
        <v>284.5</v>
      </c>
      <c r="E279" s="61">
        <v>2381523</v>
      </c>
      <c r="F279" s="61">
        <v>732273</v>
      </c>
      <c r="G279" s="27">
        <f t="shared" si="8"/>
        <v>3113796</v>
      </c>
      <c r="H279" s="27">
        <f t="shared" si="9"/>
        <v>10944.801405975395</v>
      </c>
    </row>
    <row r="280" spans="1:8">
      <c r="A280" s="46">
        <v>493</v>
      </c>
      <c r="B280" s="25" t="s">
        <v>695</v>
      </c>
      <c r="C280" s="25" t="s">
        <v>306</v>
      </c>
      <c r="D280" s="53">
        <v>1113</v>
      </c>
      <c r="E280" s="61">
        <v>8001132</v>
      </c>
      <c r="F280" s="61">
        <v>2659298</v>
      </c>
      <c r="G280" s="27">
        <f t="shared" si="8"/>
        <v>10660430</v>
      </c>
      <c r="H280" s="27">
        <f t="shared" si="9"/>
        <v>9578.1042228212045</v>
      </c>
    </row>
    <row r="281" spans="1:8">
      <c r="A281" s="46">
        <v>494</v>
      </c>
      <c r="B281" s="25" t="s">
        <v>696</v>
      </c>
      <c r="C281" s="25" t="s">
        <v>408</v>
      </c>
      <c r="D281" s="53">
        <v>489</v>
      </c>
      <c r="E281" s="61">
        <v>4007587</v>
      </c>
      <c r="F281" s="61">
        <v>999540</v>
      </c>
      <c r="G281" s="27">
        <f t="shared" si="8"/>
        <v>5007127</v>
      </c>
      <c r="H281" s="27">
        <f t="shared" si="9"/>
        <v>10239.523517382413</v>
      </c>
    </row>
    <row r="282" spans="1:8">
      <c r="A282" s="46">
        <v>495</v>
      </c>
      <c r="B282" s="25" t="s">
        <v>697</v>
      </c>
      <c r="C282" s="25" t="s">
        <v>410</v>
      </c>
      <c r="D282" s="53">
        <v>885</v>
      </c>
      <c r="E282" s="61">
        <v>6626219</v>
      </c>
      <c r="F282" s="61">
        <v>2104273</v>
      </c>
      <c r="G282" s="27">
        <f t="shared" si="8"/>
        <v>8730492</v>
      </c>
      <c r="H282" s="27">
        <f t="shared" si="9"/>
        <v>9864.9627118644075</v>
      </c>
    </row>
    <row r="283" spans="1:8">
      <c r="A283" s="46">
        <v>496</v>
      </c>
      <c r="B283" s="25" t="s">
        <v>698</v>
      </c>
      <c r="C283" s="25" t="s">
        <v>410</v>
      </c>
      <c r="D283" s="53">
        <v>146.1</v>
      </c>
      <c r="E283" s="61">
        <v>1409014</v>
      </c>
      <c r="F283" s="61">
        <v>469796</v>
      </c>
      <c r="G283" s="27">
        <f t="shared" si="8"/>
        <v>1878810</v>
      </c>
      <c r="H283" s="27">
        <f t="shared" si="9"/>
        <v>12859.753593429159</v>
      </c>
    </row>
    <row r="284" spans="1:8">
      <c r="A284" s="46">
        <v>497</v>
      </c>
      <c r="B284" s="25" t="s">
        <v>699</v>
      </c>
      <c r="C284" s="25" t="s">
        <v>224</v>
      </c>
      <c r="D284" s="53">
        <v>10604.9</v>
      </c>
      <c r="E284" s="61">
        <v>63417684</v>
      </c>
      <c r="F284" s="61">
        <v>21806556</v>
      </c>
      <c r="G284" s="27">
        <f t="shared" si="8"/>
        <v>85224240</v>
      </c>
      <c r="H284" s="27">
        <f t="shared" si="9"/>
        <v>8036.3077445331874</v>
      </c>
    </row>
    <row r="285" spans="1:8">
      <c r="A285" s="46">
        <v>498</v>
      </c>
      <c r="B285" s="25" t="s">
        <v>700</v>
      </c>
      <c r="C285" s="25" t="s">
        <v>247</v>
      </c>
      <c r="D285" s="53">
        <v>367</v>
      </c>
      <c r="E285" s="61">
        <v>3114114</v>
      </c>
      <c r="F285" s="61">
        <v>1046173</v>
      </c>
      <c r="G285" s="27">
        <f t="shared" si="8"/>
        <v>4160287</v>
      </c>
      <c r="H285" s="27">
        <f t="shared" si="9"/>
        <v>11335.931880108992</v>
      </c>
    </row>
    <row r="286" spans="1:8">
      <c r="A286" s="46">
        <v>499</v>
      </c>
      <c r="B286" s="25" t="s">
        <v>701</v>
      </c>
      <c r="C286" s="25" t="s">
        <v>306</v>
      </c>
      <c r="D286" s="53">
        <v>756.5</v>
      </c>
      <c r="E286" s="61">
        <v>5685004</v>
      </c>
      <c r="F286" s="61">
        <v>1599444</v>
      </c>
      <c r="G286" s="27">
        <f t="shared" si="8"/>
        <v>7284448</v>
      </c>
      <c r="H286" s="27">
        <f t="shared" si="9"/>
        <v>9629.1447455386642</v>
      </c>
    </row>
    <row r="287" spans="1:8">
      <c r="A287" s="46">
        <v>500</v>
      </c>
      <c r="B287" s="25" t="s">
        <v>702</v>
      </c>
      <c r="C287" s="25" t="s">
        <v>38</v>
      </c>
      <c r="D287" s="53">
        <v>18735.7</v>
      </c>
      <c r="E287" s="61">
        <v>135412623</v>
      </c>
      <c r="F287" s="61">
        <v>43177566</v>
      </c>
      <c r="G287" s="27">
        <f t="shared" si="8"/>
        <v>178590189</v>
      </c>
      <c r="H287" s="27">
        <f t="shared" si="9"/>
        <v>9532.0798795881656</v>
      </c>
    </row>
    <row r="288" spans="1:8">
      <c r="A288" s="46">
        <v>501</v>
      </c>
      <c r="B288" s="25" t="s">
        <v>703</v>
      </c>
      <c r="C288" s="25" t="s">
        <v>219</v>
      </c>
      <c r="D288" s="53">
        <v>13219.4</v>
      </c>
      <c r="E288" s="61">
        <v>89135808</v>
      </c>
      <c r="F288" s="61">
        <v>28871561</v>
      </c>
      <c r="G288" s="27">
        <f t="shared" si="8"/>
        <v>118007369</v>
      </c>
      <c r="H288" s="27">
        <f t="shared" si="9"/>
        <v>8926.8324583566573</v>
      </c>
    </row>
    <row r="289" spans="1:8">
      <c r="A289" s="46">
        <v>502</v>
      </c>
      <c r="B289" s="25" t="s">
        <v>704</v>
      </c>
      <c r="C289" s="25" t="s">
        <v>222</v>
      </c>
      <c r="D289" s="53">
        <v>109</v>
      </c>
      <c r="E289" s="61">
        <v>1125767</v>
      </c>
      <c r="F289" s="61">
        <v>355000</v>
      </c>
      <c r="G289" s="27">
        <f t="shared" si="8"/>
        <v>1480767</v>
      </c>
      <c r="H289" s="27">
        <f t="shared" si="9"/>
        <v>13585.018348623853</v>
      </c>
    </row>
    <row r="290" spans="1:8">
      <c r="A290" s="46">
        <v>503</v>
      </c>
      <c r="B290" s="25" t="s">
        <v>705</v>
      </c>
      <c r="C290" s="25" t="s">
        <v>419</v>
      </c>
      <c r="D290" s="53">
        <v>1235</v>
      </c>
      <c r="E290" s="61">
        <v>8894604</v>
      </c>
      <c r="F290" s="61">
        <v>2600000</v>
      </c>
      <c r="G290" s="27">
        <f t="shared" si="8"/>
        <v>11494604</v>
      </c>
      <c r="H290" s="27">
        <f t="shared" si="9"/>
        <v>9307.3716599190284</v>
      </c>
    </row>
    <row r="291" spans="1:8">
      <c r="A291" s="46">
        <v>504</v>
      </c>
      <c r="B291" s="25" t="s">
        <v>706</v>
      </c>
      <c r="C291" s="25" t="s">
        <v>419</v>
      </c>
      <c r="D291" s="53">
        <v>465</v>
      </c>
      <c r="E291" s="61">
        <v>3587932</v>
      </c>
      <c r="F291" s="61">
        <v>1165617</v>
      </c>
      <c r="G291" s="27">
        <f t="shared" si="8"/>
        <v>4753549</v>
      </c>
      <c r="H291" s="27">
        <f t="shared" si="9"/>
        <v>10222.686021505377</v>
      </c>
    </row>
    <row r="292" spans="1:8">
      <c r="A292" s="46">
        <v>505</v>
      </c>
      <c r="B292" s="25" t="s">
        <v>707</v>
      </c>
      <c r="C292" s="25" t="s">
        <v>419</v>
      </c>
      <c r="D292" s="53">
        <v>496.6</v>
      </c>
      <c r="E292" s="61">
        <v>4090234</v>
      </c>
      <c r="F292" s="61">
        <v>1374172</v>
      </c>
      <c r="G292" s="27">
        <f t="shared" si="8"/>
        <v>5464406</v>
      </c>
      <c r="H292" s="27">
        <f t="shared" si="9"/>
        <v>11003.636729762384</v>
      </c>
    </row>
    <row r="293" spans="1:8">
      <c r="A293" s="46">
        <v>506</v>
      </c>
      <c r="B293" s="25" t="s">
        <v>708</v>
      </c>
      <c r="C293" s="25" t="s">
        <v>419</v>
      </c>
      <c r="D293" s="53">
        <v>1604.4</v>
      </c>
      <c r="E293" s="61">
        <v>10093791</v>
      </c>
      <c r="F293" s="61">
        <v>3280241</v>
      </c>
      <c r="G293" s="27">
        <f t="shared" si="8"/>
        <v>13374032</v>
      </c>
      <c r="H293" s="27">
        <f t="shared" si="9"/>
        <v>8335.846422338569</v>
      </c>
    </row>
    <row r="294" spans="1:8">
      <c r="A294" s="46">
        <v>507</v>
      </c>
      <c r="B294" s="25" t="s">
        <v>709</v>
      </c>
      <c r="C294" s="25" t="s">
        <v>261</v>
      </c>
      <c r="D294" s="53">
        <v>338.5</v>
      </c>
      <c r="E294" s="61">
        <v>2911508</v>
      </c>
      <c r="F294" s="61">
        <v>970967</v>
      </c>
      <c r="G294" s="27">
        <f t="shared" si="8"/>
        <v>3882475</v>
      </c>
      <c r="H294" s="27">
        <f t="shared" si="9"/>
        <v>11469.645494830133</v>
      </c>
    </row>
    <row r="295" spans="1:8">
      <c r="A295" s="46">
        <v>508</v>
      </c>
      <c r="B295" s="25" t="s">
        <v>710</v>
      </c>
      <c r="C295" s="25" t="s">
        <v>306</v>
      </c>
      <c r="D295" s="53">
        <v>927</v>
      </c>
      <c r="E295" s="61">
        <v>6688004</v>
      </c>
      <c r="F295" s="61">
        <v>2085000</v>
      </c>
      <c r="G295" s="27">
        <f t="shared" si="8"/>
        <v>8773004</v>
      </c>
      <c r="H295" s="27">
        <f t="shared" si="9"/>
        <v>9463.8662351672065</v>
      </c>
    </row>
    <row r="296" spans="1:8">
      <c r="A296" s="46">
        <v>509</v>
      </c>
      <c r="B296" s="25" t="s">
        <v>711</v>
      </c>
      <c r="C296" s="25" t="s">
        <v>232</v>
      </c>
      <c r="D296" s="53">
        <v>222</v>
      </c>
      <c r="E296" s="61">
        <v>2027264</v>
      </c>
      <c r="F296" s="61">
        <v>600000</v>
      </c>
      <c r="G296" s="27">
        <f t="shared" si="8"/>
        <v>2627264</v>
      </c>
      <c r="H296" s="27">
        <f t="shared" si="9"/>
        <v>11834.522522522522</v>
      </c>
    </row>
    <row r="297" spans="1:8">
      <c r="A297" s="46">
        <v>511</v>
      </c>
      <c r="B297" s="25" t="s">
        <v>712</v>
      </c>
      <c r="C297" s="25" t="s">
        <v>242</v>
      </c>
      <c r="D297" s="53">
        <v>139</v>
      </c>
      <c r="E297" s="61">
        <v>1350439</v>
      </c>
      <c r="F297" s="61">
        <v>410000</v>
      </c>
      <c r="G297" s="27">
        <f t="shared" si="8"/>
        <v>1760439</v>
      </c>
      <c r="H297" s="27">
        <f t="shared" si="9"/>
        <v>12665.028776978417</v>
      </c>
    </row>
    <row r="298" spans="1:8" ht="12.75" thickBot="1">
      <c r="A298" s="46">
        <v>512</v>
      </c>
      <c r="B298" s="25" t="s">
        <v>713</v>
      </c>
      <c r="C298" s="25" t="s">
        <v>77</v>
      </c>
      <c r="D298" s="62">
        <v>26548</v>
      </c>
      <c r="E298" s="75">
        <v>157868990</v>
      </c>
      <c r="F298" s="75">
        <v>55321149</v>
      </c>
      <c r="G298" s="30">
        <f t="shared" si="8"/>
        <v>213190139</v>
      </c>
      <c r="H298" s="30">
        <f t="shared" si="9"/>
        <v>8030.3653382552357</v>
      </c>
    </row>
    <row r="299" spans="1:8" ht="12.75" thickTop="1">
      <c r="A299" s="46"/>
      <c r="B299" s="25"/>
      <c r="C299" s="25"/>
      <c r="D299" s="53"/>
      <c r="E299" s="25" t="s">
        <v>715</v>
      </c>
      <c r="F299" s="25" t="s">
        <v>715</v>
      </c>
    </row>
    <row r="300" spans="1:8">
      <c r="A300" s="46" t="s">
        <v>428</v>
      </c>
      <c r="B300" s="25"/>
      <c r="C300" s="25"/>
      <c r="D300" s="53">
        <v>453362.3</v>
      </c>
      <c r="E300" s="61">
        <v>2992939025</v>
      </c>
      <c r="F300" s="61">
        <v>929170184</v>
      </c>
      <c r="G300" s="27">
        <f>E300+F300</f>
        <v>3922109209</v>
      </c>
      <c r="H300" s="27">
        <f>G300/D300</f>
        <v>8651.1587068443932</v>
      </c>
    </row>
    <row r="301" spans="1:8">
      <c r="A301" s="46"/>
      <c r="B301" s="25"/>
      <c r="C301" s="25"/>
      <c r="D301" s="38"/>
      <c r="E301" s="25"/>
      <c r="F301" s="25"/>
    </row>
    <row r="302" spans="1:8">
      <c r="A302" s="46"/>
      <c r="B302" s="25"/>
      <c r="C302" s="25"/>
      <c r="D302" s="52"/>
      <c r="E302" s="61"/>
      <c r="F302" s="61"/>
    </row>
  </sheetData>
  <printOptions horizontalCentered="1" gridLines="1"/>
  <pageMargins left="0.45" right="0.45" top="0.5" bottom="0.5" header="0.3" footer="0.3"/>
  <pageSetup orientation="landscape" r:id="rId1"/>
  <headerFooter>
    <oddFooter>&amp;R&amp;10SF1002.xlsx (GF_LOB PP)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FTE</vt:lpstr>
      <vt:lpstr>ASSD VAL</vt:lpstr>
      <vt:lpstr>ASSD VAL SOURCE</vt:lpstr>
      <vt:lpstr>MOTOR VEHICLE_FY04</vt:lpstr>
      <vt:lpstr>MOTOR VEHICLE_FY09</vt:lpstr>
      <vt:lpstr>MOTOR VEH FY04 &amp; FY09</vt:lpstr>
      <vt:lpstr>VIRTUAL</vt:lpstr>
      <vt:lpstr>AT RISK</vt:lpstr>
      <vt:lpstr>GF_LOB PP</vt:lpstr>
      <vt:lpstr>'ASSD VAL'!Print_Titles</vt:lpstr>
      <vt:lpstr>'ASSD VAL SOURCE'!Print_Titles</vt:lpstr>
      <vt:lpstr>'AT RISK'!Print_Titles</vt:lpstr>
      <vt:lpstr>FTE!Print_Titles</vt:lpstr>
      <vt:lpstr>'GF_LOB PP'!Print_Titles</vt:lpstr>
      <vt:lpstr>'MOTOR VEH FY04 &amp; FY09'!Print_Titles</vt:lpstr>
      <vt:lpstr>VIRTUAL!Print_Titles</vt:lpstr>
    </vt:vector>
  </TitlesOfParts>
  <Company>Ks Dept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sbarnes</dc:creator>
  <cp:lastModifiedBy>sbarnes</cp:lastModifiedBy>
  <cp:lastPrinted>2010-08-02T19:53:41Z</cp:lastPrinted>
  <dcterms:created xsi:type="dcterms:W3CDTF">2010-07-28T17:01:53Z</dcterms:created>
  <dcterms:modified xsi:type="dcterms:W3CDTF">2010-08-02T19:58:01Z</dcterms:modified>
</cp:coreProperties>
</file>