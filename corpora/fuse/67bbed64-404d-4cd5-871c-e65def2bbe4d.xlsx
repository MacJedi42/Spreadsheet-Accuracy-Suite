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11475" windowHeight="5415" firstSheet="2" activeTab="4"/>
  </bookViews>
  <sheets>
    <sheet name="Metadata" sheetId="1" r:id="rId1"/>
    <sheet name="Example 4.1" sheetId="3" r:id="rId2"/>
    <sheet name="Example 4.2" sheetId="4" r:id="rId3"/>
    <sheet name="Example 4.3" sheetId="6" r:id="rId4"/>
    <sheet name="Example 4.3-b" sheetId="7" r:id="rId5"/>
  </sheets>
  <calcPr calcId="125725"/>
  <fileRecoveryPr repairLoad="1"/>
</workbook>
</file>

<file path=xl/calcChain.xml><?xml version="1.0" encoding="utf-8"?>
<calcChain xmlns="http://schemas.openxmlformats.org/spreadsheetml/2006/main">
  <c r="B47" i="7"/>
  <c r="B46"/>
  <c r="B44"/>
  <c r="B42"/>
  <c r="B38"/>
  <c r="E34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9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9"/>
  <c r="C18" i="6"/>
  <c r="C17"/>
  <c r="B5" i="4"/>
  <c r="D10"/>
  <c r="D11"/>
  <c r="D12"/>
  <c r="C12" i="3"/>
  <c r="C19" i="6" l="1"/>
</calcChain>
</file>

<file path=xl/sharedStrings.xml><?xml version="1.0" encoding="utf-8"?>
<sst xmlns="http://schemas.openxmlformats.org/spreadsheetml/2006/main" count="83" uniqueCount="67">
  <si>
    <t>Created by:</t>
  </si>
  <si>
    <t>Jason Tinant</t>
  </si>
  <si>
    <t>Date:</t>
  </si>
  <si>
    <t>April Fools 2010</t>
  </si>
  <si>
    <t>Purpose:</t>
  </si>
  <si>
    <t>Hydrology class (Nsci 253) evaporation assignment.</t>
  </si>
  <si>
    <t>Find the reference crop equivilant for measured pan evaportation of 4.7 inches in June.</t>
  </si>
  <si>
    <t>Given:</t>
  </si>
  <si>
    <t>inch</t>
  </si>
  <si>
    <t>Solution:</t>
  </si>
  <si>
    <t>Use table 4.2.  Choose the method (Epan) for June and select the Etr/Epan coefficent.</t>
  </si>
  <si>
    <r>
      <t>E</t>
    </r>
    <r>
      <rPr>
        <vertAlign val="subscript"/>
        <sz val="11"/>
        <color theme="1"/>
        <rFont val="Calibri"/>
        <family val="2"/>
        <scheme val="minor"/>
      </rPr>
      <t>pan</t>
    </r>
    <r>
      <rPr>
        <sz val="11"/>
        <color theme="1"/>
        <rFont val="Calibri"/>
        <family val="2"/>
        <scheme val="minor"/>
      </rPr>
      <t xml:space="preserve"> =</t>
    </r>
  </si>
  <si>
    <r>
      <t>K</t>
    </r>
    <r>
      <rPr>
        <vertAlign val="subscript"/>
        <sz val="11"/>
        <color theme="1"/>
        <rFont val="Calibri"/>
        <family val="2"/>
        <scheme val="minor"/>
      </rPr>
      <t>pan</t>
    </r>
    <r>
      <rPr>
        <sz val="11"/>
        <color theme="1"/>
        <rFont val="Calibri"/>
        <family val="2"/>
        <scheme val="minor"/>
      </rPr>
      <t xml:space="preserve"> =</t>
    </r>
  </si>
  <si>
    <r>
      <t>E</t>
    </r>
    <r>
      <rPr>
        <vertAlign val="subscript"/>
        <sz val="11"/>
        <color theme="1"/>
        <rFont val="Calibri"/>
        <family val="2"/>
        <scheme val="minor"/>
      </rPr>
      <t>true</t>
    </r>
    <r>
      <rPr>
        <sz val="11"/>
        <color theme="1"/>
        <rFont val="Calibri"/>
        <family val="2"/>
        <scheme val="minor"/>
      </rPr>
      <t xml:space="preserve"> = Kpan * Epan</t>
    </r>
  </si>
  <si>
    <t>Etrue =</t>
  </si>
  <si>
    <t>inches</t>
  </si>
  <si>
    <t>The equivalent alfalfa reference crop ET is 4.3 inches of water in June.</t>
  </si>
  <si>
    <r>
      <t>Find saturation vapor pressure (e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) in kilopascals</t>
    </r>
  </si>
  <si>
    <t>Given</t>
  </si>
  <si>
    <t>Given Temperature</t>
  </si>
  <si>
    <t>F</t>
  </si>
  <si>
    <t>C</t>
  </si>
  <si>
    <t>C = (F-32) * 5/9</t>
  </si>
  <si>
    <t>Use the equation for saturation vapor pressure.  This equation is valid for 0 to 50 C.</t>
  </si>
  <si>
    <t>es = exp [(16.78T-116.9)/(T+237.3)]</t>
  </si>
  <si>
    <t>numerator</t>
  </si>
  <si>
    <t>denomonator</t>
  </si>
  <si>
    <r>
      <t>e</t>
    </r>
    <r>
      <rPr>
        <vertAlign val="subscript"/>
        <sz val="11"/>
        <color theme="1"/>
        <rFont val="Calibri"/>
        <family val="2"/>
        <scheme val="minor"/>
      </rPr>
      <t>s</t>
    </r>
  </si>
  <si>
    <t>kPa</t>
  </si>
  <si>
    <t>Calcuate the vapor pressure deficit using mean temperature minus saturation vaper pressure at dewpoint.</t>
  </si>
  <si>
    <t>(es - ed) = es_Tavg - es_Td</t>
  </si>
  <si>
    <t>(es - ed) =</t>
  </si>
  <si>
    <t>saturation vapor pressure minus the actual vapor pressure</t>
  </si>
  <si>
    <t>es_Tavg =</t>
  </si>
  <si>
    <t>saturation vapor pressure at mean temperature</t>
  </si>
  <si>
    <t>es_Td =</t>
  </si>
  <si>
    <t>saturation vapor pressure at dewpoint.</t>
  </si>
  <si>
    <t>Problem:</t>
  </si>
  <si>
    <t>Find the vapor pressure deficit for Jane 17, 1993 at Piketon, OH.</t>
  </si>
  <si>
    <t>Tave =</t>
  </si>
  <si>
    <t>Part 1) Use the equation from Example 4.2 to find the saturation vapor pressure at the mean temperature.  Part 2) Find the average actual vapor pressure.</t>
  </si>
  <si>
    <t>Time</t>
  </si>
  <si>
    <t>ed</t>
  </si>
  <si>
    <t>Average =</t>
  </si>
  <si>
    <t xml:space="preserve">Examples 4.1, 4.2 </t>
  </si>
  <si>
    <t xml:space="preserve">Examples 4.3, 4.4, 4.5 </t>
  </si>
  <si>
    <t>Example 4.3 - Compute vapr pressure deficit for the table on page 97</t>
  </si>
  <si>
    <t>Hour</t>
  </si>
  <si>
    <t>T deg C</t>
  </si>
  <si>
    <t>We know the time, Rs, T.  We truncated the temperature</t>
  </si>
  <si>
    <r>
      <t>Sat VP (e</t>
    </r>
    <r>
      <rPr>
        <sz val="8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)</t>
    </r>
  </si>
  <si>
    <r>
      <t>e</t>
    </r>
    <r>
      <rPr>
        <sz val="8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= exp ( 16.78 T - 116.9 / T + 237.3 )</t>
    </r>
  </si>
  <si>
    <t>RH</t>
  </si>
  <si>
    <r>
      <t>Actual VP (e</t>
    </r>
    <r>
      <rPr>
        <sz val="8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</t>
    </r>
  </si>
  <si>
    <r>
      <t>e</t>
    </r>
    <r>
      <rPr>
        <sz val="8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= e</t>
    </r>
    <r>
      <rPr>
        <sz val="8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x (RH/100)</t>
    </r>
  </si>
  <si>
    <t>VP Deficit</t>
  </si>
  <si>
    <r>
      <t>VP</t>
    </r>
    <r>
      <rPr>
        <sz val="8"/>
        <color theme="1"/>
        <rFont val="Calibri"/>
        <family val="2"/>
        <scheme val="minor"/>
      </rPr>
      <t>deficit</t>
    </r>
    <r>
      <rPr>
        <sz val="11"/>
        <color theme="1"/>
        <rFont val="Calibri"/>
        <family val="2"/>
        <scheme val="minor"/>
      </rPr>
      <t xml:space="preserve"> = e</t>
    </r>
    <r>
      <rPr>
        <sz val="8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- e</t>
    </r>
    <r>
      <rPr>
        <sz val="8"/>
        <color theme="1"/>
        <rFont val="Calibri"/>
        <family val="2"/>
        <scheme val="minor"/>
      </rPr>
      <t>d</t>
    </r>
  </si>
  <si>
    <t xml:space="preserve">The average hourly vapor pressure deficit is </t>
  </si>
  <si>
    <t>Method 1: Use the average daily temperature and the average dew point temperature.</t>
  </si>
  <si>
    <r>
      <t>(es - ed) = (e</t>
    </r>
    <r>
      <rPr>
        <sz val="8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_</t>
    </r>
    <r>
      <rPr>
        <sz val="8"/>
        <color theme="1"/>
        <rFont val="Calibri"/>
        <family val="2"/>
        <scheme val="minor"/>
      </rPr>
      <t>tave</t>
    </r>
    <r>
      <rPr>
        <sz val="11"/>
        <color theme="1"/>
        <rFont val="Calibri"/>
        <family val="2"/>
        <scheme val="minor"/>
      </rPr>
      <t xml:space="preserve"> - e</t>
    </r>
    <r>
      <rPr>
        <sz val="8"/>
        <color theme="1"/>
        <rFont val="Calibri"/>
        <family val="2"/>
        <scheme val="minor"/>
      </rPr>
      <t>s_Td</t>
    </r>
    <r>
      <rPr>
        <sz val="11"/>
        <color theme="1"/>
        <rFont val="Calibri"/>
        <family val="2"/>
        <scheme val="minor"/>
      </rPr>
      <t>)</t>
    </r>
  </si>
  <si>
    <r>
      <t>We know that the dewpoint is between 13 and 14 degrees.  Therefore e</t>
    </r>
    <r>
      <rPr>
        <sz val="8"/>
        <color theme="1"/>
        <rFont val="Calibri"/>
        <family val="2"/>
        <scheme val="minor"/>
      </rPr>
      <t>s_Td</t>
    </r>
    <r>
      <rPr>
        <sz val="11"/>
        <color theme="1"/>
        <rFont val="Calibri"/>
        <family val="2"/>
        <scheme val="minor"/>
      </rPr>
      <t xml:space="preserve"> is given below</t>
    </r>
  </si>
  <si>
    <r>
      <t>e</t>
    </r>
    <r>
      <rPr>
        <sz val="8"/>
        <color theme="1"/>
        <rFont val="Calibri"/>
        <family val="2"/>
        <scheme val="minor"/>
      </rPr>
      <t>s_Td</t>
    </r>
    <r>
      <rPr>
        <sz val="11"/>
        <color theme="1"/>
        <rFont val="Calibri"/>
        <family val="2"/>
        <scheme val="minor"/>
      </rPr>
      <t xml:space="preserve"> =</t>
    </r>
  </si>
  <si>
    <t>Kpa</t>
  </si>
  <si>
    <r>
      <t>e</t>
    </r>
    <r>
      <rPr>
        <sz val="8"/>
        <color theme="1"/>
        <rFont val="Calibri"/>
        <family val="2"/>
        <scheme val="minor"/>
      </rPr>
      <t>s_tave</t>
    </r>
    <r>
      <rPr>
        <sz val="11"/>
        <color theme="1"/>
        <rFont val="Calibri"/>
        <family val="2"/>
        <scheme val="minor"/>
      </rPr>
      <t xml:space="preserve"> =</t>
    </r>
  </si>
  <si>
    <r>
      <t>(e</t>
    </r>
    <r>
      <rPr>
        <sz val="8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- e</t>
    </r>
    <r>
      <rPr>
        <sz val="8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 =</t>
    </r>
  </si>
  <si>
    <t>Error =</t>
  </si>
  <si>
    <t>Therefore, the average temperature and dewpoint method overpredicts by 23%</t>
  </si>
</sst>
</file>

<file path=xl/styles.xml><?xml version="1.0" encoding="utf-8"?>
<styleSheet xmlns="http://schemas.openxmlformats.org/spreadsheetml/2006/main">
  <numFmts count="1">
    <numFmt numFmtId="164" formatCode="0.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1" fontId="0" fillId="0" borderId="0" xfId="0" applyNumberFormat="1"/>
    <xf numFmtId="18" fontId="0" fillId="0" borderId="0" xfId="0" applyNumberFormat="1"/>
    <xf numFmtId="15" fontId="0" fillId="0" borderId="0" xfId="0" applyNumberFormat="1"/>
    <xf numFmtId="2" fontId="0" fillId="0" borderId="0" xfId="0" applyNumberFormat="1" applyAlignment="1">
      <alignment horizontal="center" vertical="center"/>
    </xf>
    <xf numFmtId="18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9" fontId="0" fillId="0" borderId="0" xfId="1" applyFont="1"/>
    <xf numFmtId="0" fontId="0" fillId="0" borderId="0" xfId="0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opLeftCell="A2" zoomScale="140" zoomScaleNormal="140" workbookViewId="0">
      <selection activeCell="A10" sqref="A10"/>
    </sheetView>
  </sheetViews>
  <sheetFormatPr defaultRowHeight="15"/>
  <cols>
    <col min="1" max="1" width="11.140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B4" t="s">
        <v>44</v>
      </c>
    </row>
    <row r="6" spans="1:2">
      <c r="A6" t="s">
        <v>2</v>
      </c>
      <c r="B6" s="7">
        <v>40276</v>
      </c>
    </row>
    <row r="7" spans="1:2">
      <c r="A7" t="s">
        <v>4</v>
      </c>
      <c r="B7" t="s">
        <v>5</v>
      </c>
    </row>
    <row r="8" spans="1:2">
      <c r="B8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topLeftCell="A6" zoomScale="130" zoomScaleNormal="130" workbookViewId="0">
      <selection activeCell="G12" sqref="G12"/>
    </sheetView>
  </sheetViews>
  <sheetFormatPr defaultRowHeight="15"/>
  <sheetData>
    <row r="1" spans="1:8">
      <c r="A1" t="s">
        <v>6</v>
      </c>
    </row>
    <row r="3" spans="1:8" ht="18">
      <c r="A3" t="s">
        <v>7</v>
      </c>
      <c r="B3" t="s">
        <v>11</v>
      </c>
      <c r="C3">
        <v>4.7</v>
      </c>
      <c r="D3" t="s">
        <v>8</v>
      </c>
    </row>
    <row r="6" spans="1:8" ht="26.25" customHeight="1">
      <c r="A6" t="s">
        <v>9</v>
      </c>
      <c r="B6" s="1" t="s">
        <v>10</v>
      </c>
      <c r="C6" s="1"/>
      <c r="D6" s="1"/>
      <c r="E6" s="1"/>
      <c r="F6" s="1"/>
      <c r="G6" s="1"/>
      <c r="H6" s="1"/>
    </row>
    <row r="8" spans="1:8" ht="18">
      <c r="B8" t="s">
        <v>12</v>
      </c>
      <c r="C8">
        <v>0.92</v>
      </c>
    </row>
    <row r="10" spans="1:8" ht="18">
      <c r="B10" t="s">
        <v>13</v>
      </c>
    </row>
    <row r="12" spans="1:8">
      <c r="B12" t="s">
        <v>14</v>
      </c>
      <c r="C12" s="3">
        <f>C8*C3</f>
        <v>4.3240000000000007</v>
      </c>
      <c r="D12" t="s">
        <v>15</v>
      </c>
    </row>
    <row r="14" spans="1:8">
      <c r="A14" t="s">
        <v>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topLeftCell="A4" zoomScale="120" zoomScaleNormal="120" workbookViewId="0">
      <selection activeCell="D14" sqref="D14"/>
    </sheetView>
  </sheetViews>
  <sheetFormatPr defaultRowHeight="15"/>
  <cols>
    <col min="3" max="3" width="12.5703125" customWidth="1"/>
    <col min="4" max="4" width="14.28515625" bestFit="1" customWidth="1"/>
  </cols>
  <sheetData>
    <row r="1" spans="1:8" ht="18">
      <c r="A1" t="s">
        <v>17</v>
      </c>
    </row>
    <row r="3" spans="1:8">
      <c r="A3" t="s">
        <v>19</v>
      </c>
    </row>
    <row r="4" spans="1:8">
      <c r="B4">
        <v>70</v>
      </c>
      <c r="C4" t="s">
        <v>20</v>
      </c>
      <c r="D4" t="s">
        <v>22</v>
      </c>
    </row>
    <row r="5" spans="1:8">
      <c r="B5" s="5">
        <f>(B4-32)*(5/9)</f>
        <v>21.111111111111111</v>
      </c>
      <c r="C5" t="s">
        <v>21</v>
      </c>
    </row>
    <row r="7" spans="1:8" ht="27.75" customHeight="1">
      <c r="A7" t="s">
        <v>9</v>
      </c>
      <c r="B7" s="13" t="s">
        <v>23</v>
      </c>
      <c r="C7" s="13"/>
      <c r="D7" s="13"/>
      <c r="E7" s="13"/>
      <c r="F7" s="13"/>
      <c r="G7" s="13"/>
      <c r="H7" s="13"/>
    </row>
    <row r="8" spans="1:8" ht="18">
      <c r="C8" t="s">
        <v>24</v>
      </c>
      <c r="E8" s="4"/>
    </row>
    <row r="10" spans="1:8">
      <c r="C10" t="s">
        <v>25</v>
      </c>
      <c r="D10" s="3">
        <f>(16.78*B5)-116.9</f>
        <v>237.34444444444446</v>
      </c>
    </row>
    <row r="11" spans="1:8">
      <c r="C11" t="s">
        <v>26</v>
      </c>
      <c r="D11" s="3">
        <f>B5+237.3</f>
        <v>258.4111111111111</v>
      </c>
    </row>
    <row r="12" spans="1:8" ht="18">
      <c r="C12" t="s">
        <v>27</v>
      </c>
      <c r="D12" s="3">
        <f>EXP(D10/D11)</f>
        <v>2.5054695390635944</v>
      </c>
      <c r="E12" t="s">
        <v>28</v>
      </c>
    </row>
  </sheetData>
  <mergeCells count="1">
    <mergeCell ref="B7:H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6"/>
  <sheetViews>
    <sheetView zoomScale="130" zoomScaleNormal="130" workbookViewId="0">
      <selection activeCell="C46" sqref="C46"/>
    </sheetView>
  </sheetViews>
  <sheetFormatPr defaultRowHeight="15"/>
  <cols>
    <col min="1" max="1" width="10.28515625" customWidth="1"/>
    <col min="2" max="2" width="12.85546875" customWidth="1"/>
  </cols>
  <sheetData>
    <row r="1" spans="1:7">
      <c r="A1" t="s">
        <v>29</v>
      </c>
    </row>
    <row r="3" spans="1:7">
      <c r="B3" t="s">
        <v>30</v>
      </c>
    </row>
    <row r="5" spans="1:7">
      <c r="B5" t="s">
        <v>31</v>
      </c>
      <c r="C5" t="s">
        <v>32</v>
      </c>
    </row>
    <row r="6" spans="1:7">
      <c r="B6" t="s">
        <v>33</v>
      </c>
      <c r="C6" t="s">
        <v>34</v>
      </c>
    </row>
    <row r="7" spans="1:7">
      <c r="B7" t="s">
        <v>35</v>
      </c>
      <c r="C7" t="s">
        <v>36</v>
      </c>
    </row>
    <row r="9" spans="1:7">
      <c r="A9" t="s">
        <v>37</v>
      </c>
      <c r="B9" t="s">
        <v>38</v>
      </c>
    </row>
    <row r="11" spans="1:7" ht="48.75" customHeight="1">
      <c r="A11" t="s">
        <v>9</v>
      </c>
      <c r="B11" s="13" t="s">
        <v>40</v>
      </c>
      <c r="C11" s="13"/>
      <c r="D11" s="13"/>
      <c r="E11" s="13"/>
      <c r="F11" s="13"/>
      <c r="G11" s="13"/>
    </row>
    <row r="13" spans="1:7">
      <c r="B13" t="s">
        <v>39</v>
      </c>
      <c r="C13">
        <v>22.05</v>
      </c>
      <c r="D13" t="s">
        <v>21</v>
      </c>
    </row>
    <row r="15" spans="1:7" ht="18">
      <c r="B15" t="s">
        <v>24</v>
      </c>
      <c r="D15" s="4"/>
    </row>
    <row r="17" spans="2:4">
      <c r="B17" t="s">
        <v>25</v>
      </c>
      <c r="C17" s="3">
        <f>(16.78*C13)-116.9</f>
        <v>253.09900000000002</v>
      </c>
    </row>
    <row r="18" spans="2:4">
      <c r="B18" t="s">
        <v>26</v>
      </c>
      <c r="C18" s="3">
        <f>C13+237.3</f>
        <v>259.35000000000002</v>
      </c>
    </row>
    <row r="19" spans="2:4" ht="18">
      <c r="B19" t="s">
        <v>27</v>
      </c>
      <c r="C19" s="3">
        <f>EXP(C17/C18)</f>
        <v>2.653547531540648</v>
      </c>
      <c r="D19" t="s">
        <v>28</v>
      </c>
    </row>
    <row r="20" spans="2:4">
      <c r="C20" s="3"/>
    </row>
    <row r="21" spans="2:4">
      <c r="B21" t="s">
        <v>41</v>
      </c>
      <c r="C21" t="s">
        <v>42</v>
      </c>
    </row>
    <row r="22" spans="2:4">
      <c r="B22" s="6">
        <v>4.1666666666666664E-2</v>
      </c>
      <c r="C22">
        <v>1.7649999999999999</v>
      </c>
    </row>
    <row r="23" spans="2:4">
      <c r="B23" s="6">
        <v>8.3333333333333329E-2</v>
      </c>
      <c r="C23">
        <v>1.708</v>
      </c>
    </row>
    <row r="24" spans="2:4">
      <c r="B24" s="6">
        <v>0.125</v>
      </c>
      <c r="C24">
        <v>1.6519999999999999</v>
      </c>
    </row>
    <row r="25" spans="2:4">
      <c r="B25" s="6">
        <v>0.16666666666666699</v>
      </c>
      <c r="C25">
        <v>1.613</v>
      </c>
    </row>
    <row r="26" spans="2:4">
      <c r="B26" s="6">
        <v>0.20833333333333401</v>
      </c>
      <c r="C26">
        <v>1.593</v>
      </c>
    </row>
    <row r="27" spans="2:4">
      <c r="B27" s="6">
        <v>0.25</v>
      </c>
      <c r="C27">
        <v>1.51</v>
      </c>
    </row>
    <row r="28" spans="2:4">
      <c r="B28" s="6">
        <v>0.29166666666666702</v>
      </c>
      <c r="C28">
        <v>1.5129999999999999</v>
      </c>
    </row>
    <row r="29" spans="2:4">
      <c r="B29" s="6">
        <v>0.33333333333333398</v>
      </c>
      <c r="C29">
        <v>1.6379999999999999</v>
      </c>
    </row>
    <row r="30" spans="2:4">
      <c r="B30" s="6">
        <v>0.375</v>
      </c>
      <c r="C30">
        <v>1.81</v>
      </c>
    </row>
    <row r="31" spans="2:4">
      <c r="B31" s="6">
        <v>0.41666666666666702</v>
      </c>
      <c r="C31">
        <v>1.988</v>
      </c>
    </row>
    <row r="32" spans="2:4">
      <c r="B32" s="6">
        <v>0.45833333333333398</v>
      </c>
      <c r="C32">
        <v>2.0990000000000002</v>
      </c>
    </row>
    <row r="33" spans="2:3">
      <c r="B33" s="6">
        <v>0.5</v>
      </c>
      <c r="C33">
        <v>2.1989999999999998</v>
      </c>
    </row>
    <row r="34" spans="2:3">
      <c r="B34" s="6">
        <v>0.54166666666666696</v>
      </c>
      <c r="C34">
        <v>1.925</v>
      </c>
    </row>
    <row r="35" spans="2:3">
      <c r="B35" s="6">
        <v>0.58333333333333404</v>
      </c>
      <c r="C35">
        <v>1.996</v>
      </c>
    </row>
    <row r="36" spans="2:3">
      <c r="B36" s="6">
        <v>0.625</v>
      </c>
      <c r="C36">
        <v>1.9950000000000001</v>
      </c>
    </row>
    <row r="37" spans="2:3">
      <c r="B37" s="6">
        <v>0.66666666666666696</v>
      </c>
      <c r="C37">
        <v>2.0259999999999998</v>
      </c>
    </row>
    <row r="38" spans="2:3">
      <c r="B38" s="6">
        <v>0.70833333333333404</v>
      </c>
      <c r="C38">
        <v>2.1030000000000002</v>
      </c>
    </row>
    <row r="39" spans="2:3">
      <c r="B39" s="6">
        <v>0.75</v>
      </c>
      <c r="C39">
        <v>2.1389999999999998</v>
      </c>
    </row>
    <row r="40" spans="2:3">
      <c r="B40" s="6">
        <v>0.79166666666666696</v>
      </c>
      <c r="C40">
        <v>2.1930000000000001</v>
      </c>
    </row>
    <row r="41" spans="2:3">
      <c r="B41" s="6">
        <v>0.83333333333333404</v>
      </c>
      <c r="C41">
        <v>2.4239999999999999</v>
      </c>
    </row>
    <row r="42" spans="2:3">
      <c r="B42" s="6">
        <v>0.875</v>
      </c>
      <c r="C42">
        <v>2.496</v>
      </c>
    </row>
    <row r="43" spans="2:3">
      <c r="B43" s="6">
        <v>0.91666666666666696</v>
      </c>
      <c r="C43">
        <v>2.42</v>
      </c>
    </row>
    <row r="44" spans="2:3">
      <c r="B44" s="6">
        <v>0.95833333333333404</v>
      </c>
      <c r="C44">
        <v>2.327</v>
      </c>
    </row>
    <row r="45" spans="2:3">
      <c r="B45" s="6">
        <v>1</v>
      </c>
      <c r="C45">
        <v>2.2919999999999998</v>
      </c>
    </row>
    <row r="46" spans="2:3">
      <c r="B46" t="s">
        <v>43</v>
      </c>
    </row>
  </sheetData>
  <mergeCells count="1">
    <mergeCell ref="B11:G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tabSelected="1" topLeftCell="A42" zoomScale="150" zoomScaleNormal="150" workbookViewId="0">
      <selection activeCell="E45" sqref="E45"/>
    </sheetView>
  </sheetViews>
  <sheetFormatPr defaultRowHeight="15"/>
  <cols>
    <col min="3" max="3" width="10.42578125" customWidth="1"/>
    <col min="5" max="5" width="13.42578125" bestFit="1" customWidth="1"/>
  </cols>
  <sheetData>
    <row r="1" spans="1:6">
      <c r="A1" t="s">
        <v>46</v>
      </c>
    </row>
    <row r="3" spans="1:6">
      <c r="A3" t="s">
        <v>18</v>
      </c>
      <c r="B3" t="s">
        <v>49</v>
      </c>
    </row>
    <row r="4" spans="1:6">
      <c r="B4" t="s">
        <v>51</v>
      </c>
    </row>
    <row r="5" spans="1:6">
      <c r="B5" t="s">
        <v>54</v>
      </c>
    </row>
    <row r="6" spans="1:6">
      <c r="B6" t="s">
        <v>56</v>
      </c>
    </row>
    <row r="8" spans="1:6">
      <c r="A8" t="s">
        <v>47</v>
      </c>
      <c r="B8" t="s">
        <v>48</v>
      </c>
      <c r="C8" t="s">
        <v>50</v>
      </c>
      <c r="D8" t="s">
        <v>52</v>
      </c>
      <c r="E8" t="s">
        <v>53</v>
      </c>
      <c r="F8" t="s">
        <v>55</v>
      </c>
    </row>
    <row r="9" spans="1:6">
      <c r="A9" s="6">
        <v>4.1666666666666664E-2</v>
      </c>
      <c r="B9">
        <v>16</v>
      </c>
      <c r="C9" s="2">
        <f>EXP((16.78*B9-116.9)/(B9+237.3))</f>
        <v>1.8192436628409498</v>
      </c>
      <c r="D9">
        <v>96.6</v>
      </c>
      <c r="E9" s="2">
        <f>C9*(D9/100)</f>
        <v>1.7573893783043575</v>
      </c>
      <c r="F9" s="2">
        <f>C9-E9</f>
        <v>6.1854284536592363E-2</v>
      </c>
    </row>
    <row r="10" spans="1:6">
      <c r="A10" s="6">
        <v>8.3333333333333329E-2</v>
      </c>
      <c r="B10">
        <v>15</v>
      </c>
      <c r="C10" s="2">
        <f t="shared" ref="C10:C32" si="0">EXP((16.78*B10-116.9)/(B10+237.3))</f>
        <v>1.7062271396379793</v>
      </c>
      <c r="D10">
        <v>98.4</v>
      </c>
      <c r="E10" s="2">
        <f t="shared" ref="E10:E32" si="1">C10*(D10/100)</f>
        <v>1.6789275054037718</v>
      </c>
      <c r="F10" s="2">
        <f t="shared" ref="F10:F32" si="2">C10-E10</f>
        <v>2.7299634234207559E-2</v>
      </c>
    </row>
    <row r="11" spans="1:6">
      <c r="A11" s="6">
        <v>0.125</v>
      </c>
      <c r="B11">
        <v>14</v>
      </c>
      <c r="C11" s="2">
        <f t="shared" si="0"/>
        <v>1.5994149130233961</v>
      </c>
      <c r="D11">
        <v>99</v>
      </c>
      <c r="E11" s="2">
        <f t="shared" si="1"/>
        <v>1.5834207638931621</v>
      </c>
      <c r="F11" s="2">
        <f t="shared" si="2"/>
        <v>1.5994149130234003E-2</v>
      </c>
    </row>
    <row r="12" spans="1:6">
      <c r="A12" s="6">
        <v>0.16666666666666699</v>
      </c>
      <c r="B12">
        <v>14</v>
      </c>
      <c r="C12" s="2">
        <f t="shared" si="0"/>
        <v>1.5994149130233961</v>
      </c>
      <c r="D12">
        <v>99.3</v>
      </c>
      <c r="E12" s="2">
        <f t="shared" si="1"/>
        <v>1.5882190086322323</v>
      </c>
      <c r="F12" s="2">
        <f t="shared" si="2"/>
        <v>1.1195904391163802E-2</v>
      </c>
    </row>
    <row r="13" spans="1:6">
      <c r="A13" s="6">
        <v>0.20833333333333401</v>
      </c>
      <c r="B13">
        <v>14</v>
      </c>
      <c r="C13" s="2">
        <f t="shared" si="0"/>
        <v>1.5994149130233961</v>
      </c>
      <c r="D13">
        <v>99.7</v>
      </c>
      <c r="E13" s="2">
        <f t="shared" si="1"/>
        <v>1.5946166682843259</v>
      </c>
      <c r="F13" s="2">
        <f t="shared" si="2"/>
        <v>4.798244739070201E-3</v>
      </c>
    </row>
    <row r="14" spans="1:6">
      <c r="A14" s="9">
        <v>0.25</v>
      </c>
      <c r="B14" s="10">
        <v>13</v>
      </c>
      <c r="C14" s="11">
        <f t="shared" si="0"/>
        <v>1.4985150190445926</v>
      </c>
      <c r="D14" s="10">
        <v>100</v>
      </c>
      <c r="E14" s="11">
        <f t="shared" si="1"/>
        <v>1.4985150190445926</v>
      </c>
      <c r="F14" s="11">
        <f t="shared" si="2"/>
        <v>0</v>
      </c>
    </row>
    <row r="15" spans="1:6">
      <c r="A15" s="9">
        <v>0.29166666666666702</v>
      </c>
      <c r="B15" s="10">
        <v>13</v>
      </c>
      <c r="C15" s="11">
        <f t="shared" si="0"/>
        <v>1.4985150190445926</v>
      </c>
      <c r="D15" s="10">
        <v>100</v>
      </c>
      <c r="E15" s="11">
        <f t="shared" si="1"/>
        <v>1.4985150190445926</v>
      </c>
      <c r="F15" s="11">
        <f t="shared" si="2"/>
        <v>0</v>
      </c>
    </row>
    <row r="16" spans="1:6">
      <c r="A16" s="9">
        <v>0.33333333333333398</v>
      </c>
      <c r="B16" s="10">
        <v>14</v>
      </c>
      <c r="C16" s="11">
        <f t="shared" si="0"/>
        <v>1.5994149130233961</v>
      </c>
      <c r="D16" s="10">
        <v>100</v>
      </c>
      <c r="E16" s="11">
        <f t="shared" si="1"/>
        <v>1.5994149130233961</v>
      </c>
      <c r="F16" s="11">
        <f t="shared" si="2"/>
        <v>0</v>
      </c>
    </row>
    <row r="17" spans="1:6">
      <c r="A17" s="6">
        <v>0.375</v>
      </c>
      <c r="B17">
        <v>16</v>
      </c>
      <c r="C17" s="2">
        <f t="shared" si="0"/>
        <v>1.8192436628409498</v>
      </c>
      <c r="D17">
        <v>94.7</v>
      </c>
      <c r="E17" s="2">
        <f t="shared" si="1"/>
        <v>1.7228237487103797</v>
      </c>
      <c r="F17" s="2">
        <f t="shared" si="2"/>
        <v>9.6419914130570161E-2</v>
      </c>
    </row>
    <row r="18" spans="1:6">
      <c r="A18" s="6">
        <v>0.41666666666666702</v>
      </c>
      <c r="B18">
        <v>20</v>
      </c>
      <c r="C18" s="2">
        <f t="shared" si="0"/>
        <v>2.3396013870188903</v>
      </c>
      <c r="D18">
        <v>81.599999999999994</v>
      </c>
      <c r="E18" s="2">
        <f t="shared" si="1"/>
        <v>1.9091147318074144</v>
      </c>
      <c r="F18" s="2">
        <f t="shared" si="2"/>
        <v>0.43048665521147589</v>
      </c>
    </row>
    <row r="19" spans="1:6">
      <c r="A19" s="6">
        <v>0.45833333333333398</v>
      </c>
      <c r="B19">
        <v>23</v>
      </c>
      <c r="C19" s="2">
        <f t="shared" si="0"/>
        <v>2.8111021828635496</v>
      </c>
      <c r="D19">
        <v>71.8</v>
      </c>
      <c r="E19" s="2">
        <f t="shared" si="1"/>
        <v>2.0183713672960284</v>
      </c>
      <c r="F19" s="2">
        <f t="shared" si="2"/>
        <v>0.79273081556752123</v>
      </c>
    </row>
    <row r="20" spans="1:6">
      <c r="A20" s="6">
        <v>0.5</v>
      </c>
      <c r="B20">
        <v>26</v>
      </c>
      <c r="C20" s="2">
        <f t="shared" si="0"/>
        <v>3.3635231660651597</v>
      </c>
      <c r="D20">
        <v>62.9</v>
      </c>
      <c r="E20" s="2">
        <f t="shared" si="1"/>
        <v>2.1156560714549855</v>
      </c>
      <c r="F20" s="2">
        <f t="shared" si="2"/>
        <v>1.2478670946101742</v>
      </c>
    </row>
    <row r="21" spans="1:6">
      <c r="A21" s="6">
        <v>0.54166666666666696</v>
      </c>
      <c r="B21">
        <v>28</v>
      </c>
      <c r="C21" s="2">
        <f t="shared" si="0"/>
        <v>3.7823405378335067</v>
      </c>
      <c r="D21">
        <v>50.2</v>
      </c>
      <c r="E21" s="2">
        <f t="shared" si="1"/>
        <v>1.8987349499924204</v>
      </c>
      <c r="F21" s="2">
        <f t="shared" si="2"/>
        <v>1.8836055878410862</v>
      </c>
    </row>
    <row r="22" spans="1:6">
      <c r="A22" s="6">
        <v>0.58333333333333404</v>
      </c>
      <c r="B22">
        <v>29</v>
      </c>
      <c r="C22" s="2">
        <f t="shared" si="0"/>
        <v>4.0082670612703293</v>
      </c>
      <c r="D22">
        <v>49.3</v>
      </c>
      <c r="E22" s="2">
        <f t="shared" si="1"/>
        <v>1.9760756612062722</v>
      </c>
      <c r="F22" s="2">
        <f t="shared" si="2"/>
        <v>2.0321914000640571</v>
      </c>
    </row>
    <row r="23" spans="1:6">
      <c r="A23" s="6">
        <v>0.625</v>
      </c>
      <c r="B23">
        <v>30</v>
      </c>
      <c r="C23" s="2">
        <f t="shared" si="0"/>
        <v>4.2458451389088658</v>
      </c>
      <c r="D23">
        <v>46.6</v>
      </c>
      <c r="E23" s="2">
        <f t="shared" si="1"/>
        <v>1.9785638347315315</v>
      </c>
      <c r="F23" s="2">
        <f t="shared" si="2"/>
        <v>2.2672813041773345</v>
      </c>
    </row>
    <row r="24" spans="1:6">
      <c r="A24" s="6">
        <v>0.66666666666666696</v>
      </c>
      <c r="B24">
        <v>30</v>
      </c>
      <c r="C24" s="2">
        <f t="shared" si="0"/>
        <v>4.2458451389088658</v>
      </c>
      <c r="D24">
        <v>45.7</v>
      </c>
      <c r="E24" s="2">
        <f t="shared" si="1"/>
        <v>1.9403512284813518</v>
      </c>
      <c r="F24" s="2">
        <f t="shared" si="2"/>
        <v>2.3054939104275141</v>
      </c>
    </row>
    <row r="25" spans="1:6">
      <c r="A25" s="6">
        <v>0.70833333333333404</v>
      </c>
      <c r="B25">
        <v>30</v>
      </c>
      <c r="C25" s="2">
        <f t="shared" si="0"/>
        <v>4.2458451389088658</v>
      </c>
      <c r="D25">
        <v>46.9</v>
      </c>
      <c r="E25" s="2">
        <f t="shared" si="1"/>
        <v>1.991301370148258</v>
      </c>
      <c r="F25" s="2">
        <f t="shared" si="2"/>
        <v>2.254543768760608</v>
      </c>
    </row>
    <row r="26" spans="1:6">
      <c r="A26" s="6">
        <v>0.75</v>
      </c>
      <c r="B26">
        <v>30</v>
      </c>
      <c r="C26" s="2">
        <f t="shared" si="0"/>
        <v>4.2458451389088658</v>
      </c>
      <c r="D26">
        <v>47.8</v>
      </c>
      <c r="E26" s="2">
        <f t="shared" si="1"/>
        <v>2.0295139763984378</v>
      </c>
      <c r="F26" s="2">
        <f t="shared" si="2"/>
        <v>2.2163311625104281</v>
      </c>
    </row>
    <row r="27" spans="1:6">
      <c r="A27" s="6">
        <v>0.79166666666666696</v>
      </c>
      <c r="B27">
        <v>30</v>
      </c>
      <c r="C27" s="2">
        <f t="shared" si="0"/>
        <v>4.2458451389088658</v>
      </c>
      <c r="D27">
        <v>50.4</v>
      </c>
      <c r="E27" s="2">
        <f t="shared" si="1"/>
        <v>2.1399059500100686</v>
      </c>
      <c r="F27" s="2">
        <f t="shared" si="2"/>
        <v>2.1059391888987973</v>
      </c>
    </row>
    <row r="28" spans="1:6">
      <c r="A28" s="6">
        <v>0.83333333333333404</v>
      </c>
      <c r="B28">
        <v>29</v>
      </c>
      <c r="C28" s="2">
        <f t="shared" si="0"/>
        <v>4.0082670612703293</v>
      </c>
      <c r="D28">
        <v>58.7</v>
      </c>
      <c r="E28" s="2">
        <f t="shared" si="1"/>
        <v>2.3528527649656836</v>
      </c>
      <c r="F28" s="2">
        <f t="shared" si="2"/>
        <v>1.6554142963046456</v>
      </c>
    </row>
    <row r="29" spans="1:6">
      <c r="A29" s="6">
        <v>0.875</v>
      </c>
      <c r="B29">
        <v>27</v>
      </c>
      <c r="C29" s="2">
        <f t="shared" si="0"/>
        <v>3.5675818239941237</v>
      </c>
      <c r="D29">
        <v>69.8</v>
      </c>
      <c r="E29" s="2">
        <f t="shared" si="1"/>
        <v>2.490172113147898</v>
      </c>
      <c r="F29" s="2">
        <f t="shared" si="2"/>
        <v>1.0774097108462257</v>
      </c>
    </row>
    <row r="30" spans="1:6">
      <c r="A30" s="6">
        <v>0.91666666666666696</v>
      </c>
      <c r="B30">
        <v>23</v>
      </c>
      <c r="C30" s="2">
        <f t="shared" si="0"/>
        <v>2.8111021828635496</v>
      </c>
      <c r="D30">
        <v>83.2</v>
      </c>
      <c r="E30" s="2">
        <f t="shared" si="1"/>
        <v>2.3388370161424734</v>
      </c>
      <c r="F30" s="2">
        <f t="shared" si="2"/>
        <v>0.47226516672107621</v>
      </c>
    </row>
    <row r="31" spans="1:6">
      <c r="A31" s="6">
        <v>0.95833333333333404</v>
      </c>
      <c r="B31">
        <v>21</v>
      </c>
      <c r="C31" s="2">
        <f t="shared" si="0"/>
        <v>2.4884328044760018</v>
      </c>
      <c r="D31">
        <v>89.4</v>
      </c>
      <c r="E31" s="2">
        <f t="shared" si="1"/>
        <v>2.2246589272015456</v>
      </c>
      <c r="F31" s="2">
        <f t="shared" si="2"/>
        <v>0.26377387727445623</v>
      </c>
    </row>
    <row r="32" spans="1:6">
      <c r="A32" s="6">
        <v>1</v>
      </c>
      <c r="B32">
        <v>20</v>
      </c>
      <c r="C32" s="2">
        <f t="shared" si="0"/>
        <v>2.3396013870188903</v>
      </c>
      <c r="D32">
        <v>93.5</v>
      </c>
      <c r="E32" s="2">
        <f t="shared" si="1"/>
        <v>2.1875272968626627</v>
      </c>
      <c r="F32" s="2">
        <f t="shared" si="2"/>
        <v>0.15207409015622764</v>
      </c>
    </row>
    <row r="34" spans="1:6">
      <c r="A34" t="s">
        <v>57</v>
      </c>
      <c r="E34" s="8">
        <f>AVERAGE(F9:F32)</f>
        <v>0.89062375668889437</v>
      </c>
      <c r="F34" t="s">
        <v>28</v>
      </c>
    </row>
    <row r="36" spans="1:6">
      <c r="A36" t="s">
        <v>58</v>
      </c>
    </row>
    <row r="37" spans="1:6">
      <c r="B37" t="s">
        <v>59</v>
      </c>
    </row>
    <row r="38" spans="1:6">
      <c r="A38" t="s">
        <v>39</v>
      </c>
      <c r="B38" s="3">
        <f>AVERAGE(B9:B32)</f>
        <v>21.875</v>
      </c>
      <c r="C38" t="s">
        <v>21</v>
      </c>
    </row>
    <row r="40" spans="1:6">
      <c r="A40" t="s">
        <v>60</v>
      </c>
    </row>
    <row r="42" spans="1:6">
      <c r="A42" t="s">
        <v>61</v>
      </c>
      <c r="B42" s="2">
        <f>AVERAGE(C14:C16)</f>
        <v>1.5321483170375272</v>
      </c>
      <c r="C42" t="s">
        <v>62</v>
      </c>
    </row>
    <row r="44" spans="1:6">
      <c r="A44" t="s">
        <v>63</v>
      </c>
      <c r="B44" s="2">
        <f>EXP((16.78*B38-116.9)/(B38+237.3))</f>
        <v>2.6253814466980945</v>
      </c>
      <c r="C44" t="s">
        <v>62</v>
      </c>
    </row>
    <row r="46" spans="1:6">
      <c r="A46" t="s">
        <v>64</v>
      </c>
      <c r="B46" s="2">
        <f>B44-B42</f>
        <v>1.0932331296605673</v>
      </c>
      <c r="C46" t="s">
        <v>62</v>
      </c>
    </row>
    <row r="47" spans="1:6">
      <c r="A47" t="s">
        <v>65</v>
      </c>
      <c r="B47" s="12">
        <f>(-E34+B46)/E34</f>
        <v>0.22749154337059393</v>
      </c>
    </row>
    <row r="48" spans="1:6">
      <c r="A48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Example 4.1</vt:lpstr>
      <vt:lpstr>Example 4.2</vt:lpstr>
      <vt:lpstr>Example 4.3</vt:lpstr>
      <vt:lpstr>Example 4.3-b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olc-user</dc:creator>
  <cp:lastModifiedBy>olc-user</cp:lastModifiedBy>
  <dcterms:created xsi:type="dcterms:W3CDTF">2010-04-01T16:11:09Z</dcterms:created>
  <dcterms:modified xsi:type="dcterms:W3CDTF">2010-04-13T17:20:24Z</dcterms:modified>
</cp:coreProperties>
</file>