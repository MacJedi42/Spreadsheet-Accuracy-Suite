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570" windowWidth="15480" windowHeight="11460" firstSheet="16" activeTab="25"/>
  </bookViews>
  <sheets>
    <sheet name="Early" sheetId="1" r:id="rId1"/>
    <sheet name="Elem" sheetId="2" r:id="rId2"/>
    <sheet name="HHP" sheetId="7" r:id="rId3"/>
    <sheet name="Agri" sheetId="22" r:id="rId4"/>
    <sheet name="Music" sheetId="9" r:id="rId5"/>
    <sheet name="Art" sheetId="10" r:id="rId6"/>
    <sheet name="SS" sheetId="12" r:id="rId7"/>
    <sheet name="Bio" sheetId="16" r:id="rId8"/>
    <sheet name="Math" sheetId="18" r:id="rId9"/>
    <sheet name="English" sheetId="19" r:id="rId10"/>
    <sheet name="Spanish" sheetId="42" r:id="rId11"/>
    <sheet name="French" sheetId="41" r:id="rId12"/>
    <sheet name="Business" sheetId="21" r:id="rId13"/>
    <sheet name="MAT-Bio" sheetId="33" r:id="rId14"/>
    <sheet name="MAT-Bus" sheetId="35" r:id="rId15"/>
    <sheet name="MAT-Chem" sheetId="36" r:id="rId16"/>
    <sheet name="MAT-French" sheetId="38" r:id="rId17"/>
    <sheet name="MAT-Spanish" sheetId="43" r:id="rId18"/>
    <sheet name="MAT-Math" sheetId="40" r:id="rId19"/>
    <sheet name="MAT-SS" sheetId="39" r:id="rId20"/>
    <sheet name="MAT-English" sheetId="34" r:id="rId21"/>
    <sheet name="Elem-Mat" sheetId="3" r:id="rId22"/>
    <sheet name="Early-PBC" sheetId="28" r:id="rId23"/>
    <sheet name="Art-PBC" sheetId="27" r:id="rId24"/>
    <sheet name="MS Math -PBC" sheetId="25" r:id="rId25"/>
    <sheet name="MS Science -PBC" sheetId="31" r:id="rId26"/>
    <sheet name="HHP-PBC" sheetId="8" r:id="rId27"/>
    <sheet name="Elem-PBC" sheetId="5" r:id="rId28"/>
  </sheets>
  <calcPr calcId="145621"/>
</workbook>
</file>

<file path=xl/calcChain.xml><?xml version="1.0" encoding="utf-8"?>
<calcChain xmlns="http://schemas.openxmlformats.org/spreadsheetml/2006/main">
  <c r="D42" i="38" l="1"/>
  <c r="D36" i="38"/>
  <c r="D18" i="38"/>
  <c r="D42" i="43"/>
  <c r="E18" i="43"/>
  <c r="D18" i="43"/>
  <c r="C36" i="43"/>
  <c r="C11" i="34"/>
  <c r="C42" i="35" l="1"/>
  <c r="C30" i="35"/>
  <c r="F61" i="8"/>
  <c r="F48" i="5"/>
  <c r="F30" i="5"/>
  <c r="F24" i="5"/>
  <c r="F11" i="5"/>
  <c r="F42" i="3"/>
  <c r="F18" i="3"/>
  <c r="F42" i="21"/>
  <c r="F30" i="21"/>
  <c r="F11" i="21"/>
  <c r="F18" i="19"/>
  <c r="F18" i="18"/>
  <c r="F11" i="18"/>
  <c r="F42" i="12"/>
  <c r="F36" i="12"/>
  <c r="F18" i="12"/>
  <c r="F36" i="9"/>
  <c r="F11" i="9"/>
  <c r="F42" i="7"/>
  <c r="F42" i="2"/>
  <c r="F36" i="2"/>
  <c r="F11" i="2"/>
  <c r="E36" i="1"/>
  <c r="E11" i="1"/>
  <c r="E18" i="2"/>
  <c r="E11" i="2"/>
  <c r="E42" i="7"/>
  <c r="E36" i="7"/>
  <c r="E11" i="7"/>
  <c r="E48" i="22"/>
  <c r="E42" i="22"/>
  <c r="E30" i="22"/>
  <c r="E18" i="22"/>
  <c r="C56" i="10"/>
  <c r="D56" i="10"/>
  <c r="E24" i="21"/>
  <c r="E18" i="21"/>
  <c r="E48" i="3"/>
  <c r="E42" i="3"/>
  <c r="E30" i="3"/>
  <c r="E18" i="3"/>
  <c r="E11" i="3"/>
  <c r="D11" i="28"/>
  <c r="C30" i="28"/>
  <c r="C18" i="28"/>
  <c r="E42" i="8"/>
  <c r="E30" i="8"/>
  <c r="E24" i="8"/>
  <c r="E11" i="8"/>
  <c r="C48" i="3" l="1"/>
  <c r="C36" i="3"/>
  <c r="C24" i="3"/>
  <c r="C11" i="3"/>
  <c r="C48" i="21" l="1"/>
  <c r="D30" i="3" l="1"/>
  <c r="D24" i="3"/>
  <c r="D18" i="3"/>
  <c r="D42" i="22"/>
  <c r="D36" i="22"/>
  <c r="D30" i="22"/>
  <c r="D18" i="22"/>
  <c r="D48" i="9"/>
  <c r="D30" i="9"/>
  <c r="D24" i="9"/>
  <c r="D18" i="9"/>
  <c r="D11" i="9"/>
  <c r="D42" i="8"/>
  <c r="D30" i="8"/>
  <c r="D24" i="8"/>
  <c r="D11" i="8"/>
  <c r="D36" i="7"/>
  <c r="D24" i="7"/>
  <c r="D18" i="7"/>
  <c r="D11" i="7"/>
  <c r="D42" i="5"/>
  <c r="D36" i="5"/>
  <c r="D30" i="5"/>
  <c r="D18" i="5"/>
  <c r="D11" i="5"/>
  <c r="D48" i="2"/>
  <c r="D30" i="2"/>
  <c r="D24" i="2"/>
  <c r="D11" i="2"/>
  <c r="D18" i="12"/>
  <c r="D11" i="12"/>
  <c r="D42" i="19"/>
  <c r="D30" i="18"/>
  <c r="D48" i="21"/>
  <c r="D42" i="1"/>
</calcChain>
</file>

<file path=xl/sharedStrings.xml><?xml version="1.0" encoding="utf-8"?>
<sst xmlns="http://schemas.openxmlformats.org/spreadsheetml/2006/main" count="2887" uniqueCount="271">
  <si>
    <t xml:space="preserve">Candidate Learning Outcome Data - Early Childhood Education </t>
  </si>
  <si>
    <t>Purpose - This spreadsheet contains data on teacher candidates Field Experience Evaluation</t>
  </si>
  <si>
    <t>Form completed by University Supervisor / Cooperating Teacher</t>
  </si>
  <si>
    <t>FEE III</t>
  </si>
  <si>
    <t xml:space="preserve"> </t>
  </si>
  <si>
    <t>Domain 1: Planning and Preparation</t>
  </si>
  <si>
    <t>Fall 2012</t>
  </si>
  <si>
    <t>Domain 2: The Classroom Environment</t>
  </si>
  <si>
    <t>Mean</t>
  </si>
  <si>
    <t>Domain 3: Instruction</t>
  </si>
  <si>
    <t>Component 3.1: Using Questioning and Discussion Techniques (Danielson, 3b)</t>
  </si>
  <si>
    <t>1.1.1</t>
  </si>
  <si>
    <t>1.2.1</t>
  </si>
  <si>
    <t>Component 1.1: Setting Instructional Outcomes (Danielson, 1c)</t>
  </si>
  <si>
    <t>1.3.1</t>
  </si>
  <si>
    <t>1.4.1</t>
  </si>
  <si>
    <t>Component 2.1: Managing Classroom Procedures (Danielson, 2c)</t>
  </si>
  <si>
    <t>2.1.1</t>
  </si>
  <si>
    <t>Component 3.2: Engaging Students in Learning (Danielson, 3c)</t>
  </si>
  <si>
    <t>3.1.1</t>
  </si>
  <si>
    <t>3.2.1</t>
  </si>
  <si>
    <t>3.3.1</t>
  </si>
  <si>
    <t>3.1.2</t>
  </si>
  <si>
    <t>3.1.3</t>
  </si>
  <si>
    <t>3.2.2</t>
  </si>
  <si>
    <t>3.2.3</t>
  </si>
  <si>
    <t>3.2.4</t>
  </si>
  <si>
    <t>Component 3.3: Using Assessment in Instruction (Danielson, 3d)</t>
  </si>
  <si>
    <t>3.3.2</t>
  </si>
  <si>
    <t>3.3.3</t>
  </si>
  <si>
    <t>3.3.4</t>
  </si>
  <si>
    <t>Outcomes are interdisciplinary and represent high expectations and rigor.</t>
  </si>
  <si>
    <t>Outcomes are clear, measurable, sequenced/scaffolded as appropriate, and written in terms of what students will learn rather than do.</t>
  </si>
  <si>
    <t>Students take the initiative to collaborate with classmates and use instructional time productively.</t>
  </si>
  <si>
    <t>2.1.2</t>
  </si>
  <si>
    <t>2.1.3</t>
  </si>
  <si>
    <t>Students initiate and pose higher-order thinking questions.</t>
  </si>
  <si>
    <t>Student interactions extend and enrich the discussion with little to no teacher intervention.</t>
  </si>
  <si>
    <t>Students invite and respond to comments from peers during discussion.</t>
  </si>
  <si>
    <t>All students are engaged intellectually in the lesson.</t>
  </si>
  <si>
    <t>Students take initiative to modify a learning task to make it more meaningful or relevant to their needs</t>
  </si>
  <si>
    <t>Evidence exists that students contributed to establishing evaluation criteria.</t>
  </si>
  <si>
    <t>Candidate Learning Outcome Data -Elementary</t>
  </si>
  <si>
    <t>Candidate Learning Outcome Data - HHP</t>
  </si>
  <si>
    <t>Candidate Learning Outcome Data - Music</t>
  </si>
  <si>
    <t>Candidate Learning Outcome Data - Art</t>
  </si>
  <si>
    <t>Candidate Learning Outcome Data - Social Studies</t>
  </si>
  <si>
    <t>Candidate Learning Outcome Data - Biology</t>
  </si>
  <si>
    <t>Candidate Learning Outcome Data - Math</t>
  </si>
  <si>
    <t>Candidate Learning Outcome Data - English</t>
  </si>
  <si>
    <t>Candidate Learning Outcome Data - Business</t>
  </si>
  <si>
    <t>Candidate Learning Outcome Data - Agriculture</t>
  </si>
  <si>
    <t>n=14</t>
  </si>
  <si>
    <t>n=9</t>
  </si>
  <si>
    <t>n=1</t>
  </si>
  <si>
    <t>n=2</t>
  </si>
  <si>
    <t>n=3</t>
  </si>
  <si>
    <t>Sp 2013</t>
  </si>
  <si>
    <t>n=20</t>
  </si>
  <si>
    <t>n=6</t>
  </si>
  <si>
    <t>n=10</t>
  </si>
  <si>
    <t>n=4</t>
  </si>
  <si>
    <t>n=7</t>
  </si>
  <si>
    <t>n=15</t>
  </si>
  <si>
    <t>Outcomes reflect different types of learning for coordination and integration</t>
  </si>
  <si>
    <t>Outcomes are based on a compreshensive assessment of student learning and take into account indvidual's needs</t>
  </si>
  <si>
    <t>2.1.4</t>
  </si>
  <si>
    <t>Transitions are seamless, with students assuming responsibility to ensure their efficient operation</t>
  </si>
  <si>
    <t>Routines for handling materials and supplies are seamless</t>
  </si>
  <si>
    <t>Systems for performing non-instructional duties are well established</t>
  </si>
  <si>
    <t>Domain 2: Managing Student Behavior</t>
  </si>
  <si>
    <t>2.2.1</t>
  </si>
  <si>
    <t>2.2.2</t>
  </si>
  <si>
    <t>2.2.3</t>
  </si>
  <si>
    <t>Component 2.2: Managing Student Behavior (Danielson, 2c)</t>
  </si>
  <si>
    <t>Standards of conduct are clear to all students and are developed with student participation</t>
  </si>
  <si>
    <t>Monitoring student bevavior is subtle and preventive. Students monitor their own behavior</t>
  </si>
  <si>
    <t>Teacher response to misbehavior is effective and sensative to students needs</t>
  </si>
  <si>
    <t>Instruction materials are suitable and students initiate the choice and adaptation of the materials</t>
  </si>
  <si>
    <t>Lesson's stucture is highly coherent, allowing for reflection and closure</t>
  </si>
  <si>
    <t>Teacher's actively and systematically elicits diagnostic information from individual students</t>
  </si>
  <si>
    <t xml:space="preserve">Teacher's feedback to students is timely and consistently high quality </t>
  </si>
  <si>
    <t>Students monitor the quality of their own work against assessment criteria</t>
  </si>
  <si>
    <t>Domain 4: Professionalism</t>
  </si>
  <si>
    <t>Component 4.1: Modeling Professional KSD (partially from Danielson, 4)</t>
  </si>
  <si>
    <t>4.1.1</t>
  </si>
  <si>
    <t>4.1.2</t>
  </si>
  <si>
    <t>4.1.3</t>
  </si>
  <si>
    <t>Teacher's system for maintaining assignments is effective and preseted on time</t>
  </si>
  <si>
    <t>Teacher seeks feedback and maintains an open mind. Accepts responsibility for actions and maintains a positive attitude</t>
  </si>
  <si>
    <t>Teacher is honest and shows high integrity</t>
  </si>
  <si>
    <t xml:space="preserve">  </t>
  </si>
  <si>
    <t>Sp. 2013</t>
  </si>
  <si>
    <t>n=</t>
  </si>
  <si>
    <t>Fall 2013</t>
  </si>
  <si>
    <t>Sp 2014</t>
  </si>
  <si>
    <t>Candidate Learning Outcome Data - Elementary-MAT</t>
  </si>
  <si>
    <t xml:space="preserve">Candidates use their understanding of young children’s characteristics and needs, and of multiple interacting influences on children’s development </t>
  </si>
  <si>
    <t>and learning, to create environments that are healthy, respectful, supportive, and challenging for all children</t>
  </si>
  <si>
    <t>Candidates know about, understand, and value the importance and complex characteristics of children’s families and communities. They use</t>
  </si>
  <si>
    <t xml:space="preserve"> this understanding to create respectful, reciprocal relationships that support and empower families, and to involve all families in their children’s </t>
  </si>
  <si>
    <t>development and learning</t>
  </si>
  <si>
    <t xml:space="preserve">Candidates know about and understand the goals, benefits, and uses of assessment. They know about and use systematic observations, </t>
  </si>
  <si>
    <t>influence children’s development and learning</t>
  </si>
  <si>
    <t xml:space="preserve">Candidates integrate their understanding of and relationships with children and families; their understanding of developmentally effective </t>
  </si>
  <si>
    <t xml:space="preserve">approaches to teaching and learning; and their knowledge of academic disciplines to design, implement, and evaluate experiences that promote </t>
  </si>
  <si>
    <t xml:space="preserve">positive development and learning for all children. </t>
  </si>
  <si>
    <t xml:space="preserve">Candidates identify and conduct themselves as members of the early childhood profession. They know and use ethical guidelines and other </t>
  </si>
  <si>
    <t>professional standards related to early childhood practice. They are continuous, collaborative learners who demonstrate knowledgeable,</t>
  </si>
  <si>
    <t>reflective, and critical perspectives on their work, making informed decisions that integrate knowledge from a variety of sources.</t>
  </si>
  <si>
    <t xml:space="preserve">They are informed advocates for sound educational practices and policies. </t>
  </si>
  <si>
    <t xml:space="preserve">Language Arts: Engages students in experiences that integrate listening, speaking, reading, and writing across a developmental continuum. </t>
  </si>
  <si>
    <t>Uses an integrated approach to include content from other disciplines</t>
  </si>
  <si>
    <t xml:space="preserve">Science: Engages students in inquiry and investigations in physical, life and earth and space science-as well as concepts in science and technology, </t>
  </si>
  <si>
    <t xml:space="preserve">science in personal and social perspectives, the history and nature of science, the unifying concepts of science. Investigations will include science </t>
  </si>
  <si>
    <t>processes and inquiry skills. Uses an integrated approach to include content from other disciplines</t>
  </si>
  <si>
    <t xml:space="preserve">Mathematics: Engages students in hands-on and traditional experiences that include number sense, algebraic thinking, and geometry, measurement </t>
  </si>
  <si>
    <t>and data analysis. Uses an integrated approach to include content from other disciplines</t>
  </si>
  <si>
    <t xml:space="preserve">Social Studies: Engages students in experiences in geography, history, economics, and social relations/civics. Investigations include: analysis </t>
  </si>
  <si>
    <t xml:space="preserve">of primary sources, predicting, gathering and interpreting data and drawing conclusions. Pedagogical strategies will include: developing, historical </t>
  </si>
  <si>
    <t>empathy and understanding differences among groups of people. Uses an integrated approach to include content from other disciplines</t>
  </si>
  <si>
    <t xml:space="preserve">Physical education teachers understand physical education content and disciplinary concepts related to the development of a physically educated person. </t>
  </si>
  <si>
    <t>Physical education teachers understand how individuals learn and develop and can provide opportunities that support their physical, cognitive, social, and emotional development</t>
  </si>
  <si>
    <t>Physical education teachers understand how individuals differ in their approaches to learning, and create appropriate instruction adapted to these differences</t>
  </si>
  <si>
    <t xml:space="preserve">Physical education teachers use an understanding of individual and group motivation and behavior to create a safe learning environment </t>
  </si>
  <si>
    <t>that encourages positive social interaction, active engagement in learning, and self-motivation</t>
  </si>
  <si>
    <t>Physical education teachers use knowledge of effective verbal, nonverbal, and media communication techniques to enhance learning and engagement in physical activity settings.</t>
  </si>
  <si>
    <t>Physical education teachers plan and implement a variety of developmentally appropriate instructional strategies to develop physically educated individuals, based on state and national</t>
  </si>
  <si>
    <t>Physical education teachers understand and use assessment to foster physical, cognitive, social, and emotional development of students in physical activity</t>
  </si>
  <si>
    <t xml:space="preserve">Physical education teachers are reflective practitioners who evaluate the effects of their actions on others </t>
  </si>
  <si>
    <t>(e.g., students, parents/guardians, fellow professionals), and seek opportunities to grow professionally.</t>
  </si>
  <si>
    <t>Physical education teachers foster relationships with colleagues, parents/guardians, and community agencies to support students' growth and well-being</t>
  </si>
  <si>
    <t>The student will evaluate the use of the scientific method to supply the world with needed agricultural products.</t>
  </si>
  <si>
    <t>The student will determine the importance of wildlife populations and environmental conditions in our natural habitats.</t>
  </si>
  <si>
    <t>The student will explain the functions of cell structure, genetic activity and reproductive organs of animals and diagram their components.</t>
  </si>
  <si>
    <t>The student will examine the functions and chemical reactions that allow digestion to occur in animals.</t>
  </si>
  <si>
    <t>The student will evaluate plants by use, purpose and position within the scientific classification system.</t>
  </si>
  <si>
    <t>The student will analyze cell structure, genetics and reproduction of plants.</t>
  </si>
  <si>
    <t>The student will evaluate different methods by which electrical energy can be produced and used.</t>
  </si>
  <si>
    <t>The student will integrate academic competencies into agriscience.</t>
  </si>
  <si>
    <t>The student will develop premier leadership and personal growth needed in the area of agriscience.</t>
  </si>
  <si>
    <t>Aural Skills - Demonstrates the ability of advanced aural skills which suggest the ability of being able to "hear" a musical score in mind; can make the leap from the printed score to identify musical problems in rehearsal</t>
  </si>
  <si>
    <t xml:space="preserve">Fundamentals of Literacy - Demonstrates the ability to address issues of rhythm, articulation, tempo, dynamics, intonation and tone quality. </t>
  </si>
  <si>
    <t xml:space="preserve">Pitch Skills - Demonstrates the ability to sing or play any musical part. </t>
  </si>
  <si>
    <t>Technical Skills - Demonstrates technical skills on own instrument on a level sufficient to provide instrument modeling to the most sophisticated students</t>
  </si>
  <si>
    <t>Score Reading Skills - Demonstrates knowledge of transposition</t>
  </si>
  <si>
    <t>Conducting Skills - Communicates clearly from the podium through effective and musically inspired conducting.</t>
  </si>
  <si>
    <t>Knowledge of Woodwind Instruments - Demonstrates sufficient knowledge of all instruments and can apply this information to the teaching of the various individual instruments.</t>
  </si>
  <si>
    <t>Knowledge of Brass Instruments- Demonstrates sufficient knowledge of all instruments and can apply this information to the teaching of the various individual instruments</t>
  </si>
  <si>
    <t>Knowledge of String Instruments - Demonstrates sufficient knowledge of all instruments and can apply this information to the teaching of the various individual instruments.</t>
  </si>
  <si>
    <t>Knowledge of Percussion Instruments - Demonstrates sufficient knowledge of all instruments and can apply this information to the teaching of the various individual instruments</t>
  </si>
  <si>
    <t>Musicality Skills - Demonstrates and is able to model advanced musical skills of phrasing and expression</t>
  </si>
  <si>
    <t>Aural Skills - Demonstrates the ability of advanced aural skills which suggest the ability of being able to "hear" a musical score in mind; can make the leap from the printed score to identify musical problems in rehearsal.</t>
  </si>
  <si>
    <t xml:space="preserve">Fundamentals of Literacy - Demonstrates the ability to address issues of rhythm, melody, harmony, tempo, dynamics, and terminology/vocabulary. </t>
  </si>
  <si>
    <t>Pitch Skills – Demonstrates advanced aural skills, which suggest a keen concept of pitch and intonation</t>
  </si>
  <si>
    <t>Technical Skills - Demonstrates technical skills on a level sufficient to provide vocal modeling to the most sophisticated students.</t>
  </si>
  <si>
    <t>Score Reading skills – Demonstrates the ability to sing (within their range) or play with ease any part on the  score.</t>
  </si>
  <si>
    <t>Conducting Skills – Communicates clearly from the podium through effective and musically inspired conducting.</t>
  </si>
  <si>
    <t>Choral/Vocal Pedagogy – Demonstrates a basic understanding of choral elements such as breathing, diction, articulation, composition.</t>
  </si>
  <si>
    <t xml:space="preserve">voice production, and style characteristics and can apply these concepts to the teaching of a musical </t>
  </si>
  <si>
    <t>Musicality Skills – Demonstrates and is able to model advanced musical skills of phrasing and expression.</t>
  </si>
  <si>
    <t>Communication—Demonstrates the ability to speak comfortably and clearly to a large classroom of students</t>
  </si>
  <si>
    <t>Collaboration – Works effectively with cooperating teacher, peers, parents, and supervisor.</t>
  </si>
  <si>
    <t>Instrumentation</t>
  </si>
  <si>
    <t>Vocal</t>
  </si>
  <si>
    <t>Student teachers will develop and expand their knowledge of visual arts media, techniques, and processes in order to express ideas creatively in their art works</t>
  </si>
  <si>
    <t>Student teachers will demonstrate a knowledge of characteristics and organizational principles to solve specific visual arts problems</t>
  </si>
  <si>
    <t>Students will use a range of subjects, symbols, and ideas in creating original artwork and will evaluate the use of these elements in the artworks of others</t>
  </si>
  <si>
    <t>Students demonstrate a knowledge of artists, art history, and world cultures and will understand how the visual arts reflect, record, and shape cultures</t>
  </si>
  <si>
    <t>Students will use thorough analysis, interpretation, and judgment to make informed responses to their own artworks and those of others</t>
  </si>
  <si>
    <t>Students will demonstrate a knowledge of the connections among the content of visual arts, other disciplines, and everyday life</t>
  </si>
  <si>
    <t>Culture and Culture Diversity</t>
  </si>
  <si>
    <t>Time, Continuity, and Change</t>
  </si>
  <si>
    <t>People, Places, and Environments</t>
  </si>
  <si>
    <t>Individual Development and Identity</t>
  </si>
  <si>
    <t>Individuals, Groups, and Institutions</t>
  </si>
  <si>
    <t>Power, Authority, and Governance</t>
  </si>
  <si>
    <t>Production, Distribution, and Consumption of goods and services</t>
  </si>
  <si>
    <t>Science, Technology, and Society</t>
  </si>
  <si>
    <t>Global Connections and interdependence</t>
  </si>
  <si>
    <t>Civic Ideals and Practices</t>
  </si>
  <si>
    <r>
      <t xml:space="preserve">Understands and engages students in activities related to the nature of science (history and philosophy) </t>
    </r>
    <r>
      <rPr>
        <u/>
        <sz val="8"/>
        <color indexed="8"/>
        <rFont val="Arial"/>
        <family val="2"/>
      </rPr>
      <t>and</t>
    </r>
    <r>
      <rPr>
        <sz val="8"/>
        <color indexed="8"/>
        <rFont val="Arial"/>
        <family val="2"/>
      </rPr>
      <t xml:space="preserve"> its difference from technology and  </t>
    </r>
  </si>
  <si>
    <t>other ways of knowing the world as these relate to the content</t>
  </si>
  <si>
    <t xml:space="preserve">Understands and utilizes multiple methods of inquiry during instruction </t>
  </si>
  <si>
    <t xml:space="preserve">Engages students in inquiry lessons that require them to develop conclusions from evidence in a scientific manner </t>
  </si>
  <si>
    <t xml:space="preserve">Engages students in studies of socially important issues related to biology, along with alternative solutions, and relates issues to content </t>
  </si>
  <si>
    <t xml:space="preserve">knowledge, goals and values </t>
  </si>
  <si>
    <t xml:space="preserve">Relates biology content to the community and/or local issues, and uses community resources to promote the learning of the content </t>
  </si>
  <si>
    <t xml:space="preserve">Exhibits proper and safe techniques for the preparation, storage, dispensing, supervision, and disposal of all material in science instruction </t>
  </si>
  <si>
    <t xml:space="preserve">Knows and follows emergency procedures, maintains safety equipment, and ensures safety procedures appropriate for the activities and abilities </t>
  </si>
  <si>
    <t xml:space="preserve">of all students </t>
  </si>
  <si>
    <t xml:space="preserve">Treats all living organisms used in the classroom or found in the field in a safe, humane and ethical manner and respects legal restrictions on their </t>
  </si>
  <si>
    <t xml:space="preserve">collection, keeping and use </t>
  </si>
  <si>
    <t xml:space="preserve">Engages actively and continuously in opportunities for professional learning and/or leadership that reach beyond minimum internship requirements </t>
  </si>
  <si>
    <t>Monitors and reflects on the process of mathematical problem solving. (NCTM 1.4)</t>
  </si>
  <si>
    <t>Communicates their mathematical thinking coherently and clearly to peers, faculty, and others. (NCTM 3.1)</t>
  </si>
  <si>
    <t>Uses the language of mathematics to express ideas precisely. (NCTM 3.2)</t>
  </si>
  <si>
    <t>Analyzes and evaluates the mathematical thinking and strategies of others. (NCTM 3.4)</t>
  </si>
  <si>
    <t xml:space="preserve">Uses knowledge of mathematics to select and use appropriate technological tools, such as but not limited to, spreadsheets, </t>
  </si>
  <si>
    <t xml:space="preserve">dynamic graphing tools, computer algebra systems, dynamic statistical packages, graphing calculators, data-collection </t>
  </si>
  <si>
    <t>devices, and presentation software. (NCTM 6.1)</t>
  </si>
  <si>
    <t>Participates in professional mathematics organizations and uses their print and on-line resources. (NCTM 8.5)</t>
  </si>
  <si>
    <t>Demonstrates knowledge of research results in the teaching and learning of mathematics. (NCTM 8.6)</t>
  </si>
  <si>
    <t xml:space="preserve">Demonstrates the ability to lead classes in mathematical problem solving and in developing in-depth conceptual </t>
  </si>
  <si>
    <t>understanding, and help students develop and test generalizations. (NCTM 8.8)</t>
  </si>
  <si>
    <t xml:space="preserve">Demonstrates knowledge of the historical development of mathematics including contributions from diverse cultures.  </t>
  </si>
  <si>
    <t>(NCTM 9.10, 10.6, 11.8, 12.5, 13.4, 14.8, 15.4)</t>
  </si>
  <si>
    <t xml:space="preserve">Demonstrates computational proficiency, including a conceptual understanding of numbers, ways of representing number, </t>
  </si>
  <si>
    <t>relationships among number and number systems, and meanings of operations. (NCTM 9)</t>
  </si>
  <si>
    <t xml:space="preserve">Emphasizes relationships among quantities including functions, ways of representing mathematical relationships, and the analysis of change. (NCTM 10) </t>
  </si>
  <si>
    <t>Uses spatial visualization and geometric modeling to explore and analyze geometric shapes, structures, and their properties.  (NCTM 11)</t>
  </si>
  <si>
    <t xml:space="preserve">Demonstrates a conceptual understanding of limit, continuity, differentiation, and integration and a thorough background in </t>
  </si>
  <si>
    <t xml:space="preserve">the techniques and application of calculus. (NCTM 12) </t>
  </si>
  <si>
    <t xml:space="preserve">Applies the fundamental ideas of discrete mathematics in the formulation and solution of problems. (NCTM 13) </t>
  </si>
  <si>
    <t>Demonstrates an understanding of concepts and practices related to data analysis, statistics, and probability. (NCTM 14)</t>
  </si>
  <si>
    <t>Applies and uses measurement concepts and tools. (NCTM 15)</t>
  </si>
  <si>
    <t>Demonstrates knowledge of and skills in the use of the English language. (NCTE 3.1)</t>
  </si>
  <si>
    <t>Demonstrates knowledge of the practices of oral, visual, and written literacy. (NCTE 3.2)</t>
  </si>
  <si>
    <t>Demonstrates knowledge of reading process. (NCTE 3.3)</t>
  </si>
  <si>
    <t>Demonstrates knowledge of different composing processes. (NCTE 3.4)</t>
  </si>
  <si>
    <t>Demonstrates knowledge of and uses for an extensive range of literature. (NCTE 3.5)</t>
  </si>
  <si>
    <t>Demonstrates knowledge of the range and influence of print and nonprint media and technology in contemporary culture. (NCTE 3.6)</t>
  </si>
  <si>
    <t>Demonstrates knowledge of research theory and findings in English language arts. (NCTE 3.7)</t>
  </si>
  <si>
    <t>Acquires and demonstrates the dispositions and skills needed to integrate knowledge of English language arts, students, and teaching. (NCTE 4.0)</t>
  </si>
  <si>
    <t xml:space="preserve">Language, Linguistics, Comparisons: Demonstrates a high level of proficiency in the target </t>
  </si>
  <si>
    <t>language; knows the linguistic elements of the target language; knows the similarities and differences between the target language and other languages</t>
  </si>
  <si>
    <t xml:space="preserve">Cultures, Literatures, Cross-Disciplinary Concepts: Understands the connections among the perspectives of a culture and its </t>
  </si>
  <si>
    <t>practices and products; recognizes the value and role of the literary and cultural texts</t>
  </si>
  <si>
    <t xml:space="preserve">Language Acquisition Theories and Instructional Practices: Demonstrates an understanding of language acquisition at various developmental levels </t>
  </si>
  <si>
    <t>and uses this knowledge</t>
  </si>
  <si>
    <t xml:space="preserve">Integration of Standards into Curriculum and Instruction: Demonstrates an understanding of the Standards for Foreign Language Learning; </t>
  </si>
  <si>
    <t>integrates the standards into curricular planning, teaching approaches, and evaluation of instructional resources</t>
  </si>
  <si>
    <t xml:space="preserve">Assessment of standards into Curriculum and Instruction: Demonstrates knowledge of multiple means of assessment, reflects on assessment </t>
  </si>
  <si>
    <t>results and adjusts instruction accordingly, and reports assessment results to all stakeholders</t>
  </si>
  <si>
    <t xml:space="preserve">Professionalism: Engages in professional development opportunities and knows the value of foreign language learning to the overall </t>
  </si>
  <si>
    <t>success of all students</t>
  </si>
  <si>
    <t>Professionalism: The business teacher has an obligation to grow continuously as a professional</t>
  </si>
  <si>
    <t xml:space="preserve">Curriculum Development: The business teacher creates, analyzes, revises, and implements curricula to prepare students for a </t>
  </si>
  <si>
    <t>dynamic and rapidly changing world</t>
  </si>
  <si>
    <t>Instruction: The business teacher facilitates the learning of constantly changing subject matter in a dynamic and diverse learning environment</t>
  </si>
  <si>
    <t>Assessment: The business teacher assesses student progress to alter and enhance the learning environment to optimize student success</t>
  </si>
  <si>
    <t>Classroom Environment: The business teacher practices positive and effective techniques for managing the classroom environment</t>
  </si>
  <si>
    <t>Student Organizations: The business teacher integrates professional student organizations into the curriculum.</t>
  </si>
  <si>
    <t>Professional Communication: The business teacher communicates effectively with all publics</t>
  </si>
  <si>
    <t xml:space="preserve">Community Engagement: The business teacher builds relationships with various publics to produce a vibrant, </t>
  </si>
  <si>
    <t>holistic learning environment that reflects the real world and provides tangible and intangible benefits for the student and the community</t>
  </si>
  <si>
    <t>Career Development: The business teacher helps students realize their full potential (within the context of career development</t>
  </si>
  <si>
    <t>Subject Competencies: The business teacher possesses a solid foundation in general educations, business content areas, and professional studies</t>
  </si>
  <si>
    <t>Content</t>
  </si>
  <si>
    <t>3..5</t>
  </si>
  <si>
    <t>.</t>
  </si>
  <si>
    <t>n=13</t>
  </si>
  <si>
    <t>n=0</t>
  </si>
  <si>
    <t>Candidate Learning Outcome Data - Elementary-PBC</t>
  </si>
  <si>
    <t>Candidate Learning Outcome Data - HHP-PBC</t>
  </si>
  <si>
    <t>Candidate Learning Outcome Data - Middle School Science- PBC</t>
  </si>
  <si>
    <t>Candidate Learning Outcome Data - Middle School Math -PBC</t>
  </si>
  <si>
    <t>Candidate Learning Outcome Data - Art-PBC</t>
  </si>
  <si>
    <t>Candidate Learning Outcome Data - Early-PBC</t>
  </si>
  <si>
    <t>n=8</t>
  </si>
  <si>
    <t>Candidate Learning Outcome Data -  MAT Secondary  - Biology</t>
  </si>
  <si>
    <t>Candidate Learning Outcome Data -  MAT Secondary  - Business</t>
  </si>
  <si>
    <t>Candidate Learning Outcome Data -  MAT Secondary  - Chemistry</t>
  </si>
  <si>
    <t>Candidate Learning Outcome Data -  MAT Secondary  - English</t>
  </si>
  <si>
    <t>Candidate Learning Outcome Data -  MAT Secondary  - Math</t>
  </si>
  <si>
    <t>Candidate Learning Outcome Data -  MAT Secondary  - Social Studies</t>
  </si>
  <si>
    <t>n=5</t>
  </si>
  <si>
    <t>Candidate Learning Outcome Data -  MAT Secondary  - French</t>
  </si>
  <si>
    <t>Candidate Learning Outcome Data -  MAT Secondary  - Spanish</t>
  </si>
  <si>
    <t>Candidate Learning Outcome Data - Spanish</t>
  </si>
  <si>
    <t>Candidate Learning Outcome Data - 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</si>
</sst>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indexed="56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  <font>
      <b/>
      <u/>
      <sz val="8"/>
      <name val="Arial"/>
      <family val="2"/>
    </font>
    <font>
      <u/>
      <sz val="8"/>
      <color indexed="8"/>
      <name val="Arial"/>
      <family val="2"/>
    </font>
    <font>
      <sz val="10"/>
      <color theme="1"/>
      <name val="Calibri"/>
      <family val="2"/>
      <scheme val="minor"/>
    </font>
    <font>
      <b/>
      <sz val="8"/>
      <color indexed="56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0" fontId="5" fillId="0" borderId="0" xfId="0" applyFont="1"/>
    <xf numFmtId="0" fontId="6" fillId="0" borderId="0" xfId="0" applyFont="1" applyFill="1"/>
    <xf numFmtId="0" fontId="5" fillId="0" borderId="0" xfId="0" applyFont="1" applyBorder="1" applyAlignment="1">
      <alignment horizontal="center"/>
    </xf>
    <xf numFmtId="0" fontId="6" fillId="0" borderId="0" xfId="0" applyFont="1"/>
    <xf numFmtId="0" fontId="7" fillId="0" borderId="0" xfId="0" applyFont="1" applyBorder="1" applyAlignment="1">
      <alignment horizontal="center"/>
    </xf>
    <xf numFmtId="0" fontId="4" fillId="2" borderId="2" xfId="0" applyFont="1" applyFill="1" applyBorder="1"/>
    <xf numFmtId="0" fontId="3" fillId="2" borderId="2" xfId="0" applyFont="1" applyFill="1" applyBorder="1"/>
    <xf numFmtId="0" fontId="6" fillId="2" borderId="2" xfId="0" applyFont="1" applyFill="1" applyBorder="1"/>
    <xf numFmtId="0" fontId="0" fillId="3" borderId="2" xfId="0" applyFont="1" applyFill="1" applyBorder="1"/>
    <xf numFmtId="0" fontId="2" fillId="2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0" fillId="2" borderId="2" xfId="0" applyFill="1" applyBorder="1"/>
    <xf numFmtId="0" fontId="0" fillId="0" borderId="6" xfId="0" applyBorder="1"/>
    <xf numFmtId="0" fontId="3" fillId="0" borderId="8" xfId="0" applyFont="1" applyBorder="1" applyAlignment="1">
      <alignment horizontal="center"/>
    </xf>
    <xf numFmtId="0" fontId="8" fillId="0" borderId="8" xfId="0" applyFont="1" applyBorder="1" applyAlignment="1">
      <alignment horizontal="right"/>
    </xf>
    <xf numFmtId="0" fontId="2" fillId="4" borderId="9" xfId="0" applyFont="1" applyFill="1" applyBorder="1" applyAlignment="1">
      <alignment horizontal="center"/>
    </xf>
    <xf numFmtId="0" fontId="6" fillId="2" borderId="3" xfId="0" applyFont="1" applyFill="1" applyBorder="1" applyAlignment="1">
      <alignment vertical="center" wrapText="1"/>
    </xf>
    <xf numFmtId="0" fontId="0" fillId="0" borderId="10" xfId="0" applyBorder="1"/>
    <xf numFmtId="0" fontId="4" fillId="2" borderId="3" xfId="0" applyFont="1" applyFill="1" applyBorder="1"/>
    <xf numFmtId="0" fontId="4" fillId="5" borderId="2" xfId="0" applyFont="1" applyFill="1" applyBorder="1" applyAlignment="1">
      <alignment vertical="center" wrapText="1"/>
    </xf>
    <xf numFmtId="0" fontId="6" fillId="0" borderId="0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9" fillId="0" borderId="0" xfId="0" applyFont="1"/>
    <xf numFmtId="0" fontId="3" fillId="0" borderId="0" xfId="0" applyFont="1"/>
    <xf numFmtId="0" fontId="0" fillId="3" borderId="7" xfId="0" applyFont="1" applyFill="1" applyBorder="1"/>
    <xf numFmtId="0" fontId="0" fillId="3" borderId="11" xfId="0" applyFont="1" applyFill="1" applyBorder="1"/>
    <xf numFmtId="0" fontId="8" fillId="0" borderId="12" xfId="0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0" borderId="10" xfId="0" applyFont="1" applyBorder="1"/>
    <xf numFmtId="0" fontId="6" fillId="2" borderId="3" xfId="0" applyFont="1" applyFill="1" applyBorder="1"/>
    <xf numFmtId="0" fontId="4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0" fillId="0" borderId="6" xfId="0" applyFill="1" applyBorder="1"/>
    <xf numFmtId="0" fontId="0" fillId="2" borderId="3" xfId="0" applyFill="1" applyBorder="1"/>
    <xf numFmtId="0" fontId="0" fillId="2" borderId="16" xfId="0" applyFill="1" applyBorder="1"/>
    <xf numFmtId="0" fontId="10" fillId="0" borderId="0" xfId="0" applyFont="1"/>
    <xf numFmtId="0" fontId="10" fillId="0" borderId="0" xfId="0" applyFont="1" applyBorder="1"/>
    <xf numFmtId="0" fontId="14" fillId="0" borderId="0" xfId="0" applyFont="1"/>
    <xf numFmtId="0" fontId="15" fillId="2" borderId="0" xfId="0" applyFont="1" applyFill="1" applyBorder="1" applyAlignment="1">
      <alignment horizontal="left"/>
    </xf>
    <xf numFmtId="0" fontId="11" fillId="0" borderId="10" xfId="0" applyFont="1" applyBorder="1"/>
    <xf numFmtId="0" fontId="10" fillId="0" borderId="10" xfId="0" applyFont="1" applyFill="1" applyBorder="1"/>
    <xf numFmtId="0" fontId="10" fillId="0" borderId="10" xfId="0" applyNumberFormat="1" applyFont="1" applyFill="1" applyBorder="1"/>
    <xf numFmtId="0" fontId="10" fillId="0" borderId="10" xfId="0" applyFont="1" applyBorder="1"/>
    <xf numFmtId="0" fontId="3" fillId="2" borderId="0" xfId="0" applyFont="1" applyFill="1" applyBorder="1" applyAlignment="1">
      <alignment horizontal="center"/>
    </xf>
    <xf numFmtId="0" fontId="0" fillId="2" borderId="0" xfId="0" applyFill="1" applyBorder="1"/>
    <xf numFmtId="0" fontId="15" fillId="2" borderId="17" xfId="0" applyFont="1" applyFill="1" applyBorder="1" applyAlignment="1">
      <alignment horizontal="left"/>
    </xf>
    <xf numFmtId="0" fontId="0" fillId="2" borderId="6" xfId="0" applyFill="1" applyBorder="1"/>
    <xf numFmtId="0" fontId="0" fillId="2" borderId="10" xfId="0" applyFill="1" applyBorder="1"/>
    <xf numFmtId="0" fontId="0" fillId="0" borderId="10" xfId="0" applyFill="1" applyBorder="1"/>
    <xf numFmtId="0" fontId="0" fillId="0" borderId="0" xfId="0" applyFill="1"/>
    <xf numFmtId="0" fontId="2" fillId="2" borderId="6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2" fillId="0" borderId="10" xfId="0" applyFont="1" applyFill="1" applyBorder="1"/>
    <xf numFmtId="0" fontId="1" fillId="0" borderId="10" xfId="0" applyFont="1" applyFill="1" applyBorder="1"/>
    <xf numFmtId="0" fontId="14" fillId="0" borderId="10" xfId="0" applyFont="1" applyBorder="1"/>
    <xf numFmtId="0" fontId="0" fillId="2" borderId="14" xfId="0" applyFill="1" applyBorder="1"/>
    <xf numFmtId="0" fontId="0" fillId="0" borderId="0" xfId="0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0" xfId="0" applyFont="1" applyFill="1" applyAlignment="1">
      <alignment shrinkToFit="1"/>
    </xf>
    <xf numFmtId="0" fontId="5" fillId="0" borderId="0" xfId="0" applyFont="1" applyBorder="1" applyAlignment="1">
      <alignment horizontal="center" shrinkToFit="1"/>
    </xf>
    <xf numFmtId="0" fontId="6" fillId="0" borderId="0" xfId="0" applyFont="1" applyAlignment="1">
      <alignment shrinkToFit="1"/>
    </xf>
    <xf numFmtId="0" fontId="7" fillId="0" borderId="0" xfId="0" applyFont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4" fillId="5" borderId="2" xfId="0" applyFont="1" applyFill="1" applyBorder="1" applyAlignment="1">
      <alignment vertical="center" shrinkToFit="1"/>
    </xf>
    <xf numFmtId="0" fontId="0" fillId="3" borderId="2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0" fillId="3" borderId="11" xfId="0" applyFont="1" applyFill="1" applyBorder="1" applyAlignment="1">
      <alignment shrinkToFit="1"/>
    </xf>
    <xf numFmtId="0" fontId="6" fillId="0" borderId="1" xfId="0" applyFont="1" applyBorder="1" applyAlignment="1">
      <alignment horizontal="center" shrinkToFit="1"/>
    </xf>
    <xf numFmtId="0" fontId="3" fillId="0" borderId="10" xfId="0" applyFont="1" applyBorder="1" applyAlignment="1">
      <alignment shrinkToFit="1"/>
    </xf>
    <xf numFmtId="0" fontId="3" fillId="0" borderId="5" xfId="0" applyFont="1" applyBorder="1" applyAlignment="1">
      <alignment horizontal="center" shrinkToFit="1"/>
    </xf>
    <xf numFmtId="0" fontId="3" fillId="0" borderId="11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3" fillId="0" borderId="10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8" fillId="0" borderId="12" xfId="0" applyFont="1" applyBorder="1" applyAlignment="1">
      <alignment horizontal="right" shrinkToFit="1"/>
    </xf>
    <xf numFmtId="0" fontId="3" fillId="4" borderId="10" xfId="0" applyFont="1" applyFill="1" applyBorder="1" applyAlignment="1">
      <alignment horizontal="center" shrinkToFit="1"/>
    </xf>
    <xf numFmtId="0" fontId="3" fillId="6" borderId="7" xfId="0" applyFont="1" applyFill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4" fillId="2" borderId="3" xfId="0" applyFont="1" applyFill="1" applyBorder="1" applyAlignment="1">
      <alignment shrinkToFit="1"/>
    </xf>
    <xf numFmtId="0" fontId="0" fillId="3" borderId="7" xfId="0" applyFont="1" applyFill="1" applyBorder="1" applyAlignment="1">
      <alignment shrinkToFit="1"/>
    </xf>
    <xf numFmtId="0" fontId="0" fillId="3" borderId="4" xfId="0" applyFont="1" applyFill="1" applyBorder="1" applyAlignment="1">
      <alignment horizontal="center" shrinkToFit="1"/>
    </xf>
    <xf numFmtId="0" fontId="6" fillId="2" borderId="3" xfId="0" applyFont="1" applyFill="1" applyBorder="1" applyAlignment="1">
      <alignment vertical="center" shrinkToFit="1"/>
    </xf>
    <xf numFmtId="0" fontId="9" fillId="0" borderId="0" xfId="0" applyFont="1" applyAlignment="1">
      <alignment shrinkToFit="1"/>
    </xf>
    <xf numFmtId="0" fontId="6" fillId="0" borderId="0" xfId="0" applyFont="1" applyFill="1" applyBorder="1" applyAlignment="1">
      <alignment horizontal="center" shrinkToFit="1"/>
    </xf>
    <xf numFmtId="0" fontId="8" fillId="0" borderId="0" xfId="0" applyFont="1" applyBorder="1" applyAlignment="1">
      <alignment horizontal="right" shrinkToFit="1"/>
    </xf>
    <xf numFmtId="0" fontId="3" fillId="4" borderId="12" xfId="0" applyFont="1" applyFill="1" applyBorder="1" applyAlignment="1">
      <alignment horizontal="center" shrinkToFit="1"/>
    </xf>
    <xf numFmtId="0" fontId="3" fillId="3" borderId="4" xfId="0" applyFont="1" applyFill="1" applyBorder="1" applyAlignment="1">
      <alignment horizontal="center" shrinkToFit="1"/>
    </xf>
    <xf numFmtId="0" fontId="6" fillId="0" borderId="0" xfId="0" applyFont="1" applyBorder="1" applyAlignment="1">
      <alignment horizontal="left" shrinkToFit="1"/>
    </xf>
    <xf numFmtId="0" fontId="3" fillId="0" borderId="11" xfId="0" applyFont="1" applyFill="1" applyBorder="1" applyAlignment="1">
      <alignment horizontal="center" shrinkToFit="1"/>
    </xf>
    <xf numFmtId="0" fontId="3" fillId="0" borderId="14" xfId="0" applyFont="1" applyBorder="1" applyAlignment="1">
      <alignment horizontal="center" shrinkToFit="1"/>
    </xf>
    <xf numFmtId="0" fontId="3" fillId="0" borderId="6" xfId="0" applyFont="1" applyFill="1" applyBorder="1" applyAlignment="1">
      <alignment horizontal="center" shrinkToFit="1"/>
    </xf>
    <xf numFmtId="0" fontId="3" fillId="6" borderId="6" xfId="0" applyFont="1" applyFill="1" applyBorder="1" applyAlignment="1">
      <alignment horizontal="center" shrinkToFit="1"/>
    </xf>
    <xf numFmtId="0" fontId="4" fillId="2" borderId="2" xfId="0" applyFont="1" applyFill="1" applyBorder="1" applyAlignment="1">
      <alignment shrinkToFit="1"/>
    </xf>
    <xf numFmtId="0" fontId="2" fillId="2" borderId="2" xfId="0" applyFont="1" applyFill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0" fontId="3" fillId="0" borderId="0" xfId="0" applyFont="1" applyAlignment="1">
      <alignment shrinkToFit="1"/>
    </xf>
    <xf numFmtId="0" fontId="0" fillId="0" borderId="11" xfId="0" applyFont="1" applyBorder="1" applyAlignment="1">
      <alignment horizontal="center" shrinkToFit="1"/>
    </xf>
    <xf numFmtId="0" fontId="0" fillId="0" borderId="10" xfId="0" applyFont="1" applyBorder="1" applyAlignment="1">
      <alignment horizontal="center" shrinkToFit="1"/>
    </xf>
    <xf numFmtId="0" fontId="6" fillId="2" borderId="3" xfId="0" applyFont="1" applyFill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0" fillId="2" borderId="2" xfId="0" applyFill="1" applyBorder="1" applyAlignment="1">
      <alignment shrinkToFit="1"/>
    </xf>
    <xf numFmtId="0" fontId="0" fillId="2" borderId="4" xfId="0" applyFont="1" applyFill="1" applyBorder="1" applyAlignment="1">
      <alignment horizontal="center" shrinkToFit="1"/>
    </xf>
    <xf numFmtId="0" fontId="3" fillId="0" borderId="0" xfId="0" applyFont="1" applyBorder="1" applyAlignment="1">
      <alignment horizontal="center" shrinkToFit="1"/>
    </xf>
    <xf numFmtId="0" fontId="3" fillId="4" borderId="7" xfId="0" applyFont="1" applyFill="1" applyBorder="1" applyAlignment="1">
      <alignment horizontal="center" shrinkToFit="1"/>
    </xf>
    <xf numFmtId="0" fontId="3" fillId="6" borderId="15" xfId="0" applyFont="1" applyFill="1" applyBorder="1" applyAlignment="1">
      <alignment horizontal="center" shrinkToFit="1"/>
    </xf>
    <xf numFmtId="0" fontId="2" fillId="2" borderId="0" xfId="0" applyFont="1" applyFill="1" applyAlignment="1">
      <alignment shrinkToFit="1"/>
    </xf>
    <xf numFmtId="0" fontId="3" fillId="2" borderId="12" xfId="0" applyFont="1" applyFill="1" applyBorder="1" applyAlignment="1">
      <alignment horizontal="center" shrinkToFit="1"/>
    </xf>
    <xf numFmtId="0" fontId="0" fillId="2" borderId="12" xfId="0" applyFont="1" applyFill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8" fillId="0" borderId="8" xfId="0" applyFont="1" applyBorder="1" applyAlignment="1">
      <alignment horizontal="right" shrinkToFit="1"/>
    </xf>
    <xf numFmtId="0" fontId="2" fillId="4" borderId="7" xfId="0" applyFont="1" applyFill="1" applyBorder="1" applyAlignment="1">
      <alignment horizontal="center" shrinkToFit="1"/>
    </xf>
    <xf numFmtId="0" fontId="3" fillId="4" borderId="13" xfId="0" applyFont="1" applyFill="1" applyBorder="1" applyAlignment="1">
      <alignment horizontal="center" shrinkToFit="1"/>
    </xf>
    <xf numFmtId="0" fontId="15" fillId="2" borderId="0" xfId="0" applyFont="1" applyFill="1" applyBorder="1" applyAlignment="1">
      <alignment horizontal="left" shrinkToFit="1"/>
    </xf>
    <xf numFmtId="0" fontId="2" fillId="2" borderId="0" xfId="0" applyFont="1" applyFill="1" applyBorder="1" applyAlignment="1">
      <alignment horizontal="center" shrinkToFit="1"/>
    </xf>
    <xf numFmtId="0" fontId="3" fillId="2" borderId="0" xfId="0" applyFont="1" applyFill="1" applyBorder="1" applyAlignment="1">
      <alignment horizontal="center" shrinkToFit="1"/>
    </xf>
    <xf numFmtId="0" fontId="10" fillId="0" borderId="0" xfId="0" applyNumberFormat="1" applyFont="1" applyAlignment="1">
      <alignment horizontal="left" shrinkToFit="1"/>
    </xf>
    <xf numFmtId="0" fontId="11" fillId="0" borderId="10" xfId="0" applyFont="1" applyBorder="1" applyAlignment="1">
      <alignment shrinkToFit="1"/>
    </xf>
    <xf numFmtId="0" fontId="0" fillId="0" borderId="0" xfId="0" applyBorder="1" applyAlignment="1">
      <alignment shrinkToFit="1"/>
    </xf>
    <xf numFmtId="0" fontId="10" fillId="0" borderId="0" xfId="0" applyFont="1" applyAlignment="1">
      <alignment horizontal="left" shrinkToFit="1"/>
    </xf>
    <xf numFmtId="0" fontId="10" fillId="0" borderId="10" xfId="0" applyNumberFormat="1" applyFont="1" applyBorder="1" applyAlignment="1">
      <alignment shrinkToFit="1"/>
    </xf>
    <xf numFmtId="0" fontId="4" fillId="5" borderId="2" xfId="0" applyFont="1" applyFill="1" applyBorder="1" applyAlignment="1">
      <alignment vertical="center" wrapText="1" shrinkToFit="1"/>
    </xf>
    <xf numFmtId="0" fontId="6" fillId="2" borderId="3" xfId="0" applyFont="1" applyFill="1" applyBorder="1" applyAlignment="1">
      <alignment vertical="center" wrapText="1" shrinkToFit="1"/>
    </xf>
    <xf numFmtId="0" fontId="0" fillId="3" borderId="7" xfId="0" applyFill="1" applyBorder="1" applyAlignment="1">
      <alignment shrinkToFit="1"/>
    </xf>
    <xf numFmtId="0" fontId="0" fillId="3" borderId="2" xfId="0" applyFill="1" applyBorder="1" applyAlignment="1">
      <alignment shrinkToFit="1"/>
    </xf>
    <xf numFmtId="0" fontId="3" fillId="2" borderId="11" xfId="0" applyFont="1" applyFill="1" applyBorder="1" applyAlignment="1">
      <alignment horizontal="center" shrinkToFit="1"/>
    </xf>
    <xf numFmtId="0" fontId="3" fillId="4" borderId="15" xfId="0" applyFont="1" applyFill="1" applyBorder="1" applyAlignment="1">
      <alignment horizontal="center" shrinkToFit="1"/>
    </xf>
    <xf numFmtId="0" fontId="14" fillId="0" borderId="14" xfId="0" applyFont="1" applyBorder="1" applyAlignment="1">
      <alignment horizontal="center" shrinkToFit="1"/>
    </xf>
    <xf numFmtId="0" fontId="14" fillId="0" borderId="6" xfId="0" applyFont="1" applyBorder="1" applyAlignment="1">
      <alignment horizontal="center" shrinkToFit="1"/>
    </xf>
    <xf numFmtId="0" fontId="14" fillId="0" borderId="10" xfId="0" applyFont="1" applyBorder="1" applyAlignment="1">
      <alignment horizontal="center" shrinkToFit="1"/>
    </xf>
    <xf numFmtId="0" fontId="0" fillId="3" borderId="7" xfId="0" applyFill="1" applyBorder="1"/>
    <xf numFmtId="0" fontId="0" fillId="3" borderId="2" xfId="0" applyFill="1" applyBorder="1"/>
    <xf numFmtId="0" fontId="0" fillId="0" borderId="6" xfId="0" applyFont="1" applyBorder="1"/>
    <xf numFmtId="0" fontId="0" fillId="0" borderId="7" xfId="0" applyBorder="1"/>
    <xf numFmtId="0" fontId="3" fillId="4" borderId="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6" fillId="0" borderId="6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0" borderId="6" xfId="0" applyFont="1" applyFill="1" applyBorder="1"/>
    <xf numFmtId="0" fontId="0" fillId="2" borderId="5" xfId="0" applyFont="1" applyFill="1" applyBorder="1"/>
    <xf numFmtId="0" fontId="0" fillId="0" borderId="18" xfId="0" applyBorder="1"/>
    <xf numFmtId="0" fontId="0" fillId="2" borderId="17" xfId="0" applyFill="1" applyBorder="1"/>
    <xf numFmtId="0" fontId="0" fillId="2" borderId="20" xfId="0" applyFill="1" applyBorder="1"/>
    <xf numFmtId="0" fontId="0" fillId="2" borderId="19" xfId="0" applyFill="1" applyBorder="1"/>
    <xf numFmtId="0" fontId="0" fillId="7" borderId="10" xfId="0" applyFill="1" applyBorder="1"/>
    <xf numFmtId="0" fontId="0" fillId="7" borderId="6" xfId="0" applyFill="1" applyBorder="1"/>
    <xf numFmtId="0" fontId="0" fillId="6" borderId="7" xfId="0" applyFill="1" applyBorder="1"/>
    <xf numFmtId="0" fontId="0" fillId="6" borderId="6" xfId="0" applyFill="1" applyBorder="1"/>
    <xf numFmtId="0" fontId="15" fillId="2" borderId="11" xfId="0" applyFont="1" applyFill="1" applyBorder="1" applyAlignment="1">
      <alignment horizontal="left"/>
    </xf>
    <xf numFmtId="0" fontId="11" fillId="0" borderId="0" xfId="0" applyFont="1" applyBorder="1"/>
    <xf numFmtId="0" fontId="11" fillId="0" borderId="12" xfId="0" applyFont="1" applyBorder="1"/>
    <xf numFmtId="0" fontId="3" fillId="4" borderId="9" xfId="0" applyFont="1" applyFill="1" applyBorder="1" applyAlignment="1">
      <alignment horizontal="center"/>
    </xf>
    <xf numFmtId="0" fontId="0" fillId="0" borderId="5" xfId="0" applyFill="1" applyBorder="1"/>
    <xf numFmtId="0" fontId="14" fillId="0" borderId="0" xfId="0" applyFont="1" applyBorder="1"/>
    <xf numFmtId="0" fontId="3" fillId="0" borderId="0" xfId="0" applyFont="1" applyBorder="1" applyAlignment="1">
      <alignment horizontal="left"/>
    </xf>
    <xf numFmtId="0" fontId="14" fillId="0" borderId="18" xfId="0" applyFont="1" applyBorder="1"/>
    <xf numFmtId="0" fontId="3" fillId="8" borderId="7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0" fillId="2" borderId="19" xfId="0" applyFont="1" applyFill="1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10" fillId="0" borderId="12" xfId="0" applyFont="1" applyBorder="1"/>
    <xf numFmtId="0" fontId="3" fillId="0" borderId="0" xfId="0" applyFont="1" applyAlignment="1">
      <alignment horizontal="left"/>
    </xf>
    <xf numFmtId="0" fontId="3" fillId="2" borderId="11" xfId="0" applyFont="1" applyFill="1" applyBorder="1"/>
    <xf numFmtId="0" fontId="3" fillId="2" borderId="0" xfId="0" applyFont="1" applyFill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5" fillId="2" borderId="24" xfId="0" applyFont="1" applyFill="1" applyBorder="1" applyAlignment="1">
      <alignment horizontal="left"/>
    </xf>
    <xf numFmtId="0" fontId="11" fillId="0" borderId="25" xfId="0" applyFont="1" applyBorder="1"/>
    <xf numFmtId="0" fontId="8" fillId="0" borderId="26" xfId="0" applyFont="1" applyBorder="1" applyAlignment="1">
      <alignment horizontal="right"/>
    </xf>
    <xf numFmtId="0" fontId="0" fillId="6" borderId="12" xfId="0" applyFill="1" applyBorder="1"/>
    <xf numFmtId="0" fontId="0" fillId="0" borderId="23" xfId="0" applyFill="1" applyBorder="1"/>
    <xf numFmtId="0" fontId="3" fillId="0" borderId="28" xfId="0" applyFont="1" applyBorder="1" applyAlignment="1">
      <alignment horizontal="center"/>
    </xf>
    <xf numFmtId="0" fontId="3" fillId="6" borderId="29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14" fillId="0" borderId="12" xfId="0" applyFont="1" applyBorder="1"/>
    <xf numFmtId="0" fontId="8" fillId="0" borderId="13" xfId="0" applyFont="1" applyBorder="1" applyAlignment="1">
      <alignment horizontal="right"/>
    </xf>
    <xf numFmtId="0" fontId="0" fillId="2" borderId="22" xfId="0" applyFill="1" applyBorder="1"/>
    <xf numFmtId="0" fontId="0" fillId="0" borderId="17" xfId="0" applyBorder="1"/>
    <xf numFmtId="0" fontId="0" fillId="0" borderId="12" xfId="0" applyBorder="1"/>
    <xf numFmtId="0" fontId="3" fillId="4" borderId="30" xfId="0" applyFont="1" applyFill="1" applyBorder="1" applyAlignment="1">
      <alignment horizontal="center"/>
    </xf>
    <xf numFmtId="0" fontId="0" fillId="0" borderId="22" xfId="0" applyBorder="1"/>
    <xf numFmtId="0" fontId="8" fillId="0" borderId="4" xfId="0" applyFont="1" applyBorder="1" applyAlignment="1">
      <alignment horizontal="right"/>
    </xf>
    <xf numFmtId="0" fontId="0" fillId="0" borderId="11" xfId="0" applyBorder="1"/>
    <xf numFmtId="0" fontId="0" fillId="0" borderId="4" xfId="0" applyBorder="1"/>
    <xf numFmtId="0" fontId="0" fillId="6" borderId="2" xfId="0" applyFill="1" applyBorder="1"/>
    <xf numFmtId="0" fontId="0" fillId="0" borderId="5" xfId="0" applyBorder="1"/>
    <xf numFmtId="0" fontId="8" fillId="0" borderId="30" xfId="0" applyFont="1" applyBorder="1" applyAlignment="1">
      <alignment horizontal="right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F64"/>
  <sheetViews>
    <sheetView topLeftCell="A34" zoomScale="90" zoomScaleNormal="90" workbookViewId="0">
      <selection activeCell="D52" sqref="D52"/>
    </sheetView>
  </sheetViews>
  <sheetFormatPr defaultRowHeight="15" x14ac:dyDescent="0.25"/>
  <cols>
    <col min="1" max="1" width="5.140625" customWidth="1"/>
    <col min="2" max="2" width="109.140625" customWidth="1"/>
    <col min="3" max="3" width="8.7109375" customWidth="1"/>
  </cols>
  <sheetData>
    <row r="1" spans="1:6" x14ac:dyDescent="0.25">
      <c r="A1" s="92"/>
      <c r="B1" s="93" t="s">
        <v>0</v>
      </c>
      <c r="C1" s="94"/>
      <c r="D1" s="94"/>
      <c r="E1" s="92"/>
      <c r="F1" s="92"/>
    </row>
    <row r="2" spans="1:6" x14ac:dyDescent="0.25">
      <c r="A2" s="92"/>
      <c r="B2" s="95" t="s">
        <v>1</v>
      </c>
      <c r="C2" s="96" t="s">
        <v>52</v>
      </c>
      <c r="D2" s="96" t="s">
        <v>52</v>
      </c>
      <c r="E2" s="96" t="s">
        <v>59</v>
      </c>
      <c r="F2" s="96" t="s">
        <v>251</v>
      </c>
    </row>
    <row r="3" spans="1:6" x14ac:dyDescent="0.25">
      <c r="A3" s="92"/>
      <c r="B3" s="97" t="s">
        <v>2</v>
      </c>
      <c r="C3" s="98" t="s">
        <v>6</v>
      </c>
      <c r="D3" s="98" t="s">
        <v>57</v>
      </c>
      <c r="E3" s="98" t="s">
        <v>94</v>
      </c>
      <c r="F3" s="98" t="s">
        <v>95</v>
      </c>
    </row>
    <row r="4" spans="1:6" x14ac:dyDescent="0.25">
      <c r="A4" s="99"/>
      <c r="B4" s="97"/>
      <c r="C4" s="96" t="s">
        <v>3</v>
      </c>
      <c r="D4" s="96" t="s">
        <v>3</v>
      </c>
      <c r="E4" s="96" t="s">
        <v>3</v>
      </c>
      <c r="F4" s="96" t="s">
        <v>3</v>
      </c>
    </row>
    <row r="5" spans="1:6" ht="14.25" customHeight="1" x14ac:dyDescent="0.25">
      <c r="A5" s="99"/>
      <c r="B5" s="157" t="s">
        <v>5</v>
      </c>
      <c r="C5" s="101"/>
      <c r="D5" s="101"/>
      <c r="E5" s="101"/>
      <c r="F5" s="101"/>
    </row>
    <row r="6" spans="1:6" ht="14.25" customHeight="1" x14ac:dyDescent="0.25">
      <c r="A6" s="99"/>
      <c r="B6" s="102" t="s">
        <v>13</v>
      </c>
      <c r="C6" s="103"/>
      <c r="D6" s="101"/>
      <c r="E6" s="103"/>
      <c r="F6" s="101"/>
    </row>
    <row r="7" spans="1:6" ht="15" customHeight="1" x14ac:dyDescent="0.25">
      <c r="A7" s="104" t="s">
        <v>11</v>
      </c>
      <c r="B7" s="105" t="s">
        <v>31</v>
      </c>
      <c r="C7" s="106">
        <v>3.7</v>
      </c>
      <c r="D7" s="107">
        <v>3.8</v>
      </c>
      <c r="E7" s="106">
        <v>3.5</v>
      </c>
      <c r="F7" s="107">
        <v>3.4</v>
      </c>
    </row>
    <row r="8" spans="1:6" x14ac:dyDescent="0.25">
      <c r="A8" s="104" t="s">
        <v>12</v>
      </c>
      <c r="B8" s="105" t="s">
        <v>32</v>
      </c>
      <c r="C8" s="108">
        <v>3.6</v>
      </c>
      <c r="D8" s="109">
        <v>3.7</v>
      </c>
      <c r="E8" s="108">
        <v>3.6</v>
      </c>
      <c r="F8" s="109">
        <v>3.4</v>
      </c>
    </row>
    <row r="9" spans="1:6" ht="12.75" customHeight="1" x14ac:dyDescent="0.25">
      <c r="A9" s="104" t="s">
        <v>14</v>
      </c>
      <c r="B9" s="105" t="s">
        <v>64</v>
      </c>
      <c r="C9" s="108">
        <v>3.7</v>
      </c>
      <c r="D9" s="109">
        <v>3.6</v>
      </c>
      <c r="E9" s="108">
        <v>3.8</v>
      </c>
      <c r="F9" s="109">
        <v>3.5</v>
      </c>
    </row>
    <row r="10" spans="1:6" ht="13.5" customHeight="1" x14ac:dyDescent="0.25">
      <c r="A10" s="104" t="s">
        <v>15</v>
      </c>
      <c r="B10" s="105" t="s">
        <v>65</v>
      </c>
      <c r="C10" s="108">
        <v>3.5</v>
      </c>
      <c r="D10" s="109">
        <v>3.6</v>
      </c>
      <c r="E10" s="108">
        <v>3.5</v>
      </c>
      <c r="F10" s="109">
        <v>3.4</v>
      </c>
    </row>
    <row r="11" spans="1:6" ht="14.25" customHeight="1" x14ac:dyDescent="0.25">
      <c r="A11" s="110"/>
      <c r="B11" s="111" t="s">
        <v>8</v>
      </c>
      <c r="C11" s="113">
        <v>3.6</v>
      </c>
      <c r="D11" s="112">
        <v>3.7</v>
      </c>
      <c r="E11" s="113">
        <f>AVERAGE(E7:E10)</f>
        <v>3.5999999999999996</v>
      </c>
      <c r="F11" s="112">
        <v>3.4</v>
      </c>
    </row>
    <row r="12" spans="1:6" x14ac:dyDescent="0.25">
      <c r="A12" s="114"/>
      <c r="B12" s="115" t="s">
        <v>7</v>
      </c>
      <c r="C12" s="159" t="s">
        <v>4</v>
      </c>
      <c r="D12" s="117"/>
      <c r="E12" s="116"/>
      <c r="F12" s="117"/>
    </row>
    <row r="13" spans="1:6" x14ac:dyDescent="0.25">
      <c r="A13" s="114"/>
      <c r="B13" s="158" t="s">
        <v>16</v>
      </c>
      <c r="C13" s="101"/>
      <c r="D13" s="117"/>
      <c r="E13" s="101"/>
      <c r="F13" s="117"/>
    </row>
    <row r="14" spans="1:6" x14ac:dyDescent="0.25">
      <c r="A14" s="110" t="s">
        <v>17</v>
      </c>
      <c r="B14" s="119" t="s">
        <v>33</v>
      </c>
      <c r="C14" s="106">
        <v>3.6</v>
      </c>
      <c r="D14" s="109">
        <v>3.5</v>
      </c>
      <c r="E14" s="106">
        <v>3.6</v>
      </c>
      <c r="F14" s="109">
        <v>3.4</v>
      </c>
    </row>
    <row r="15" spans="1:6" x14ac:dyDescent="0.25">
      <c r="A15" s="110" t="s">
        <v>34</v>
      </c>
      <c r="B15" s="119" t="s">
        <v>67</v>
      </c>
      <c r="C15" s="108">
        <v>3.5</v>
      </c>
      <c r="D15" s="109">
        <v>3.5</v>
      </c>
      <c r="E15" s="108">
        <v>3.4</v>
      </c>
      <c r="F15" s="109">
        <v>3.3</v>
      </c>
    </row>
    <row r="16" spans="1:6" x14ac:dyDescent="0.25">
      <c r="A16" s="110" t="s">
        <v>35</v>
      </c>
      <c r="B16" s="119" t="s">
        <v>68</v>
      </c>
      <c r="C16" s="108">
        <v>3.7</v>
      </c>
      <c r="D16" s="109">
        <v>3.6</v>
      </c>
      <c r="E16" s="108">
        <v>3.5</v>
      </c>
      <c r="F16" s="109">
        <v>3.5</v>
      </c>
    </row>
    <row r="17" spans="1:6" x14ac:dyDescent="0.25">
      <c r="A17" s="120" t="s">
        <v>66</v>
      </c>
      <c r="B17" s="119" t="s">
        <v>69</v>
      </c>
      <c r="C17" s="108">
        <v>3.6</v>
      </c>
      <c r="D17" s="109">
        <v>3.7</v>
      </c>
      <c r="E17" s="108">
        <v>3.8</v>
      </c>
      <c r="F17" s="109">
        <v>3.6</v>
      </c>
    </row>
    <row r="18" spans="1:6" x14ac:dyDescent="0.25">
      <c r="A18" s="110"/>
      <c r="B18" s="121" t="s">
        <v>8</v>
      </c>
      <c r="C18" s="113">
        <v>3.6</v>
      </c>
      <c r="D18" s="122">
        <v>3.6</v>
      </c>
      <c r="E18" s="113">
        <v>3.6</v>
      </c>
      <c r="F18" s="122">
        <v>3.5</v>
      </c>
    </row>
    <row r="19" spans="1:6" x14ac:dyDescent="0.25">
      <c r="A19" s="114"/>
      <c r="B19" s="115" t="s">
        <v>70</v>
      </c>
      <c r="C19" s="160" t="s">
        <v>4</v>
      </c>
      <c r="D19" s="123"/>
      <c r="E19" s="101"/>
      <c r="F19" s="117"/>
    </row>
    <row r="20" spans="1:6" x14ac:dyDescent="0.25">
      <c r="A20" s="114"/>
      <c r="B20" s="158" t="s">
        <v>74</v>
      </c>
      <c r="C20" s="101"/>
      <c r="D20" s="123"/>
      <c r="E20" s="101"/>
      <c r="F20" s="117"/>
    </row>
    <row r="21" spans="1:6" x14ac:dyDescent="0.25">
      <c r="A21" s="110" t="s">
        <v>71</v>
      </c>
      <c r="B21" s="124" t="s">
        <v>75</v>
      </c>
      <c r="C21" s="106">
        <v>3.4</v>
      </c>
      <c r="D21" s="125">
        <v>3.7</v>
      </c>
      <c r="E21" s="106">
        <v>3.6</v>
      </c>
      <c r="F21" s="125">
        <v>3.5</v>
      </c>
    </row>
    <row r="22" spans="1:6" x14ac:dyDescent="0.25">
      <c r="A22" s="110" t="s">
        <v>72</v>
      </c>
      <c r="B22" s="124" t="s">
        <v>76</v>
      </c>
      <c r="C22" s="126">
        <v>3.5</v>
      </c>
      <c r="D22" s="127">
        <v>3.4</v>
      </c>
      <c r="E22" s="126">
        <v>3.7</v>
      </c>
      <c r="F22" s="127">
        <v>3.4</v>
      </c>
    </row>
    <row r="23" spans="1:6" x14ac:dyDescent="0.25">
      <c r="A23" s="110" t="s">
        <v>73</v>
      </c>
      <c r="B23" s="124" t="s">
        <v>77</v>
      </c>
      <c r="C23" s="126">
        <v>3.4</v>
      </c>
      <c r="D23" s="127">
        <v>3.6</v>
      </c>
      <c r="E23" s="126">
        <v>3.6</v>
      </c>
      <c r="F23" s="127">
        <v>3.5</v>
      </c>
    </row>
    <row r="24" spans="1:6" x14ac:dyDescent="0.25">
      <c r="A24" s="94"/>
      <c r="B24" s="121" t="s">
        <v>8</v>
      </c>
      <c r="C24" s="128">
        <v>3.4</v>
      </c>
      <c r="D24" s="122">
        <v>3.5</v>
      </c>
      <c r="E24" s="128">
        <v>3.7</v>
      </c>
      <c r="F24" s="122">
        <v>3.5</v>
      </c>
    </row>
    <row r="25" spans="1:6" x14ac:dyDescent="0.25">
      <c r="A25" s="114"/>
      <c r="B25" s="129" t="s">
        <v>9</v>
      </c>
      <c r="C25" s="130"/>
      <c r="D25" s="131"/>
      <c r="E25" s="130"/>
      <c r="F25" s="131"/>
    </row>
    <row r="26" spans="1:6" x14ac:dyDescent="0.25">
      <c r="A26" s="114"/>
      <c r="B26" s="102" t="s">
        <v>10</v>
      </c>
      <c r="C26" s="130"/>
      <c r="D26" s="131"/>
      <c r="E26" s="130"/>
      <c r="F26" s="131"/>
    </row>
    <row r="27" spans="1:6" x14ac:dyDescent="0.25">
      <c r="A27" s="99" t="s">
        <v>19</v>
      </c>
      <c r="B27" s="132" t="s">
        <v>36</v>
      </c>
      <c r="C27" s="106">
        <v>3.5</v>
      </c>
      <c r="D27" s="107">
        <v>3.5</v>
      </c>
      <c r="E27" s="106">
        <v>3.6</v>
      </c>
      <c r="F27" s="107">
        <v>3.5</v>
      </c>
    </row>
    <row r="28" spans="1:6" x14ac:dyDescent="0.25">
      <c r="A28" s="99" t="s">
        <v>22</v>
      </c>
      <c r="B28" s="132" t="s">
        <v>37</v>
      </c>
      <c r="C28" s="108">
        <v>3.6</v>
      </c>
      <c r="D28" s="109">
        <v>3.5</v>
      </c>
      <c r="E28" s="108">
        <v>3.5</v>
      </c>
      <c r="F28" s="109">
        <v>3.4</v>
      </c>
    </row>
    <row r="29" spans="1:6" x14ac:dyDescent="0.25">
      <c r="A29" s="99" t="s">
        <v>23</v>
      </c>
      <c r="B29" s="132" t="s">
        <v>38</v>
      </c>
      <c r="C29" s="108">
        <v>3.5</v>
      </c>
      <c r="D29" s="109">
        <v>3.6</v>
      </c>
      <c r="E29" s="108">
        <v>3.6</v>
      </c>
      <c r="F29" s="109">
        <v>3.5</v>
      </c>
    </row>
    <row r="30" spans="1:6" x14ac:dyDescent="0.25">
      <c r="A30" s="99"/>
      <c r="B30" s="121" t="s">
        <v>8</v>
      </c>
      <c r="C30" s="128">
        <v>3.5</v>
      </c>
      <c r="D30" s="112">
        <v>3.5</v>
      </c>
      <c r="E30" s="128">
        <v>3.6</v>
      </c>
      <c r="F30" s="112">
        <v>3.5</v>
      </c>
    </row>
    <row r="31" spans="1:6" x14ac:dyDescent="0.25">
      <c r="A31" s="99"/>
      <c r="B31" s="135" t="s">
        <v>18</v>
      </c>
      <c r="C31" s="130"/>
      <c r="D31" s="131"/>
      <c r="E31" s="130"/>
      <c r="F31" s="131"/>
    </row>
    <row r="32" spans="1:6" x14ac:dyDescent="0.25">
      <c r="A32" s="99" t="s">
        <v>20</v>
      </c>
      <c r="B32" s="132" t="s">
        <v>39</v>
      </c>
      <c r="C32" s="106">
        <v>3.4</v>
      </c>
      <c r="D32" s="109">
        <v>3.6</v>
      </c>
      <c r="E32" s="106">
        <v>3.7</v>
      </c>
      <c r="F32" s="109">
        <v>3.4</v>
      </c>
    </row>
    <row r="33" spans="1:6" x14ac:dyDescent="0.25">
      <c r="A33" s="99" t="s">
        <v>24</v>
      </c>
      <c r="B33" s="132" t="s">
        <v>40</v>
      </c>
      <c r="C33" s="108">
        <v>3.5</v>
      </c>
      <c r="D33" s="109">
        <v>3.5</v>
      </c>
      <c r="E33" s="108">
        <v>3.6</v>
      </c>
      <c r="F33" s="109">
        <v>3.5</v>
      </c>
    </row>
    <row r="34" spans="1:6" x14ac:dyDescent="0.25">
      <c r="A34" s="99" t="s">
        <v>25</v>
      </c>
      <c r="B34" s="132" t="s">
        <v>78</v>
      </c>
      <c r="C34" s="108">
        <v>3.6</v>
      </c>
      <c r="D34" s="109">
        <v>3.7</v>
      </c>
      <c r="E34" s="108">
        <v>3.5</v>
      </c>
      <c r="F34" s="109">
        <v>3.4</v>
      </c>
    </row>
    <row r="35" spans="1:6" x14ac:dyDescent="0.25">
      <c r="A35" s="99" t="s">
        <v>26</v>
      </c>
      <c r="B35" s="132" t="s">
        <v>79</v>
      </c>
      <c r="C35" s="108">
        <v>3.7</v>
      </c>
      <c r="D35" s="109">
        <v>3.7</v>
      </c>
      <c r="E35" s="108">
        <v>3.6</v>
      </c>
      <c r="F35" s="109">
        <v>3.6</v>
      </c>
    </row>
    <row r="36" spans="1:6" x14ac:dyDescent="0.25">
      <c r="A36" s="94"/>
      <c r="B36" s="121" t="s">
        <v>8</v>
      </c>
      <c r="C36" s="128">
        <v>3.5</v>
      </c>
      <c r="D36" s="112">
        <v>3.6</v>
      </c>
      <c r="E36" s="128">
        <f>AVERAGE(E32:E35)</f>
        <v>3.6</v>
      </c>
      <c r="F36" s="112">
        <v>3.5</v>
      </c>
    </row>
    <row r="37" spans="1:6" x14ac:dyDescent="0.25">
      <c r="A37" s="99"/>
      <c r="B37" s="136" t="s">
        <v>27</v>
      </c>
      <c r="C37" s="137" t="s">
        <v>4</v>
      </c>
      <c r="D37" s="131"/>
      <c r="E37" s="137"/>
      <c r="F37" s="131"/>
    </row>
    <row r="38" spans="1:6" x14ac:dyDescent="0.25">
      <c r="A38" s="99" t="s">
        <v>21</v>
      </c>
      <c r="B38" s="132" t="s">
        <v>41</v>
      </c>
      <c r="C38" s="106">
        <v>3.5</v>
      </c>
      <c r="D38" s="107">
        <v>3.4</v>
      </c>
      <c r="E38" s="106">
        <v>3.5</v>
      </c>
      <c r="F38" s="107">
        <v>3.5</v>
      </c>
    </row>
    <row r="39" spans="1:6" x14ac:dyDescent="0.25">
      <c r="A39" s="99" t="s">
        <v>28</v>
      </c>
      <c r="B39" s="132" t="s">
        <v>80</v>
      </c>
      <c r="C39" s="108">
        <v>3.5</v>
      </c>
      <c r="D39" s="109">
        <v>3.5</v>
      </c>
      <c r="E39" s="108">
        <v>3.6</v>
      </c>
      <c r="F39" s="109">
        <v>3.4</v>
      </c>
    </row>
    <row r="40" spans="1:6" x14ac:dyDescent="0.25">
      <c r="A40" s="99" t="s">
        <v>29</v>
      </c>
      <c r="B40" s="132" t="s">
        <v>81</v>
      </c>
      <c r="C40" s="108">
        <v>3.4</v>
      </c>
      <c r="D40" s="109">
        <v>3.6</v>
      </c>
      <c r="E40" s="108">
        <v>3.5</v>
      </c>
      <c r="F40" s="109">
        <v>3.3</v>
      </c>
    </row>
    <row r="41" spans="1:6" x14ac:dyDescent="0.25">
      <c r="A41" s="99" t="s">
        <v>30</v>
      </c>
      <c r="B41" s="132" t="s">
        <v>82</v>
      </c>
      <c r="C41" s="108">
        <v>3.5</v>
      </c>
      <c r="D41" s="109">
        <v>3.5</v>
      </c>
      <c r="E41" s="108">
        <v>3.6</v>
      </c>
      <c r="F41" s="109">
        <v>3.5</v>
      </c>
    </row>
    <row r="42" spans="1:6" x14ac:dyDescent="0.25">
      <c r="A42" s="139" t="s">
        <v>4</v>
      </c>
      <c r="B42" s="121" t="s">
        <v>8</v>
      </c>
      <c r="C42" s="141">
        <v>3.5</v>
      </c>
      <c r="D42" s="140">
        <f>AVERAGE(D38:D41)</f>
        <v>3.5</v>
      </c>
      <c r="E42" s="141">
        <v>3.6</v>
      </c>
      <c r="F42" s="140">
        <v>3.4</v>
      </c>
    </row>
    <row r="43" spans="1:6" x14ac:dyDescent="0.25">
      <c r="A43" s="92"/>
      <c r="B43" s="142" t="s">
        <v>83</v>
      </c>
      <c r="C43" s="137"/>
      <c r="D43" s="143"/>
      <c r="E43" s="137"/>
      <c r="F43" s="143"/>
    </row>
    <row r="44" spans="1:6" x14ac:dyDescent="0.25">
      <c r="A44" s="92"/>
      <c r="B44" s="102" t="s">
        <v>84</v>
      </c>
      <c r="C44" s="137"/>
      <c r="D44" s="131"/>
      <c r="E44" s="137"/>
      <c r="F44" s="131"/>
    </row>
    <row r="45" spans="1:6" x14ac:dyDescent="0.25">
      <c r="A45" s="132" t="s">
        <v>85</v>
      </c>
      <c r="B45" s="132" t="s">
        <v>88</v>
      </c>
      <c r="C45" s="108">
        <v>3.5</v>
      </c>
      <c r="D45" s="107">
        <v>3.8</v>
      </c>
      <c r="E45" s="108">
        <v>3.5</v>
      </c>
      <c r="F45" s="107">
        <v>3.4</v>
      </c>
    </row>
    <row r="46" spans="1:6" x14ac:dyDescent="0.25">
      <c r="A46" s="132" t="s">
        <v>86</v>
      </c>
      <c r="B46" s="132" t="s">
        <v>89</v>
      </c>
      <c r="C46" s="108">
        <v>3.6</v>
      </c>
      <c r="D46" s="109">
        <v>3.7</v>
      </c>
      <c r="E46" s="108">
        <v>3.7</v>
      </c>
      <c r="F46" s="109">
        <v>3.5</v>
      </c>
    </row>
    <row r="47" spans="1:6" x14ac:dyDescent="0.25">
      <c r="A47" s="132" t="s">
        <v>87</v>
      </c>
      <c r="B47" s="132" t="s">
        <v>90</v>
      </c>
      <c r="C47" s="108">
        <v>3.5</v>
      </c>
      <c r="D47" s="109">
        <v>3.8</v>
      </c>
      <c r="E47" s="108">
        <v>3.6</v>
      </c>
      <c r="F47" s="109">
        <v>3.4</v>
      </c>
    </row>
    <row r="48" spans="1:6" ht="15.75" thickBot="1" x14ac:dyDescent="0.3">
      <c r="A48" s="145" t="s">
        <v>4</v>
      </c>
      <c r="B48" s="146" t="s">
        <v>8</v>
      </c>
      <c r="C48" s="140">
        <v>3.5</v>
      </c>
      <c r="D48" s="122">
        <v>3.8</v>
      </c>
      <c r="E48" s="140">
        <v>3.6</v>
      </c>
      <c r="F48" s="140">
        <v>3.4</v>
      </c>
    </row>
    <row r="49" spans="1:6" x14ac:dyDescent="0.25">
      <c r="A49" s="139"/>
      <c r="B49" s="149" t="s">
        <v>248</v>
      </c>
      <c r="C49" s="150"/>
      <c r="D49" s="151"/>
      <c r="E49" s="150"/>
      <c r="F49" s="161"/>
    </row>
    <row r="50" spans="1:6" x14ac:dyDescent="0.25">
      <c r="A50" s="152">
        <v>1</v>
      </c>
      <c r="B50" s="153" t="s">
        <v>97</v>
      </c>
      <c r="C50" s="126">
        <v>3.5</v>
      </c>
      <c r="D50" s="108">
        <v>3.6</v>
      </c>
      <c r="E50" s="108">
        <v>3.5</v>
      </c>
      <c r="F50" s="109">
        <v>3.4</v>
      </c>
    </row>
    <row r="51" spans="1:6" x14ac:dyDescent="0.25">
      <c r="A51" s="155"/>
      <c r="B51" s="153" t="s">
        <v>98</v>
      </c>
      <c r="C51" s="126"/>
      <c r="D51" s="108"/>
      <c r="E51" s="108"/>
      <c r="F51" s="109"/>
    </row>
    <row r="52" spans="1:6" x14ac:dyDescent="0.25">
      <c r="A52" s="155">
        <v>2</v>
      </c>
      <c r="B52" s="153" t="s">
        <v>99</v>
      </c>
      <c r="C52" s="126">
        <v>3.6</v>
      </c>
      <c r="D52" s="108">
        <v>3.7</v>
      </c>
      <c r="E52" s="108">
        <v>3.6</v>
      </c>
      <c r="F52" s="109">
        <v>3.5</v>
      </c>
    </row>
    <row r="53" spans="1:6" x14ac:dyDescent="0.25">
      <c r="A53" s="155"/>
      <c r="B53" s="153" t="s">
        <v>100</v>
      </c>
      <c r="C53" s="126"/>
      <c r="D53" s="108"/>
      <c r="E53" s="108"/>
      <c r="F53" s="109"/>
    </row>
    <row r="54" spans="1:6" x14ac:dyDescent="0.25">
      <c r="A54" s="155"/>
      <c r="B54" s="153" t="s">
        <v>101</v>
      </c>
      <c r="C54" s="126"/>
      <c r="D54" s="108"/>
      <c r="E54" s="108"/>
      <c r="F54" s="109"/>
    </row>
    <row r="55" spans="1:6" x14ac:dyDescent="0.25">
      <c r="A55" s="155">
        <v>3</v>
      </c>
      <c r="B55" s="153" t="s">
        <v>102</v>
      </c>
      <c r="C55" s="126">
        <v>3.4</v>
      </c>
      <c r="D55" s="108">
        <v>3.5</v>
      </c>
      <c r="E55" s="108">
        <v>3.6</v>
      </c>
      <c r="F55" s="109">
        <v>3.4</v>
      </c>
    </row>
    <row r="56" spans="1:6" x14ac:dyDescent="0.25">
      <c r="A56" s="155"/>
      <c r="B56" s="153" t="s">
        <v>103</v>
      </c>
      <c r="C56" s="126"/>
      <c r="D56" s="108"/>
      <c r="E56" s="108"/>
      <c r="F56" s="109"/>
    </row>
    <row r="57" spans="1:6" x14ac:dyDescent="0.25">
      <c r="A57" s="155">
        <v>4</v>
      </c>
      <c r="B57" s="153" t="s">
        <v>104</v>
      </c>
      <c r="C57" s="126">
        <v>3.5</v>
      </c>
      <c r="D57" s="108">
        <v>3.6</v>
      </c>
      <c r="E57" s="108">
        <v>3.3</v>
      </c>
      <c r="F57" s="109">
        <v>3.2</v>
      </c>
    </row>
    <row r="58" spans="1:6" x14ac:dyDescent="0.25">
      <c r="A58" s="155"/>
      <c r="B58" s="153" t="s">
        <v>105</v>
      </c>
      <c r="C58" s="126"/>
      <c r="D58" s="108"/>
      <c r="E58" s="108"/>
      <c r="F58" s="109"/>
    </row>
    <row r="59" spans="1:6" x14ac:dyDescent="0.25">
      <c r="A59" s="155"/>
      <c r="B59" s="153" t="s">
        <v>106</v>
      </c>
      <c r="C59" s="126"/>
      <c r="D59" s="108"/>
      <c r="E59" s="108"/>
      <c r="F59" s="109"/>
    </row>
    <row r="60" spans="1:6" x14ac:dyDescent="0.25">
      <c r="A60" s="155">
        <v>5</v>
      </c>
      <c r="B60" s="153" t="s">
        <v>107</v>
      </c>
      <c r="C60" s="126">
        <v>3.5</v>
      </c>
      <c r="D60" s="108">
        <v>3.6</v>
      </c>
      <c r="E60" s="108">
        <v>3.5</v>
      </c>
      <c r="F60" s="109">
        <v>3.4</v>
      </c>
    </row>
    <row r="61" spans="1:6" x14ac:dyDescent="0.25">
      <c r="A61" s="155"/>
      <c r="B61" s="153" t="s">
        <v>108</v>
      </c>
      <c r="C61" s="126" t="s">
        <v>4</v>
      </c>
      <c r="D61" s="108" t="s">
        <v>4</v>
      </c>
      <c r="E61" s="108" t="s">
        <v>4</v>
      </c>
      <c r="F61" s="109"/>
    </row>
    <row r="62" spans="1:6" x14ac:dyDescent="0.25">
      <c r="A62" s="155"/>
      <c r="B62" s="153" t="s">
        <v>109</v>
      </c>
      <c r="C62" s="126"/>
      <c r="D62" s="108"/>
      <c r="E62" s="108"/>
      <c r="F62" s="165"/>
    </row>
    <row r="63" spans="1:6" x14ac:dyDescent="0.25">
      <c r="A63" s="155"/>
      <c r="B63" s="156" t="s">
        <v>110</v>
      </c>
      <c r="C63" s="126"/>
      <c r="D63" s="108"/>
      <c r="E63" s="108"/>
      <c r="F63" s="165"/>
    </row>
    <row r="64" spans="1:6" ht="15.75" thickBot="1" x14ac:dyDescent="0.3">
      <c r="B64" s="146" t="s">
        <v>8</v>
      </c>
      <c r="C64" s="162">
        <v>3.5</v>
      </c>
      <c r="D64" s="140">
        <v>3.6</v>
      </c>
      <c r="E64" s="140">
        <v>3.5</v>
      </c>
      <c r="F64" s="122">
        <v>3.4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60"/>
  <sheetViews>
    <sheetView topLeftCell="A22" zoomScale="80" zoomScaleNormal="80" workbookViewId="0">
      <selection activeCell="G57" sqref="G57"/>
    </sheetView>
  </sheetViews>
  <sheetFormatPr defaultRowHeight="15" x14ac:dyDescent="0.25"/>
  <cols>
    <col min="1" max="1" width="4.85546875" customWidth="1"/>
    <col min="2" max="2" width="108.7109375" customWidth="1"/>
  </cols>
  <sheetData>
    <row r="1" spans="1:6" x14ac:dyDescent="0.25">
      <c r="B1" s="4" t="s">
        <v>42</v>
      </c>
      <c r="C1" s="3"/>
      <c r="D1" s="3"/>
    </row>
    <row r="2" spans="1:6" x14ac:dyDescent="0.25">
      <c r="B2" s="5" t="s">
        <v>1</v>
      </c>
      <c r="C2" s="6" t="s">
        <v>52</v>
      </c>
      <c r="D2" s="6" t="s">
        <v>58</v>
      </c>
      <c r="E2" s="6" t="s">
        <v>251</v>
      </c>
      <c r="F2" s="6" t="s">
        <v>58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3.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3.5</v>
      </c>
      <c r="D7" s="45">
        <v>3.4</v>
      </c>
      <c r="E7" s="25">
        <v>3.5</v>
      </c>
      <c r="F7" s="45">
        <v>3.4</v>
      </c>
    </row>
    <row r="8" spans="1:6" x14ac:dyDescent="0.25">
      <c r="A8" s="39" t="s">
        <v>12</v>
      </c>
      <c r="B8" s="42" t="s">
        <v>32</v>
      </c>
      <c r="C8" s="34">
        <v>3.4</v>
      </c>
      <c r="D8" s="46">
        <v>3.5</v>
      </c>
      <c r="E8" s="34">
        <v>3.4</v>
      </c>
      <c r="F8" s="46">
        <v>3.3</v>
      </c>
    </row>
    <row r="9" spans="1:6" x14ac:dyDescent="0.25">
      <c r="A9" s="39" t="s">
        <v>14</v>
      </c>
      <c r="B9" s="42" t="s">
        <v>64</v>
      </c>
      <c r="C9" s="34">
        <v>3.6</v>
      </c>
      <c r="D9" s="46">
        <v>3.4</v>
      </c>
      <c r="E9" s="34">
        <v>3.5</v>
      </c>
      <c r="F9" s="46">
        <v>3.5</v>
      </c>
    </row>
    <row r="10" spans="1:6" x14ac:dyDescent="0.25">
      <c r="A10" s="39" t="s">
        <v>15</v>
      </c>
      <c r="B10" s="42" t="s">
        <v>65</v>
      </c>
      <c r="C10" s="34">
        <v>3.5</v>
      </c>
      <c r="D10" s="46">
        <v>3.3</v>
      </c>
      <c r="E10" s="34">
        <v>3.6</v>
      </c>
      <c r="F10" s="46">
        <v>3.4</v>
      </c>
    </row>
    <row r="11" spans="1:6" x14ac:dyDescent="0.25">
      <c r="A11" s="40"/>
      <c r="B11" s="33" t="s">
        <v>8</v>
      </c>
      <c r="C11" s="61" t="s">
        <v>249</v>
      </c>
      <c r="D11" s="47">
        <f>AVERAGE(D7:D10)</f>
        <v>3.4000000000000004</v>
      </c>
      <c r="E11" s="61">
        <f>AVERAGE(E7:E10)</f>
        <v>3.5</v>
      </c>
      <c r="F11" s="47">
        <f>AVERAGE(F7:F10)</f>
        <v>3.4</v>
      </c>
    </row>
    <row r="12" spans="1:6" x14ac:dyDescent="0.25">
      <c r="A12" s="2"/>
      <c r="B12" s="22" t="s">
        <v>7</v>
      </c>
      <c r="C12" s="166" t="s">
        <v>4</v>
      </c>
      <c r="D12" s="59"/>
      <c r="E12" s="31"/>
      <c r="F12" s="48"/>
    </row>
    <row r="13" spans="1:6" x14ac:dyDescent="0.25">
      <c r="A13" s="2"/>
      <c r="B13" s="20" t="s">
        <v>16</v>
      </c>
      <c r="C13" s="12"/>
      <c r="D13" s="59"/>
      <c r="E13" s="12"/>
      <c r="F13" s="48"/>
    </row>
    <row r="14" spans="1:6" ht="13.5" customHeight="1" x14ac:dyDescent="0.25">
      <c r="A14" s="40" t="s">
        <v>17</v>
      </c>
      <c r="B14" s="29" t="s">
        <v>33</v>
      </c>
      <c r="C14" s="25">
        <v>3.4</v>
      </c>
      <c r="D14" s="46">
        <v>3.5</v>
      </c>
      <c r="E14" s="25">
        <v>3.4</v>
      </c>
      <c r="F14" s="46">
        <v>3.4</v>
      </c>
    </row>
    <row r="15" spans="1:6" x14ac:dyDescent="0.25">
      <c r="A15" s="40" t="s">
        <v>34</v>
      </c>
      <c r="B15" s="29" t="s">
        <v>67</v>
      </c>
      <c r="C15" s="34">
        <v>3.5</v>
      </c>
      <c r="D15" s="46">
        <v>3.4</v>
      </c>
      <c r="E15" s="34">
        <v>3.5</v>
      </c>
      <c r="F15" s="46">
        <v>3.5</v>
      </c>
    </row>
    <row r="16" spans="1:6" x14ac:dyDescent="0.25">
      <c r="A16" s="40" t="s">
        <v>35</v>
      </c>
      <c r="B16" s="29" t="s">
        <v>68</v>
      </c>
      <c r="C16" s="34">
        <v>3.4</v>
      </c>
      <c r="D16" s="46">
        <v>3.3</v>
      </c>
      <c r="E16" s="34">
        <v>3.6</v>
      </c>
      <c r="F16" s="46">
        <v>3.4</v>
      </c>
    </row>
    <row r="17" spans="1:6" x14ac:dyDescent="0.25">
      <c r="A17" s="41" t="s">
        <v>66</v>
      </c>
      <c r="B17" s="29" t="s">
        <v>69</v>
      </c>
      <c r="C17" s="34">
        <v>3.6</v>
      </c>
      <c r="D17" s="46">
        <v>3.5</v>
      </c>
      <c r="E17" s="34">
        <v>3.5</v>
      </c>
      <c r="F17" s="46">
        <v>3.4</v>
      </c>
    </row>
    <row r="18" spans="1:6" x14ac:dyDescent="0.25">
      <c r="A18" s="40"/>
      <c r="B18" s="14" t="s">
        <v>8</v>
      </c>
      <c r="C18" s="61">
        <v>3.5</v>
      </c>
      <c r="D18" s="49">
        <v>3.4</v>
      </c>
      <c r="E18" s="61">
        <f>AVERAGE(E14:E17)</f>
        <v>3.5</v>
      </c>
      <c r="F18" s="49">
        <v>3.4</v>
      </c>
    </row>
    <row r="19" spans="1:6" x14ac:dyDescent="0.25">
      <c r="A19" s="2"/>
      <c r="B19" s="22" t="s">
        <v>70</v>
      </c>
      <c r="C19" s="167" t="s">
        <v>4</v>
      </c>
      <c r="D19" s="59"/>
      <c r="E19" s="12"/>
      <c r="F19" s="48"/>
    </row>
    <row r="20" spans="1:6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3.7</v>
      </c>
      <c r="D21" s="50">
        <v>3.6</v>
      </c>
      <c r="E21" s="25">
        <v>3.5</v>
      </c>
      <c r="F21" s="50">
        <v>3.2</v>
      </c>
    </row>
    <row r="22" spans="1:6" x14ac:dyDescent="0.25">
      <c r="A22" s="40" t="s">
        <v>72</v>
      </c>
      <c r="B22" s="24" t="s">
        <v>76</v>
      </c>
      <c r="C22" s="36">
        <v>3.6</v>
      </c>
      <c r="D22" s="51">
        <v>3.5</v>
      </c>
      <c r="E22" s="36">
        <v>3.4</v>
      </c>
      <c r="F22" s="51">
        <v>3.3</v>
      </c>
    </row>
    <row r="23" spans="1:6" x14ac:dyDescent="0.25">
      <c r="A23" s="40" t="s">
        <v>73</v>
      </c>
      <c r="B23" s="24" t="s">
        <v>77</v>
      </c>
      <c r="C23" s="36">
        <v>3.5</v>
      </c>
      <c r="D23" s="51">
        <v>3.4</v>
      </c>
      <c r="E23" s="36">
        <v>3.5</v>
      </c>
      <c r="F23" s="51">
        <v>3.5</v>
      </c>
    </row>
    <row r="24" spans="1:6" x14ac:dyDescent="0.25">
      <c r="A24" s="3"/>
      <c r="B24" s="14" t="s">
        <v>8</v>
      </c>
      <c r="C24" s="62">
        <v>3.6</v>
      </c>
      <c r="D24" s="49">
        <f>AVERAGE(D21:D23)</f>
        <v>3.5</v>
      </c>
      <c r="E24" s="62">
        <v>3.5</v>
      </c>
      <c r="F24" s="49">
        <v>3.3</v>
      </c>
    </row>
    <row r="25" spans="1:6" x14ac:dyDescent="0.25">
      <c r="A25" s="2"/>
      <c r="B25" s="9" t="s">
        <v>9</v>
      </c>
      <c r="C25" s="13" t="s">
        <v>4</v>
      </c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3.6</v>
      </c>
      <c r="D27" s="45">
        <v>3.5</v>
      </c>
      <c r="E27" s="25">
        <v>3.6</v>
      </c>
      <c r="F27" s="45">
        <v>3.5</v>
      </c>
    </row>
    <row r="28" spans="1:6" x14ac:dyDescent="0.25">
      <c r="A28" s="1" t="s">
        <v>22</v>
      </c>
      <c r="B28" s="30" t="s">
        <v>37</v>
      </c>
      <c r="C28" s="34">
        <v>3.3</v>
      </c>
      <c r="D28" s="46">
        <v>3.4</v>
      </c>
      <c r="E28" s="34">
        <v>3.5</v>
      </c>
      <c r="F28" s="46">
        <v>3.4</v>
      </c>
    </row>
    <row r="29" spans="1:6" x14ac:dyDescent="0.25">
      <c r="A29" s="1" t="s">
        <v>23</v>
      </c>
      <c r="B29" s="30" t="s">
        <v>38</v>
      </c>
      <c r="C29" s="34">
        <v>3.4</v>
      </c>
      <c r="D29" s="46">
        <v>3.3</v>
      </c>
      <c r="E29" s="34">
        <v>3.4</v>
      </c>
      <c r="F29" s="46">
        <v>3.3</v>
      </c>
    </row>
    <row r="30" spans="1:6" x14ac:dyDescent="0.25">
      <c r="A30" s="1"/>
      <c r="B30" s="14" t="s">
        <v>8</v>
      </c>
      <c r="C30" s="62">
        <v>3.4</v>
      </c>
      <c r="D30" s="47">
        <f>AVERAGE(D27:D29)</f>
        <v>3.4</v>
      </c>
      <c r="E30" s="62">
        <v>3.5</v>
      </c>
      <c r="F30" s="47">
        <v>3.4</v>
      </c>
    </row>
    <row r="31" spans="1:6" x14ac:dyDescent="0.25">
      <c r="A31" s="1"/>
      <c r="B31" s="43" t="s">
        <v>18</v>
      </c>
      <c r="C31" s="13" t="s">
        <v>4</v>
      </c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3.5</v>
      </c>
      <c r="D32" s="46">
        <v>3.4</v>
      </c>
      <c r="E32" s="25">
        <v>3.5</v>
      </c>
      <c r="F32" s="46">
        <v>3.4</v>
      </c>
    </row>
    <row r="33" spans="1:6" x14ac:dyDescent="0.25">
      <c r="A33" s="1" t="s">
        <v>24</v>
      </c>
      <c r="B33" s="30" t="s">
        <v>40</v>
      </c>
      <c r="C33" s="34">
        <v>3.4</v>
      </c>
      <c r="D33" s="46">
        <v>3.3</v>
      </c>
      <c r="E33" s="34">
        <v>3.5</v>
      </c>
      <c r="F33" s="46">
        <v>3.5</v>
      </c>
    </row>
    <row r="34" spans="1:6" x14ac:dyDescent="0.25">
      <c r="A34" s="1" t="s">
        <v>25</v>
      </c>
      <c r="B34" s="30" t="s">
        <v>78</v>
      </c>
      <c r="C34" s="34">
        <v>3.5</v>
      </c>
      <c r="D34" s="46">
        <v>3.3</v>
      </c>
      <c r="E34" s="34">
        <v>3.4</v>
      </c>
      <c r="F34" s="46">
        <v>3.4</v>
      </c>
    </row>
    <row r="35" spans="1:6" ht="13.5" customHeight="1" x14ac:dyDescent="0.25">
      <c r="A35" s="1" t="s">
        <v>26</v>
      </c>
      <c r="B35" s="30" t="s">
        <v>79</v>
      </c>
      <c r="C35" s="34">
        <v>3.4</v>
      </c>
      <c r="D35" s="46">
        <v>3.4</v>
      </c>
      <c r="E35" s="34">
        <v>3.5</v>
      </c>
      <c r="F35" s="46">
        <v>3.3</v>
      </c>
    </row>
    <row r="36" spans="1:6" x14ac:dyDescent="0.25">
      <c r="A36" s="3"/>
      <c r="B36" s="14" t="s">
        <v>8</v>
      </c>
      <c r="C36" s="62">
        <v>3.4</v>
      </c>
      <c r="D36" s="47">
        <v>3.4</v>
      </c>
      <c r="E36" s="62">
        <v>3.5</v>
      </c>
      <c r="F36" s="47">
        <f>AVERAGE(F32:F35)</f>
        <v>3.4000000000000004</v>
      </c>
    </row>
    <row r="37" spans="1:6" x14ac:dyDescent="0.25">
      <c r="A37" s="1"/>
      <c r="B37" s="10" t="s">
        <v>27</v>
      </c>
      <c r="C37" s="15" t="s">
        <v>4</v>
      </c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3.5</v>
      </c>
      <c r="D38" s="45">
        <v>3.3</v>
      </c>
      <c r="E38" s="25">
        <v>3.5</v>
      </c>
      <c r="F38" s="45">
        <v>3.4</v>
      </c>
    </row>
    <row r="39" spans="1:6" x14ac:dyDescent="0.25">
      <c r="A39" s="1" t="s">
        <v>28</v>
      </c>
      <c r="B39" s="30" t="s">
        <v>80</v>
      </c>
      <c r="C39" s="34">
        <v>3.4</v>
      </c>
      <c r="D39" s="46">
        <v>3.4</v>
      </c>
      <c r="E39" s="34">
        <v>3.4</v>
      </c>
      <c r="F39" s="46">
        <v>3.3</v>
      </c>
    </row>
    <row r="40" spans="1:6" x14ac:dyDescent="0.25">
      <c r="A40" s="1" t="s">
        <v>29</v>
      </c>
      <c r="B40" s="30" t="s">
        <v>81</v>
      </c>
      <c r="C40" s="34">
        <v>3.4</v>
      </c>
      <c r="D40" s="46">
        <v>3.5</v>
      </c>
      <c r="E40" s="34">
        <v>3.4</v>
      </c>
      <c r="F40" s="46">
        <v>3.5</v>
      </c>
    </row>
    <row r="41" spans="1:6" x14ac:dyDescent="0.25">
      <c r="A41" s="1" t="s">
        <v>30</v>
      </c>
      <c r="B41" s="30" t="s">
        <v>82</v>
      </c>
      <c r="C41" s="34">
        <v>3.5</v>
      </c>
      <c r="D41" s="46">
        <v>3.6</v>
      </c>
      <c r="E41" s="34">
        <v>3.5</v>
      </c>
      <c r="F41" s="46">
        <v>3.4</v>
      </c>
    </row>
    <row r="42" spans="1:6" x14ac:dyDescent="0.25">
      <c r="A42" s="26" t="s">
        <v>4</v>
      </c>
      <c r="B42" s="14" t="s">
        <v>8</v>
      </c>
      <c r="C42" s="63">
        <v>3.4</v>
      </c>
      <c r="D42" s="56">
        <v>3.5</v>
      </c>
      <c r="E42" s="63">
        <v>3.5</v>
      </c>
      <c r="F42" s="56">
        <f>AVERAGE(F38:F41)</f>
        <v>3.4</v>
      </c>
    </row>
    <row r="43" spans="1:6" x14ac:dyDescent="0.25">
      <c r="B43" s="44" t="s">
        <v>83</v>
      </c>
      <c r="C43" s="15" t="s">
        <v>4</v>
      </c>
      <c r="D43" s="60"/>
      <c r="E43" s="15"/>
      <c r="F43" s="60"/>
    </row>
    <row r="44" spans="1:6" x14ac:dyDescent="0.25">
      <c r="B44" s="11" t="s">
        <v>84</v>
      </c>
      <c r="C44" s="69"/>
      <c r="D44" s="52"/>
      <c r="E44" s="69"/>
      <c r="F44" s="52"/>
    </row>
    <row r="45" spans="1:6" x14ac:dyDescent="0.25">
      <c r="A45" s="30" t="s">
        <v>85</v>
      </c>
      <c r="B45" s="30" t="s">
        <v>88</v>
      </c>
      <c r="C45" s="34">
        <v>3.4</v>
      </c>
      <c r="D45" s="45">
        <v>3.4</v>
      </c>
      <c r="E45" s="34">
        <v>3.5</v>
      </c>
      <c r="F45" s="45">
        <v>3.3</v>
      </c>
    </row>
    <row r="46" spans="1:6" x14ac:dyDescent="0.25">
      <c r="A46" s="30" t="s">
        <v>86</v>
      </c>
      <c r="B46" s="30" t="s">
        <v>89</v>
      </c>
      <c r="C46" s="34">
        <v>3.5</v>
      </c>
      <c r="D46" s="46">
        <v>3.3</v>
      </c>
      <c r="E46" s="34">
        <v>3.3</v>
      </c>
      <c r="F46" s="46">
        <v>3.3</v>
      </c>
    </row>
    <row r="47" spans="1:6" x14ac:dyDescent="0.25">
      <c r="A47" s="30" t="s">
        <v>87</v>
      </c>
      <c r="B47" s="30" t="s">
        <v>90</v>
      </c>
      <c r="C47" s="34">
        <v>3.4</v>
      </c>
      <c r="D47" s="46">
        <v>3.2</v>
      </c>
      <c r="E47" s="34">
        <v>3.4</v>
      </c>
      <c r="F47" s="46">
        <v>3.4</v>
      </c>
    </row>
    <row r="48" spans="1:6" ht="15.75" thickBot="1" x14ac:dyDescent="0.3">
      <c r="A48" s="17" t="s">
        <v>4</v>
      </c>
      <c r="B48" s="18" t="s">
        <v>8</v>
      </c>
      <c r="C48" s="56">
        <v>3.4</v>
      </c>
      <c r="D48" s="49">
        <f>AVERAGE(D45:D47)</f>
        <v>3.2999999999999994</v>
      </c>
      <c r="E48" s="56">
        <v>3.4</v>
      </c>
      <c r="F48" s="49">
        <v>3.3</v>
      </c>
    </row>
    <row r="49" spans="1:6" x14ac:dyDescent="0.25">
      <c r="A49" s="65" t="s">
        <v>4</v>
      </c>
      <c r="B49" s="74" t="s">
        <v>248</v>
      </c>
      <c r="C49" s="80"/>
      <c r="D49" s="80"/>
      <c r="E49" s="80"/>
      <c r="F49" s="217"/>
    </row>
    <row r="50" spans="1:6" x14ac:dyDescent="0.25">
      <c r="A50" s="65">
        <v>1</v>
      </c>
      <c r="B50" s="75" t="s">
        <v>111</v>
      </c>
      <c r="C50" s="51">
        <v>3.5</v>
      </c>
      <c r="D50" s="34">
        <v>3.5</v>
      </c>
      <c r="E50" s="34">
        <v>3.5</v>
      </c>
      <c r="F50" s="46">
        <v>3.4</v>
      </c>
    </row>
    <row r="51" spans="1:6" x14ac:dyDescent="0.25">
      <c r="A51" s="65">
        <v>2</v>
      </c>
      <c r="B51" s="76" t="s">
        <v>112</v>
      </c>
      <c r="C51" s="51">
        <v>3.5</v>
      </c>
      <c r="D51" s="34">
        <v>3.5</v>
      </c>
      <c r="E51" s="34">
        <v>3.4</v>
      </c>
      <c r="F51" s="46">
        <v>3.5</v>
      </c>
    </row>
    <row r="52" spans="1:6" x14ac:dyDescent="0.25">
      <c r="A52" s="65">
        <v>3</v>
      </c>
      <c r="B52" s="75" t="s">
        <v>113</v>
      </c>
      <c r="C52" s="51">
        <v>3.4</v>
      </c>
      <c r="D52" s="34">
        <v>3.6</v>
      </c>
      <c r="E52" s="34">
        <v>3.5</v>
      </c>
      <c r="F52" s="46">
        <v>3.4</v>
      </c>
    </row>
    <row r="53" spans="1:6" x14ac:dyDescent="0.25">
      <c r="A53" s="65"/>
      <c r="B53" s="77" t="s">
        <v>114</v>
      </c>
      <c r="C53" s="34"/>
      <c r="D53" s="34"/>
      <c r="E53" s="34"/>
      <c r="F53" s="46"/>
    </row>
    <row r="54" spans="1:6" x14ac:dyDescent="0.25">
      <c r="A54" s="65" t="s">
        <v>4</v>
      </c>
      <c r="B54" s="76" t="s">
        <v>115</v>
      </c>
      <c r="C54" s="34" t="s">
        <v>4</v>
      </c>
      <c r="D54" s="34"/>
      <c r="E54" s="34"/>
      <c r="F54" s="46"/>
    </row>
    <row r="55" spans="1:6" x14ac:dyDescent="0.25">
      <c r="A55" s="65" t="s">
        <v>4</v>
      </c>
      <c r="B55" s="75" t="s">
        <v>116</v>
      </c>
      <c r="C55" s="34"/>
      <c r="D55" s="34"/>
      <c r="E55" s="34"/>
      <c r="F55" s="46"/>
    </row>
    <row r="56" spans="1:6" x14ac:dyDescent="0.25">
      <c r="A56" s="65" t="s">
        <v>4</v>
      </c>
      <c r="B56" s="76" t="s">
        <v>117</v>
      </c>
      <c r="C56" s="34"/>
      <c r="D56" s="34"/>
      <c r="E56" s="34"/>
      <c r="F56" s="46"/>
    </row>
    <row r="57" spans="1:6" x14ac:dyDescent="0.25">
      <c r="A57">
        <v>4</v>
      </c>
      <c r="B57" s="75" t="s">
        <v>118</v>
      </c>
      <c r="C57" s="51">
        <v>3.5</v>
      </c>
      <c r="D57" s="51">
        <v>3.6</v>
      </c>
      <c r="E57" s="51">
        <v>3.6</v>
      </c>
      <c r="F57" s="201">
        <v>3.5</v>
      </c>
    </row>
    <row r="58" spans="1:6" x14ac:dyDescent="0.25">
      <c r="B58" s="77" t="s">
        <v>119</v>
      </c>
      <c r="C58" s="51" t="s">
        <v>4</v>
      </c>
      <c r="D58" s="51" t="s">
        <v>4</v>
      </c>
      <c r="E58" s="51" t="s">
        <v>4</v>
      </c>
      <c r="F58" s="201" t="s">
        <v>4</v>
      </c>
    </row>
    <row r="59" spans="1:6" x14ac:dyDescent="0.25">
      <c r="B59" s="78" t="s">
        <v>120</v>
      </c>
      <c r="C59" s="34"/>
      <c r="D59" s="34"/>
      <c r="E59" s="34"/>
      <c r="F59" s="46"/>
    </row>
    <row r="60" spans="1:6" ht="15.75" thickBot="1" x14ac:dyDescent="0.3">
      <c r="B60" s="18" t="s">
        <v>8</v>
      </c>
      <c r="C60" s="56">
        <v>3.5</v>
      </c>
      <c r="D60" s="49">
        <v>3.6</v>
      </c>
      <c r="E60" s="56">
        <v>3.5</v>
      </c>
      <c r="F60" s="49">
        <v>3.5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63"/>
  <sheetViews>
    <sheetView zoomScale="80" zoomScaleNormal="80" workbookViewId="0">
      <selection activeCell="M65" sqref="M65"/>
    </sheetView>
  </sheetViews>
  <sheetFormatPr defaultRowHeight="15" x14ac:dyDescent="0.25"/>
  <cols>
    <col min="1" max="1" width="4.5703125" customWidth="1"/>
    <col min="2" max="2" width="137.140625" customWidth="1"/>
  </cols>
  <sheetData>
    <row r="1" spans="1:6" x14ac:dyDescent="0.25">
      <c r="B1" s="4" t="s">
        <v>43</v>
      </c>
      <c r="C1" s="3"/>
      <c r="D1" s="3"/>
    </row>
    <row r="2" spans="1:6" x14ac:dyDescent="0.25">
      <c r="B2" s="5" t="s">
        <v>1</v>
      </c>
      <c r="C2" s="6" t="s">
        <v>53</v>
      </c>
      <c r="D2" s="6" t="s">
        <v>59</v>
      </c>
      <c r="E2" s="6" t="s">
        <v>61</v>
      </c>
      <c r="F2" s="6" t="s">
        <v>259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4.2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3.5</v>
      </c>
      <c r="D7" s="45">
        <v>3.4</v>
      </c>
      <c r="E7" s="25">
        <v>3.5</v>
      </c>
      <c r="F7" s="45">
        <v>3.3</v>
      </c>
    </row>
    <row r="8" spans="1:6" x14ac:dyDescent="0.25">
      <c r="A8" s="39" t="s">
        <v>12</v>
      </c>
      <c r="B8" s="42" t="s">
        <v>32</v>
      </c>
      <c r="C8" s="34">
        <v>3.4</v>
      </c>
      <c r="D8" s="46">
        <v>3.3</v>
      </c>
      <c r="E8" s="34">
        <v>3.5</v>
      </c>
      <c r="F8" s="46">
        <v>3.4</v>
      </c>
    </row>
    <row r="9" spans="1:6" x14ac:dyDescent="0.25">
      <c r="A9" s="39" t="s">
        <v>14</v>
      </c>
      <c r="B9" s="42" t="s">
        <v>64</v>
      </c>
      <c r="C9" s="34">
        <v>3.4</v>
      </c>
      <c r="D9" s="46">
        <v>3.5</v>
      </c>
      <c r="E9" s="34">
        <v>3.6</v>
      </c>
      <c r="F9" s="46">
        <v>3.2</v>
      </c>
    </row>
    <row r="10" spans="1:6" x14ac:dyDescent="0.25">
      <c r="A10" s="39" t="s">
        <v>15</v>
      </c>
      <c r="B10" s="42" t="s">
        <v>65</v>
      </c>
      <c r="C10" s="34">
        <v>3.5</v>
      </c>
      <c r="D10" s="46">
        <v>3.4</v>
      </c>
      <c r="E10" s="34">
        <v>3.4</v>
      </c>
      <c r="F10" s="46">
        <v>3.5</v>
      </c>
    </row>
    <row r="11" spans="1:6" x14ac:dyDescent="0.25">
      <c r="A11" s="40"/>
      <c r="B11" s="33" t="s">
        <v>8</v>
      </c>
      <c r="C11" s="61">
        <v>3.5</v>
      </c>
      <c r="D11" s="47">
        <f>AVERAGE(D7:D10)</f>
        <v>3.4</v>
      </c>
      <c r="E11" s="61">
        <f>AVERAGE(E7:E10)</f>
        <v>3.5</v>
      </c>
      <c r="F11" s="47">
        <v>3.4</v>
      </c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x14ac:dyDescent="0.25">
      <c r="A13" s="2"/>
      <c r="B13" s="20" t="s">
        <v>16</v>
      </c>
      <c r="C13" s="12"/>
      <c r="D13" s="59"/>
      <c r="E13" s="12"/>
      <c r="F13" s="48"/>
    </row>
    <row r="14" spans="1:6" ht="14.25" customHeight="1" x14ac:dyDescent="0.25">
      <c r="A14" s="40" t="s">
        <v>17</v>
      </c>
      <c r="B14" s="29" t="s">
        <v>33</v>
      </c>
      <c r="C14" s="25">
        <v>3.3</v>
      </c>
      <c r="D14" s="46">
        <v>3.4</v>
      </c>
      <c r="E14" s="25">
        <v>3.6</v>
      </c>
      <c r="F14" s="46">
        <v>3.5</v>
      </c>
    </row>
    <row r="15" spans="1:6" x14ac:dyDescent="0.25">
      <c r="A15" s="40" t="s">
        <v>34</v>
      </c>
      <c r="B15" s="29" t="s">
        <v>67</v>
      </c>
      <c r="C15" s="34">
        <v>3.4</v>
      </c>
      <c r="D15" s="46">
        <v>3.3</v>
      </c>
      <c r="E15" s="34">
        <v>3.5</v>
      </c>
      <c r="F15" s="46">
        <v>3.6</v>
      </c>
    </row>
    <row r="16" spans="1:6" x14ac:dyDescent="0.25">
      <c r="A16" s="40" t="s">
        <v>35</v>
      </c>
      <c r="B16" s="29" t="s">
        <v>68</v>
      </c>
      <c r="C16" s="34">
        <v>3.5</v>
      </c>
      <c r="D16" s="46">
        <v>3.4</v>
      </c>
      <c r="E16" s="34">
        <v>3.4</v>
      </c>
      <c r="F16" s="46">
        <v>3.2</v>
      </c>
    </row>
    <row r="17" spans="1:6" x14ac:dyDescent="0.25">
      <c r="A17" s="41" t="s">
        <v>66</v>
      </c>
      <c r="B17" s="29" t="s">
        <v>69</v>
      </c>
      <c r="C17" s="34">
        <v>3.4</v>
      </c>
      <c r="D17" s="46">
        <v>3.5</v>
      </c>
      <c r="E17" s="34">
        <v>3.6</v>
      </c>
      <c r="F17" s="46">
        <v>3.5</v>
      </c>
    </row>
    <row r="18" spans="1:6" x14ac:dyDescent="0.25">
      <c r="A18" s="40"/>
      <c r="B18" s="14" t="s">
        <v>8</v>
      </c>
      <c r="C18" s="61">
        <v>3.4</v>
      </c>
      <c r="D18" s="49">
        <f>AVERAGE(D14:D17)</f>
        <v>3.4</v>
      </c>
      <c r="E18" s="61">
        <v>3.5</v>
      </c>
      <c r="F18" s="49">
        <v>3.5</v>
      </c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3.4</v>
      </c>
      <c r="D21" s="50">
        <v>3.5</v>
      </c>
      <c r="E21" s="25">
        <v>3.4</v>
      </c>
      <c r="F21" s="50">
        <v>3.3</v>
      </c>
    </row>
    <row r="22" spans="1:6" x14ac:dyDescent="0.25">
      <c r="A22" s="40" t="s">
        <v>72</v>
      </c>
      <c r="B22" s="24" t="s">
        <v>76</v>
      </c>
      <c r="C22" s="36">
        <v>3.5</v>
      </c>
      <c r="D22" s="51">
        <v>3.4</v>
      </c>
      <c r="E22" s="36">
        <v>3.5</v>
      </c>
      <c r="F22" s="51">
        <v>3.4</v>
      </c>
    </row>
    <row r="23" spans="1:6" x14ac:dyDescent="0.25">
      <c r="A23" s="40" t="s">
        <v>73</v>
      </c>
      <c r="B23" s="24" t="s">
        <v>77</v>
      </c>
      <c r="C23" s="36">
        <v>3.5</v>
      </c>
      <c r="D23" s="51">
        <v>3.3</v>
      </c>
      <c r="E23" s="36">
        <v>3.4</v>
      </c>
      <c r="F23" s="51">
        <v>3.3</v>
      </c>
    </row>
    <row r="24" spans="1:6" x14ac:dyDescent="0.25">
      <c r="A24" s="3"/>
      <c r="B24" s="14" t="s">
        <v>8</v>
      </c>
      <c r="C24" s="62">
        <v>3.5</v>
      </c>
      <c r="D24" s="49">
        <f>AVERAGE(D21:D23)</f>
        <v>3.4</v>
      </c>
      <c r="E24" s="62">
        <v>3.4</v>
      </c>
      <c r="F24" s="49">
        <v>3.3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3.4</v>
      </c>
      <c r="D27" s="45">
        <v>3.5</v>
      </c>
      <c r="E27" s="25">
        <v>3.6</v>
      </c>
      <c r="F27" s="45">
        <v>3.4</v>
      </c>
    </row>
    <row r="28" spans="1:6" x14ac:dyDescent="0.25">
      <c r="A28" s="1" t="s">
        <v>22</v>
      </c>
      <c r="B28" s="30" t="s">
        <v>37</v>
      </c>
      <c r="C28" s="34">
        <v>3.5</v>
      </c>
      <c r="D28" s="46">
        <v>3.6</v>
      </c>
      <c r="E28" s="34">
        <v>3.5</v>
      </c>
      <c r="F28" s="46">
        <v>3.5</v>
      </c>
    </row>
    <row r="29" spans="1:6" x14ac:dyDescent="0.25">
      <c r="A29" s="1" t="s">
        <v>23</v>
      </c>
      <c r="B29" s="30" t="s">
        <v>38</v>
      </c>
      <c r="C29" s="34">
        <v>3.4</v>
      </c>
      <c r="D29" s="46">
        <v>3.5</v>
      </c>
      <c r="E29" s="34">
        <v>3.5</v>
      </c>
      <c r="F29" s="46">
        <v>3.6</v>
      </c>
    </row>
    <row r="30" spans="1:6" x14ac:dyDescent="0.25">
      <c r="A30" s="1"/>
      <c r="B30" s="14" t="s">
        <v>8</v>
      </c>
      <c r="C30" s="62">
        <v>3.4</v>
      </c>
      <c r="D30" s="47">
        <v>3.5</v>
      </c>
      <c r="E30" s="62">
        <v>3.5</v>
      </c>
      <c r="F30" s="47">
        <v>3.4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3.4</v>
      </c>
      <c r="D32" s="46">
        <v>3.4</v>
      </c>
      <c r="E32" s="25">
        <v>3.5</v>
      </c>
      <c r="F32" s="46">
        <v>3.6</v>
      </c>
    </row>
    <row r="33" spans="1:6" x14ac:dyDescent="0.25">
      <c r="A33" s="1" t="s">
        <v>24</v>
      </c>
      <c r="B33" s="30" t="s">
        <v>40</v>
      </c>
      <c r="C33" s="34">
        <v>3.5</v>
      </c>
      <c r="D33" s="46">
        <v>3.5</v>
      </c>
      <c r="E33" s="34">
        <v>3.4</v>
      </c>
      <c r="F33" s="46">
        <v>3.3</v>
      </c>
    </row>
    <row r="34" spans="1:6" x14ac:dyDescent="0.25">
      <c r="A34" s="1" t="s">
        <v>25</v>
      </c>
      <c r="B34" s="30" t="s">
        <v>78</v>
      </c>
      <c r="C34" s="34">
        <v>3.4</v>
      </c>
      <c r="D34" s="46">
        <v>3.6</v>
      </c>
      <c r="E34" s="34">
        <v>3.5</v>
      </c>
      <c r="F34" s="46">
        <v>3.5</v>
      </c>
    </row>
    <row r="35" spans="1:6" ht="17.25" customHeight="1" x14ac:dyDescent="0.25">
      <c r="A35" s="1" t="s">
        <v>26</v>
      </c>
      <c r="B35" s="30" t="s">
        <v>79</v>
      </c>
      <c r="C35" s="34">
        <v>3.4</v>
      </c>
      <c r="D35" s="46">
        <v>3.5</v>
      </c>
      <c r="E35" s="34">
        <v>3.6</v>
      </c>
      <c r="F35" s="46">
        <v>3.4</v>
      </c>
    </row>
    <row r="36" spans="1:6" x14ac:dyDescent="0.25">
      <c r="A36" s="3"/>
      <c r="B36" s="14" t="s">
        <v>8</v>
      </c>
      <c r="C36" s="62">
        <v>3.4</v>
      </c>
      <c r="D36" s="47">
        <f>AVERAGE(D32:D35)</f>
        <v>3.5</v>
      </c>
      <c r="E36" s="62">
        <f>AVERAGE(E32:E35)</f>
        <v>3.5</v>
      </c>
      <c r="F36" s="47">
        <v>3.5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3.5</v>
      </c>
      <c r="D38" s="45">
        <v>3.4</v>
      </c>
      <c r="E38" s="25">
        <v>3.5</v>
      </c>
      <c r="F38" s="45">
        <v>3.5</v>
      </c>
    </row>
    <row r="39" spans="1:6" x14ac:dyDescent="0.25">
      <c r="A39" s="1" t="s">
        <v>28</v>
      </c>
      <c r="B39" s="30" t="s">
        <v>80</v>
      </c>
      <c r="C39" s="34">
        <v>3.4</v>
      </c>
      <c r="D39" s="46">
        <v>3.5</v>
      </c>
      <c r="E39" s="34">
        <v>3.4</v>
      </c>
      <c r="F39" s="46">
        <v>3.3</v>
      </c>
    </row>
    <row r="40" spans="1:6" x14ac:dyDescent="0.25">
      <c r="A40" s="1" t="s">
        <v>29</v>
      </c>
      <c r="B40" s="30" t="s">
        <v>81</v>
      </c>
      <c r="C40" s="34">
        <v>3.3</v>
      </c>
      <c r="D40" s="46">
        <v>3.4</v>
      </c>
      <c r="E40" s="34">
        <v>3.6</v>
      </c>
      <c r="F40" s="46">
        <v>3.7</v>
      </c>
    </row>
    <row r="41" spans="1:6" x14ac:dyDescent="0.25">
      <c r="A41" s="1" t="s">
        <v>30</v>
      </c>
      <c r="B41" s="30" t="s">
        <v>82</v>
      </c>
      <c r="C41" s="34">
        <v>3.5</v>
      </c>
      <c r="D41" s="46">
        <v>3.5</v>
      </c>
      <c r="E41" s="34">
        <v>3.5</v>
      </c>
      <c r="F41" s="46">
        <v>3.5</v>
      </c>
    </row>
    <row r="42" spans="1:6" x14ac:dyDescent="0.25">
      <c r="A42" s="26" t="s">
        <v>4</v>
      </c>
      <c r="B42" s="14" t="s">
        <v>8</v>
      </c>
      <c r="C42" s="63">
        <v>3.5</v>
      </c>
      <c r="D42" s="56">
        <v>3.5</v>
      </c>
      <c r="E42" s="63">
        <f>AVERAGE(E38:E41)</f>
        <v>3.5</v>
      </c>
      <c r="F42" s="56">
        <f>AVERAGE(F38:F41)</f>
        <v>3.5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15"/>
      <c r="D44" s="52"/>
      <c r="E44" s="70"/>
      <c r="F44" s="52"/>
    </row>
    <row r="45" spans="1:6" x14ac:dyDescent="0.25">
      <c r="A45" s="30" t="s">
        <v>85</v>
      </c>
      <c r="B45" s="30" t="s">
        <v>88</v>
      </c>
      <c r="C45" s="34">
        <v>3.5</v>
      </c>
      <c r="D45" s="46">
        <v>3.5</v>
      </c>
      <c r="E45" s="34">
        <v>3.5</v>
      </c>
      <c r="F45" s="45">
        <v>3.4</v>
      </c>
    </row>
    <row r="46" spans="1:6" x14ac:dyDescent="0.25">
      <c r="A46" s="30" t="s">
        <v>86</v>
      </c>
      <c r="B46" s="30" t="s">
        <v>89</v>
      </c>
      <c r="C46" s="34">
        <v>3.5</v>
      </c>
      <c r="D46" s="46">
        <v>3.6</v>
      </c>
      <c r="E46" s="34">
        <v>3.6</v>
      </c>
      <c r="F46" s="46">
        <v>3.5</v>
      </c>
    </row>
    <row r="47" spans="1:6" x14ac:dyDescent="0.25">
      <c r="A47" s="30" t="s">
        <v>87</v>
      </c>
      <c r="B47" s="30" t="s">
        <v>90</v>
      </c>
      <c r="C47" s="34">
        <v>3.5</v>
      </c>
      <c r="D47" s="46">
        <v>3.6</v>
      </c>
      <c r="E47" s="34">
        <v>3.5</v>
      </c>
      <c r="F47" s="46">
        <v>3.3</v>
      </c>
    </row>
    <row r="48" spans="1:6" ht="15.75" thickBot="1" x14ac:dyDescent="0.3">
      <c r="A48" s="17" t="s">
        <v>4</v>
      </c>
      <c r="B48" s="18" t="s">
        <v>8</v>
      </c>
      <c r="C48" s="56">
        <v>3.5</v>
      </c>
      <c r="D48" s="49">
        <v>3.6</v>
      </c>
      <c r="E48" s="56">
        <v>3.6</v>
      </c>
      <c r="F48" s="49">
        <v>3.4</v>
      </c>
    </row>
    <row r="49" spans="1:6" x14ac:dyDescent="0.25">
      <c r="A49" s="65"/>
      <c r="B49" s="81" t="s">
        <v>248</v>
      </c>
      <c r="C49" s="80"/>
      <c r="D49" s="80"/>
      <c r="E49" s="80"/>
      <c r="F49" s="218"/>
    </row>
    <row r="50" spans="1:6" x14ac:dyDescent="0.25">
      <c r="A50" s="65">
        <v>1</v>
      </c>
      <c r="B50" s="72" t="s">
        <v>121</v>
      </c>
      <c r="C50" s="51">
        <v>3.4</v>
      </c>
      <c r="D50" s="51">
        <v>3.5</v>
      </c>
      <c r="E50" s="51">
        <v>3.5</v>
      </c>
      <c r="F50" s="46">
        <v>3.4</v>
      </c>
    </row>
    <row r="51" spans="1:6" x14ac:dyDescent="0.25">
      <c r="A51" s="65">
        <v>2</v>
      </c>
      <c r="B51" s="72" t="s">
        <v>122</v>
      </c>
      <c r="C51" s="51">
        <v>3.5</v>
      </c>
      <c r="D51" s="51">
        <v>3.4</v>
      </c>
      <c r="E51" s="51">
        <v>3.5</v>
      </c>
      <c r="F51" s="46">
        <v>3.3</v>
      </c>
    </row>
    <row r="52" spans="1:6" x14ac:dyDescent="0.25">
      <c r="A52" s="65">
        <v>3</v>
      </c>
      <c r="B52" s="72" t="s">
        <v>123</v>
      </c>
      <c r="C52" s="51">
        <v>3.4</v>
      </c>
      <c r="D52" s="51">
        <v>3.3</v>
      </c>
      <c r="E52" s="51">
        <v>3.6</v>
      </c>
      <c r="F52" s="46">
        <v>3.5</v>
      </c>
    </row>
    <row r="53" spans="1:6" x14ac:dyDescent="0.25">
      <c r="A53" s="65">
        <v>4</v>
      </c>
      <c r="B53" s="72" t="s">
        <v>124</v>
      </c>
      <c r="C53" s="51">
        <v>3.3</v>
      </c>
      <c r="D53" s="51">
        <v>3.4</v>
      </c>
      <c r="E53" s="51">
        <v>3.5</v>
      </c>
      <c r="F53" s="46">
        <v>3.6</v>
      </c>
    </row>
    <row r="54" spans="1:6" x14ac:dyDescent="0.25">
      <c r="A54" s="65"/>
      <c r="B54" s="72" t="s">
        <v>125</v>
      </c>
      <c r="C54" s="51"/>
      <c r="D54" s="51" t="s">
        <v>4</v>
      </c>
      <c r="E54" s="51"/>
      <c r="F54" s="46"/>
    </row>
    <row r="55" spans="1:6" x14ac:dyDescent="0.25">
      <c r="A55" s="65">
        <v>5</v>
      </c>
      <c r="B55" s="72" t="s">
        <v>126</v>
      </c>
      <c r="C55" s="51">
        <v>3.5</v>
      </c>
      <c r="D55" s="51">
        <v>3.4</v>
      </c>
      <c r="E55" s="51">
        <v>3.5</v>
      </c>
      <c r="F55" s="46">
        <v>3.4</v>
      </c>
    </row>
    <row r="56" spans="1:6" x14ac:dyDescent="0.25">
      <c r="A56" s="65">
        <v>6</v>
      </c>
      <c r="B56" s="72" t="s">
        <v>127</v>
      </c>
      <c r="C56" s="51">
        <v>3.4</v>
      </c>
      <c r="D56" s="51">
        <v>3.3</v>
      </c>
      <c r="E56" s="51">
        <v>3.5</v>
      </c>
      <c r="F56" s="46">
        <v>3.5</v>
      </c>
    </row>
    <row r="57" spans="1:6" x14ac:dyDescent="0.25">
      <c r="A57" s="65">
        <v>7</v>
      </c>
      <c r="B57" s="72" t="s">
        <v>128</v>
      </c>
      <c r="C57" s="51">
        <v>3.3</v>
      </c>
      <c r="D57" s="51">
        <v>3.4</v>
      </c>
      <c r="E57" s="51">
        <v>3.6</v>
      </c>
      <c r="F57" s="46">
        <v>3.7</v>
      </c>
    </row>
    <row r="58" spans="1:6" x14ac:dyDescent="0.25">
      <c r="A58" s="65">
        <v>8</v>
      </c>
      <c r="B58" s="72" t="s">
        <v>129</v>
      </c>
      <c r="C58" s="51">
        <v>3.4</v>
      </c>
      <c r="D58" s="51">
        <v>3.5</v>
      </c>
      <c r="E58" s="34">
        <v>3.5</v>
      </c>
      <c r="F58" s="46">
        <v>3.5</v>
      </c>
    </row>
    <row r="59" spans="1:6" x14ac:dyDescent="0.25">
      <c r="A59" s="65"/>
      <c r="B59" s="72" t="s">
        <v>130</v>
      </c>
      <c r="C59" s="34"/>
      <c r="D59" s="34"/>
      <c r="E59" s="34"/>
      <c r="F59" s="46"/>
    </row>
    <row r="60" spans="1:6" x14ac:dyDescent="0.25">
      <c r="A60" s="65">
        <v>9</v>
      </c>
      <c r="B60" s="72" t="s">
        <v>131</v>
      </c>
      <c r="C60" s="51">
        <v>3.4</v>
      </c>
      <c r="D60" s="51">
        <v>3.4</v>
      </c>
      <c r="E60" s="34">
        <v>3.6</v>
      </c>
      <c r="F60" s="46">
        <v>3.7</v>
      </c>
    </row>
    <row r="61" spans="1:6" ht="15.75" thickBot="1" x14ac:dyDescent="0.3">
      <c r="B61" s="18" t="s">
        <v>8</v>
      </c>
      <c r="C61" s="176">
        <v>3.4</v>
      </c>
      <c r="D61" s="176">
        <v>3.4</v>
      </c>
      <c r="E61" s="176">
        <v>3.5</v>
      </c>
      <c r="F61" s="177">
        <v>3.5</v>
      </c>
    </row>
    <row r="62" spans="1:6" x14ac:dyDescent="0.25">
      <c r="C62" t="s">
        <v>4</v>
      </c>
      <c r="D62" t="s">
        <v>4</v>
      </c>
    </row>
    <row r="63" spans="1:6" x14ac:dyDescent="0.25">
      <c r="C63" t="s">
        <v>4</v>
      </c>
      <c r="D63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F59"/>
  <sheetViews>
    <sheetView topLeftCell="A16" zoomScale="80" zoomScaleNormal="80" workbookViewId="0">
      <selection activeCell="C24" sqref="C24"/>
    </sheetView>
  </sheetViews>
  <sheetFormatPr defaultRowHeight="15" x14ac:dyDescent="0.25"/>
  <cols>
    <col min="1" max="1" width="5" customWidth="1"/>
    <col min="2" max="2" width="110.140625" customWidth="1"/>
  </cols>
  <sheetData>
    <row r="1" spans="1:6" x14ac:dyDescent="0.25">
      <c r="B1" s="4" t="s">
        <v>51</v>
      </c>
      <c r="C1" s="3"/>
      <c r="D1" s="3"/>
    </row>
    <row r="2" spans="1:6" x14ac:dyDescent="0.25">
      <c r="B2" s="5" t="s">
        <v>1</v>
      </c>
      <c r="C2" s="6" t="s">
        <v>252</v>
      </c>
      <c r="D2" s="6" t="s">
        <v>55</v>
      </c>
      <c r="E2" s="6" t="s">
        <v>55</v>
      </c>
      <c r="F2" s="6" t="s">
        <v>55</v>
      </c>
    </row>
    <row r="3" spans="1:6" x14ac:dyDescent="0.25">
      <c r="B3" s="7" t="s">
        <v>2</v>
      </c>
      <c r="C3" s="8" t="s">
        <v>94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8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/>
      <c r="D7" s="45">
        <v>3.8</v>
      </c>
      <c r="E7" s="25">
        <v>3.6</v>
      </c>
      <c r="F7" s="45">
        <v>4</v>
      </c>
    </row>
    <row r="8" spans="1:6" x14ac:dyDescent="0.25">
      <c r="A8" s="39" t="s">
        <v>12</v>
      </c>
      <c r="B8" s="42" t="s">
        <v>32</v>
      </c>
      <c r="C8" s="34"/>
      <c r="D8" s="46">
        <v>3.7</v>
      </c>
      <c r="E8" s="34">
        <v>3.5</v>
      </c>
      <c r="F8" s="46">
        <v>4</v>
      </c>
    </row>
    <row r="9" spans="1:6" x14ac:dyDescent="0.25">
      <c r="A9" s="39" t="s">
        <v>14</v>
      </c>
      <c r="B9" s="42" t="s">
        <v>64</v>
      </c>
      <c r="C9" s="34"/>
      <c r="D9" s="46">
        <v>3.3</v>
      </c>
      <c r="E9" s="34">
        <v>3.6</v>
      </c>
      <c r="F9" s="46">
        <v>4</v>
      </c>
    </row>
    <row r="10" spans="1:6" x14ac:dyDescent="0.25">
      <c r="A10" s="39" t="s">
        <v>15</v>
      </c>
      <c r="B10" s="42" t="s">
        <v>65</v>
      </c>
      <c r="C10" s="34"/>
      <c r="D10" s="46">
        <v>3.7</v>
      </c>
      <c r="E10" s="34">
        <v>3.6</v>
      </c>
      <c r="F10" s="46">
        <v>4</v>
      </c>
    </row>
    <row r="11" spans="1:6" x14ac:dyDescent="0.25">
      <c r="A11" s="40"/>
      <c r="B11" s="33" t="s">
        <v>8</v>
      </c>
      <c r="C11" s="61"/>
      <c r="D11" s="47">
        <v>3.6</v>
      </c>
      <c r="E11" s="61">
        <v>3.6</v>
      </c>
      <c r="F11" s="47">
        <v>4</v>
      </c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x14ac:dyDescent="0.25">
      <c r="A13" s="2"/>
      <c r="B13" s="20" t="s">
        <v>16</v>
      </c>
      <c r="C13" s="12"/>
      <c r="D13" s="59"/>
      <c r="E13" s="12"/>
      <c r="F13" s="48"/>
    </row>
    <row r="14" spans="1:6" ht="16.5" customHeight="1" x14ac:dyDescent="0.25">
      <c r="A14" s="40" t="s">
        <v>17</v>
      </c>
      <c r="B14" s="29" t="s">
        <v>33</v>
      </c>
      <c r="C14" s="25"/>
      <c r="D14" s="46">
        <v>3.8</v>
      </c>
      <c r="E14" s="25">
        <v>3.7</v>
      </c>
      <c r="F14" s="46">
        <v>4</v>
      </c>
    </row>
    <row r="15" spans="1:6" x14ac:dyDescent="0.25">
      <c r="A15" s="40" t="s">
        <v>34</v>
      </c>
      <c r="B15" s="29" t="s">
        <v>67</v>
      </c>
      <c r="C15" s="34"/>
      <c r="D15" s="46">
        <v>3.7</v>
      </c>
      <c r="E15" s="34">
        <v>3.6</v>
      </c>
      <c r="F15" s="46">
        <v>4</v>
      </c>
    </row>
    <row r="16" spans="1:6" x14ac:dyDescent="0.25">
      <c r="A16" s="40" t="s">
        <v>35</v>
      </c>
      <c r="B16" s="29" t="s">
        <v>68</v>
      </c>
      <c r="C16" s="34"/>
      <c r="D16" s="46">
        <v>3.5</v>
      </c>
      <c r="E16" s="34">
        <v>3.5</v>
      </c>
      <c r="F16" s="46">
        <v>4</v>
      </c>
    </row>
    <row r="17" spans="1:6" x14ac:dyDescent="0.25">
      <c r="A17" s="41" t="s">
        <v>66</v>
      </c>
      <c r="B17" s="29" t="s">
        <v>69</v>
      </c>
      <c r="C17" s="34"/>
      <c r="D17" s="46">
        <v>3.8</v>
      </c>
      <c r="E17" s="34">
        <v>3.6</v>
      </c>
      <c r="F17" s="46">
        <v>4</v>
      </c>
    </row>
    <row r="18" spans="1:6" x14ac:dyDescent="0.25">
      <c r="A18" s="40"/>
      <c r="B18" s="14" t="s">
        <v>8</v>
      </c>
      <c r="C18" s="61"/>
      <c r="D18" s="49">
        <f>AVERAGE(D14:D17)</f>
        <v>3.7</v>
      </c>
      <c r="E18" s="61">
        <f>AVERAGE(E14:E17)</f>
        <v>3.6</v>
      </c>
      <c r="F18" s="49">
        <v>4</v>
      </c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x14ac:dyDescent="0.25">
      <c r="A20" s="2"/>
      <c r="B20" s="20" t="s">
        <v>74</v>
      </c>
      <c r="C20" s="12"/>
      <c r="D20" s="59"/>
      <c r="E20" s="167" t="s">
        <v>4</v>
      </c>
      <c r="F20" s="48"/>
    </row>
    <row r="21" spans="1:6" x14ac:dyDescent="0.25">
      <c r="A21" s="40" t="s">
        <v>71</v>
      </c>
      <c r="B21" s="24" t="s">
        <v>75</v>
      </c>
      <c r="C21" s="25"/>
      <c r="D21" s="50">
        <v>3.5</v>
      </c>
      <c r="E21" s="25">
        <v>3.5</v>
      </c>
      <c r="F21" s="50">
        <v>4</v>
      </c>
    </row>
    <row r="22" spans="1:6" x14ac:dyDescent="0.25">
      <c r="A22" s="40" t="s">
        <v>72</v>
      </c>
      <c r="B22" s="24" t="s">
        <v>76</v>
      </c>
      <c r="C22" s="36"/>
      <c r="D22" s="51">
        <v>3.4</v>
      </c>
      <c r="E22" s="36">
        <v>3.6</v>
      </c>
      <c r="F22" s="51">
        <v>4</v>
      </c>
    </row>
    <row r="23" spans="1:6" x14ac:dyDescent="0.25">
      <c r="A23" s="40" t="s">
        <v>73</v>
      </c>
      <c r="B23" s="24" t="s">
        <v>77</v>
      </c>
      <c r="C23" s="36"/>
      <c r="D23" s="51">
        <v>3.5</v>
      </c>
      <c r="E23" s="36">
        <v>3.5</v>
      </c>
      <c r="F23" s="51">
        <v>4</v>
      </c>
    </row>
    <row r="24" spans="1:6" x14ac:dyDescent="0.25">
      <c r="A24" s="3"/>
      <c r="B24" s="14" t="s">
        <v>8</v>
      </c>
      <c r="C24" s="61"/>
      <c r="D24" s="49">
        <v>3.5</v>
      </c>
      <c r="E24" s="62">
        <v>3.5</v>
      </c>
      <c r="F24" s="49">
        <v>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/>
      <c r="D27" s="45">
        <v>3.7</v>
      </c>
      <c r="E27" s="25">
        <v>3.6</v>
      </c>
      <c r="F27" s="45">
        <v>4</v>
      </c>
    </row>
    <row r="28" spans="1:6" x14ac:dyDescent="0.25">
      <c r="A28" s="1" t="s">
        <v>22</v>
      </c>
      <c r="B28" s="30" t="s">
        <v>37</v>
      </c>
      <c r="C28" s="34"/>
      <c r="D28" s="46">
        <v>3.8</v>
      </c>
      <c r="E28" s="34">
        <v>3.5</v>
      </c>
      <c r="F28" s="46">
        <v>4</v>
      </c>
    </row>
    <row r="29" spans="1:6" x14ac:dyDescent="0.25">
      <c r="A29" s="1" t="s">
        <v>23</v>
      </c>
      <c r="B29" s="30" t="s">
        <v>38</v>
      </c>
      <c r="C29" s="34"/>
      <c r="D29" s="46">
        <v>3.6</v>
      </c>
      <c r="E29" s="34">
        <v>3.7</v>
      </c>
      <c r="F29" s="46">
        <v>4</v>
      </c>
    </row>
    <row r="30" spans="1:6" x14ac:dyDescent="0.25">
      <c r="A30" s="1"/>
      <c r="B30" s="14" t="s">
        <v>8</v>
      </c>
      <c r="C30" s="61"/>
      <c r="D30" s="47">
        <f>AVERAGE(D27:D29)</f>
        <v>3.6999999999999997</v>
      </c>
      <c r="E30" s="62">
        <f>AVERAGE(E27:E29)</f>
        <v>3.6</v>
      </c>
      <c r="F30" s="47">
        <v>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/>
      <c r="D32" s="46">
        <v>3.4</v>
      </c>
      <c r="E32" s="25">
        <v>3.5</v>
      </c>
      <c r="F32" s="46">
        <v>4</v>
      </c>
    </row>
    <row r="33" spans="1:6" x14ac:dyDescent="0.25">
      <c r="A33" s="1" t="s">
        <v>24</v>
      </c>
      <c r="B33" s="30" t="s">
        <v>40</v>
      </c>
      <c r="C33" s="34"/>
      <c r="D33" s="46">
        <v>3.5</v>
      </c>
      <c r="E33" s="34">
        <v>3.6</v>
      </c>
      <c r="F33" s="46">
        <v>4</v>
      </c>
    </row>
    <row r="34" spans="1:6" x14ac:dyDescent="0.25">
      <c r="A34" s="1" t="s">
        <v>25</v>
      </c>
      <c r="B34" s="30" t="s">
        <v>78</v>
      </c>
      <c r="C34" s="34"/>
      <c r="D34" s="46">
        <v>3.7</v>
      </c>
      <c r="E34" s="34">
        <v>3.6</v>
      </c>
      <c r="F34" s="46">
        <v>4</v>
      </c>
    </row>
    <row r="35" spans="1:6" ht="18" customHeight="1" x14ac:dyDescent="0.25">
      <c r="A35" s="1" t="s">
        <v>26</v>
      </c>
      <c r="B35" s="30" t="s">
        <v>79</v>
      </c>
      <c r="C35" s="34"/>
      <c r="D35" s="46">
        <v>3.8</v>
      </c>
      <c r="E35" s="34">
        <v>3.5</v>
      </c>
      <c r="F35" s="46">
        <v>4</v>
      </c>
    </row>
    <row r="36" spans="1:6" x14ac:dyDescent="0.25">
      <c r="A36" s="3"/>
      <c r="B36" s="14" t="s">
        <v>8</v>
      </c>
      <c r="C36" s="61"/>
      <c r="D36" s="47">
        <f>AVERAGE(D32:D35)</f>
        <v>3.6000000000000005</v>
      </c>
      <c r="E36" s="62">
        <v>3.6</v>
      </c>
      <c r="F36" s="47">
        <v>4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/>
      <c r="D38" s="45">
        <v>3.6</v>
      </c>
      <c r="E38" s="25">
        <v>3.6</v>
      </c>
      <c r="F38" s="45">
        <v>4</v>
      </c>
    </row>
    <row r="39" spans="1:6" x14ac:dyDescent="0.25">
      <c r="A39" s="1" t="s">
        <v>28</v>
      </c>
      <c r="B39" s="30" t="s">
        <v>80</v>
      </c>
      <c r="C39" s="34"/>
      <c r="D39" s="46">
        <v>3.5</v>
      </c>
      <c r="E39" s="34">
        <v>3.5</v>
      </c>
      <c r="F39" s="46">
        <v>4</v>
      </c>
    </row>
    <row r="40" spans="1:6" x14ac:dyDescent="0.25">
      <c r="A40" s="1" t="s">
        <v>29</v>
      </c>
      <c r="B40" s="30" t="s">
        <v>81</v>
      </c>
      <c r="C40" s="34"/>
      <c r="D40" s="46">
        <v>3.6</v>
      </c>
      <c r="E40" s="34">
        <v>3.6</v>
      </c>
      <c r="F40" s="46">
        <v>4</v>
      </c>
    </row>
    <row r="41" spans="1:6" x14ac:dyDescent="0.25">
      <c r="A41" s="1" t="s">
        <v>30</v>
      </c>
      <c r="B41" s="30" t="s">
        <v>82</v>
      </c>
      <c r="C41" s="34"/>
      <c r="D41" s="46">
        <v>3.7</v>
      </c>
      <c r="E41" s="34">
        <v>3.7</v>
      </c>
      <c r="F41" s="46">
        <v>4</v>
      </c>
    </row>
    <row r="42" spans="1:6" x14ac:dyDescent="0.25">
      <c r="A42" s="26" t="s">
        <v>4</v>
      </c>
      <c r="B42" s="14" t="s">
        <v>8</v>
      </c>
      <c r="C42" s="61"/>
      <c r="D42" s="56">
        <f>AVERAGE(D38:D41)</f>
        <v>3.5999999999999996</v>
      </c>
      <c r="E42" s="63">
        <f>AVERAGE(E38:E41)</f>
        <v>3.5999999999999996</v>
      </c>
      <c r="F42" s="56">
        <v>4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15"/>
      <c r="D44" s="52"/>
      <c r="E44" s="70"/>
      <c r="F44" s="52"/>
    </row>
    <row r="45" spans="1:6" x14ac:dyDescent="0.25">
      <c r="A45" s="30" t="s">
        <v>85</v>
      </c>
      <c r="B45" s="30" t="s">
        <v>88</v>
      </c>
      <c r="C45" s="34"/>
      <c r="D45" s="46">
        <v>3.8</v>
      </c>
      <c r="E45" s="34">
        <v>3.7</v>
      </c>
      <c r="F45" s="46">
        <v>4</v>
      </c>
    </row>
    <row r="46" spans="1:6" x14ac:dyDescent="0.25">
      <c r="A46" s="30" t="s">
        <v>86</v>
      </c>
      <c r="B46" s="30" t="s">
        <v>89</v>
      </c>
      <c r="C46" s="34"/>
      <c r="D46" s="46">
        <v>3.8</v>
      </c>
      <c r="E46" s="34">
        <v>3.6</v>
      </c>
      <c r="F46" s="46">
        <v>4</v>
      </c>
    </row>
    <row r="47" spans="1:6" x14ac:dyDescent="0.25">
      <c r="A47" s="30" t="s">
        <v>87</v>
      </c>
      <c r="B47" s="30" t="s">
        <v>90</v>
      </c>
      <c r="C47" s="34"/>
      <c r="D47" s="46">
        <v>3.7</v>
      </c>
      <c r="E47" s="34">
        <v>3.5</v>
      </c>
      <c r="F47" s="46">
        <v>4</v>
      </c>
    </row>
    <row r="48" spans="1:6" ht="15.75" thickBot="1" x14ac:dyDescent="0.3">
      <c r="A48" s="17" t="s">
        <v>4</v>
      </c>
      <c r="B48" s="18" t="s">
        <v>8</v>
      </c>
      <c r="C48" s="19"/>
      <c r="D48" s="58">
        <v>3.8</v>
      </c>
      <c r="E48" s="191">
        <f>AVERAGE(E45:E47)</f>
        <v>3.6</v>
      </c>
      <c r="F48" s="58">
        <v>4</v>
      </c>
    </row>
    <row r="49" spans="1:6" x14ac:dyDescent="0.25">
      <c r="A49" s="65"/>
      <c r="B49" s="81" t="s">
        <v>248</v>
      </c>
      <c r="C49" s="182"/>
      <c r="D49" s="183"/>
      <c r="E49" s="182"/>
      <c r="F49" s="219"/>
    </row>
    <row r="50" spans="1:6" x14ac:dyDescent="0.25">
      <c r="A50" s="65">
        <v>1</v>
      </c>
      <c r="B50" s="72" t="s">
        <v>132</v>
      </c>
      <c r="C50" s="192"/>
      <c r="D50" s="204">
        <v>4</v>
      </c>
      <c r="E50" s="204">
        <v>4</v>
      </c>
      <c r="F50" s="46">
        <v>4</v>
      </c>
    </row>
    <row r="51" spans="1:6" x14ac:dyDescent="0.25">
      <c r="A51" s="65">
        <v>2</v>
      </c>
      <c r="B51" s="72" t="s">
        <v>133</v>
      </c>
      <c r="C51" s="68"/>
      <c r="D51" s="51">
        <v>4</v>
      </c>
      <c r="E51" s="51">
        <v>4</v>
      </c>
      <c r="F51" s="46">
        <v>4</v>
      </c>
    </row>
    <row r="52" spans="1:6" x14ac:dyDescent="0.25">
      <c r="A52" s="65">
        <v>3</v>
      </c>
      <c r="B52" s="72" t="s">
        <v>134</v>
      </c>
      <c r="C52" s="68"/>
      <c r="D52" s="51">
        <v>4</v>
      </c>
      <c r="E52" s="51">
        <v>4</v>
      </c>
      <c r="F52" s="46">
        <v>4</v>
      </c>
    </row>
    <row r="53" spans="1:6" x14ac:dyDescent="0.25">
      <c r="A53" s="65">
        <v>4</v>
      </c>
      <c r="B53" s="72" t="s">
        <v>135</v>
      </c>
      <c r="C53" s="68"/>
      <c r="D53" s="51">
        <v>4</v>
      </c>
      <c r="E53" s="51">
        <v>4</v>
      </c>
      <c r="F53" s="46">
        <v>4</v>
      </c>
    </row>
    <row r="54" spans="1:6" x14ac:dyDescent="0.25">
      <c r="A54" s="65">
        <v>5</v>
      </c>
      <c r="B54" s="72" t="s">
        <v>136</v>
      </c>
      <c r="C54" s="68"/>
      <c r="D54" s="51">
        <v>4</v>
      </c>
      <c r="E54" s="51">
        <v>4</v>
      </c>
      <c r="F54" s="46">
        <v>4</v>
      </c>
    </row>
    <row r="55" spans="1:6" x14ac:dyDescent="0.25">
      <c r="A55" s="65">
        <v>6</v>
      </c>
      <c r="B55" s="72" t="s">
        <v>137</v>
      </c>
      <c r="C55" s="68"/>
      <c r="D55" s="51">
        <v>4</v>
      </c>
      <c r="E55" s="51">
        <v>4</v>
      </c>
      <c r="F55" s="46">
        <v>4</v>
      </c>
    </row>
    <row r="56" spans="1:6" x14ac:dyDescent="0.25">
      <c r="A56" s="65">
        <v>7</v>
      </c>
      <c r="B56" s="72" t="s">
        <v>138</v>
      </c>
      <c r="C56" s="68"/>
      <c r="D56" s="51">
        <v>4</v>
      </c>
      <c r="E56" s="51">
        <v>4</v>
      </c>
      <c r="F56" s="46">
        <v>4</v>
      </c>
    </row>
    <row r="57" spans="1:6" x14ac:dyDescent="0.25">
      <c r="A57" s="65">
        <v>8</v>
      </c>
      <c r="B57" s="72" t="s">
        <v>139</v>
      </c>
      <c r="C57" s="37"/>
      <c r="D57" s="51">
        <v>4</v>
      </c>
      <c r="E57" s="51">
        <v>4</v>
      </c>
      <c r="F57" s="46">
        <v>4</v>
      </c>
    </row>
    <row r="58" spans="1:6" x14ac:dyDescent="0.25">
      <c r="A58" s="65">
        <v>9</v>
      </c>
      <c r="B58" s="215" t="s">
        <v>140</v>
      </c>
      <c r="C58" s="169"/>
      <c r="D58" s="35">
        <v>4</v>
      </c>
      <c r="E58" s="35">
        <v>4</v>
      </c>
      <c r="F58" s="205">
        <v>4</v>
      </c>
    </row>
    <row r="59" spans="1:6" ht="15.75" thickBot="1" x14ac:dyDescent="0.3">
      <c r="A59" s="17" t="s">
        <v>4</v>
      </c>
      <c r="B59" s="18" t="s">
        <v>8</v>
      </c>
      <c r="C59" s="19"/>
      <c r="D59" s="58">
        <v>4</v>
      </c>
      <c r="E59" s="191">
        <v>4</v>
      </c>
      <c r="F59" s="5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76"/>
  <sheetViews>
    <sheetView topLeftCell="A28" zoomScale="80" zoomScaleNormal="80" workbookViewId="0">
      <selection activeCell="B16" sqref="B16:B17"/>
    </sheetView>
  </sheetViews>
  <sheetFormatPr defaultRowHeight="15" x14ac:dyDescent="0.25"/>
  <cols>
    <col min="1" max="1" width="5.140625" customWidth="1"/>
    <col min="2" max="2" width="159.5703125" customWidth="1"/>
  </cols>
  <sheetData>
    <row r="1" spans="1:6" x14ac:dyDescent="0.25">
      <c r="B1" s="4" t="s">
        <v>44</v>
      </c>
      <c r="C1" s="3"/>
      <c r="D1" s="3"/>
    </row>
    <row r="2" spans="1:6" x14ac:dyDescent="0.25">
      <c r="B2" s="5" t="s">
        <v>1</v>
      </c>
      <c r="C2" s="6" t="s">
        <v>54</v>
      </c>
      <c r="D2" s="6" t="s">
        <v>60</v>
      </c>
      <c r="E2" s="6" t="s">
        <v>252</v>
      </c>
      <c r="F2" s="6" t="s">
        <v>62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4.2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>
        <v>3.3</v>
      </c>
      <c r="E7" s="25"/>
      <c r="F7" s="45">
        <v>3.5</v>
      </c>
    </row>
    <row r="8" spans="1:6" x14ac:dyDescent="0.25">
      <c r="A8" s="39" t="s">
        <v>12</v>
      </c>
      <c r="B8" s="42" t="s">
        <v>32</v>
      </c>
      <c r="C8" s="34">
        <v>4</v>
      </c>
      <c r="D8" s="26">
        <v>3.4</v>
      </c>
      <c r="E8" s="34"/>
      <c r="F8" s="46">
        <v>3.6</v>
      </c>
    </row>
    <row r="9" spans="1:6" x14ac:dyDescent="0.25">
      <c r="A9" s="39" t="s">
        <v>14</v>
      </c>
      <c r="B9" s="42" t="s">
        <v>64</v>
      </c>
      <c r="C9" s="34">
        <v>4</v>
      </c>
      <c r="D9" s="46">
        <v>3.2</v>
      </c>
      <c r="E9" s="34"/>
      <c r="F9" s="46">
        <v>3.5</v>
      </c>
    </row>
    <row r="10" spans="1:6" x14ac:dyDescent="0.25">
      <c r="A10" s="39" t="s">
        <v>15</v>
      </c>
      <c r="B10" s="42" t="s">
        <v>65</v>
      </c>
      <c r="C10" s="34">
        <v>4</v>
      </c>
      <c r="D10" s="46">
        <v>3.3</v>
      </c>
      <c r="E10" s="34"/>
      <c r="F10" s="46">
        <v>3.4</v>
      </c>
    </row>
    <row r="11" spans="1:6" x14ac:dyDescent="0.25">
      <c r="A11" s="40"/>
      <c r="B11" s="33" t="s">
        <v>8</v>
      </c>
      <c r="C11" s="196">
        <v>4</v>
      </c>
      <c r="D11" s="47">
        <f>AVERAGE(D7:D10)</f>
        <v>3.3</v>
      </c>
      <c r="E11" s="61"/>
      <c r="F11" s="47">
        <f>AVERAGE(F7:F10)</f>
        <v>3.5</v>
      </c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x14ac:dyDescent="0.25">
      <c r="A13" s="2"/>
      <c r="B13" s="20" t="s">
        <v>16</v>
      </c>
      <c r="C13" s="12"/>
      <c r="D13" s="59"/>
      <c r="E13" s="12"/>
      <c r="F13" s="48"/>
    </row>
    <row r="14" spans="1:6" ht="14.25" customHeight="1" x14ac:dyDescent="0.25">
      <c r="A14" s="40" t="s">
        <v>17</v>
      </c>
      <c r="B14" s="29" t="s">
        <v>33</v>
      </c>
      <c r="C14" s="25">
        <v>4</v>
      </c>
      <c r="D14" s="46">
        <v>3.5</v>
      </c>
      <c r="E14" s="25"/>
      <c r="F14" s="46">
        <v>3.5</v>
      </c>
    </row>
    <row r="15" spans="1:6" x14ac:dyDescent="0.25">
      <c r="A15" s="40" t="s">
        <v>34</v>
      </c>
      <c r="B15" s="29" t="s">
        <v>67</v>
      </c>
      <c r="C15" s="34">
        <v>4</v>
      </c>
      <c r="D15" s="46">
        <v>3.4</v>
      </c>
      <c r="E15" s="34"/>
      <c r="F15" s="46">
        <v>3.6</v>
      </c>
    </row>
    <row r="16" spans="1:6" x14ac:dyDescent="0.25">
      <c r="A16" s="40" t="s">
        <v>35</v>
      </c>
      <c r="B16" s="29" t="s">
        <v>68</v>
      </c>
      <c r="C16" s="34">
        <v>4</v>
      </c>
      <c r="D16" s="46">
        <v>3.3</v>
      </c>
      <c r="E16" s="34"/>
      <c r="F16" s="46">
        <v>3.5</v>
      </c>
    </row>
    <row r="17" spans="1:6" x14ac:dyDescent="0.25">
      <c r="A17" s="41" t="s">
        <v>66</v>
      </c>
      <c r="B17" s="29" t="s">
        <v>69</v>
      </c>
      <c r="C17" s="34">
        <v>4</v>
      </c>
      <c r="D17" s="46">
        <v>3.4</v>
      </c>
      <c r="E17" s="34"/>
      <c r="F17" s="46">
        <v>3.6</v>
      </c>
    </row>
    <row r="18" spans="1:6" x14ac:dyDescent="0.25">
      <c r="A18" s="40"/>
      <c r="B18" s="14" t="s">
        <v>8</v>
      </c>
      <c r="C18" s="196">
        <v>4</v>
      </c>
      <c r="D18" s="49">
        <f>AVERAGE(D14:D17)</f>
        <v>3.4</v>
      </c>
      <c r="E18" s="61"/>
      <c r="F18" s="49">
        <v>3.6</v>
      </c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4</v>
      </c>
      <c r="D21" s="50">
        <v>3.5</v>
      </c>
      <c r="E21" s="25"/>
      <c r="F21" s="50">
        <v>3.5</v>
      </c>
    </row>
    <row r="22" spans="1:6" x14ac:dyDescent="0.25">
      <c r="A22" s="40" t="s">
        <v>72</v>
      </c>
      <c r="B22" s="24" t="s">
        <v>76</v>
      </c>
      <c r="C22" s="36">
        <v>4</v>
      </c>
      <c r="D22" s="51">
        <v>3.4</v>
      </c>
      <c r="E22" s="36"/>
      <c r="F22" s="51">
        <v>3.3</v>
      </c>
    </row>
    <row r="23" spans="1:6" x14ac:dyDescent="0.25">
      <c r="A23" s="40" t="s">
        <v>73</v>
      </c>
      <c r="B23" s="24" t="s">
        <v>77</v>
      </c>
      <c r="C23" s="36">
        <v>4</v>
      </c>
      <c r="D23" s="51">
        <v>3.3</v>
      </c>
      <c r="E23" s="36"/>
      <c r="F23" s="51">
        <v>3.3</v>
      </c>
    </row>
    <row r="24" spans="1:6" x14ac:dyDescent="0.25">
      <c r="A24" s="3"/>
      <c r="B24" s="14" t="s">
        <v>8</v>
      </c>
      <c r="C24" s="207">
        <v>4</v>
      </c>
      <c r="D24" s="49">
        <f>AVERAGE(D21:D23)</f>
        <v>3.4</v>
      </c>
      <c r="E24" s="62"/>
      <c r="F24" s="49">
        <v>3.4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>
        <v>3.4</v>
      </c>
      <c r="E27" s="25"/>
      <c r="F27" s="45">
        <v>3.3</v>
      </c>
    </row>
    <row r="28" spans="1:6" x14ac:dyDescent="0.25">
      <c r="A28" s="1" t="s">
        <v>22</v>
      </c>
      <c r="B28" s="30" t="s">
        <v>37</v>
      </c>
      <c r="C28" s="34">
        <v>4</v>
      </c>
      <c r="D28" s="46">
        <v>3.3</v>
      </c>
      <c r="E28" s="34"/>
      <c r="F28" s="46">
        <v>3.5</v>
      </c>
    </row>
    <row r="29" spans="1:6" x14ac:dyDescent="0.25">
      <c r="A29" s="1" t="s">
        <v>23</v>
      </c>
      <c r="B29" s="30" t="s">
        <v>38</v>
      </c>
      <c r="C29" s="34">
        <v>4</v>
      </c>
      <c r="D29" s="46">
        <v>3.5</v>
      </c>
      <c r="E29" s="34"/>
      <c r="F29" s="46">
        <v>3.4</v>
      </c>
    </row>
    <row r="30" spans="1:6" x14ac:dyDescent="0.25">
      <c r="A30" s="1"/>
      <c r="B30" s="14" t="s">
        <v>8</v>
      </c>
      <c r="C30" s="207">
        <v>4</v>
      </c>
      <c r="D30" s="47">
        <f>AVERAGE(D27:D29)</f>
        <v>3.4</v>
      </c>
      <c r="E30" s="62"/>
      <c r="F30" s="47">
        <v>3.4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4</v>
      </c>
      <c r="D32" s="46">
        <v>3.2</v>
      </c>
      <c r="E32" s="25"/>
      <c r="F32" s="46">
        <v>3.1</v>
      </c>
    </row>
    <row r="33" spans="1:6" x14ac:dyDescent="0.25">
      <c r="A33" s="1" t="s">
        <v>24</v>
      </c>
      <c r="B33" s="30" t="s">
        <v>40</v>
      </c>
      <c r="C33" s="34">
        <v>4</v>
      </c>
      <c r="D33" s="46">
        <v>3.3</v>
      </c>
      <c r="E33" s="34"/>
      <c r="F33" s="46">
        <v>3.4</v>
      </c>
    </row>
    <row r="34" spans="1:6" x14ac:dyDescent="0.25">
      <c r="A34" s="1" t="s">
        <v>25</v>
      </c>
      <c r="B34" s="30" t="s">
        <v>78</v>
      </c>
      <c r="C34" s="34">
        <v>4</v>
      </c>
      <c r="D34" s="46">
        <v>3.4</v>
      </c>
      <c r="E34" s="34"/>
      <c r="F34" s="46">
        <v>3.1</v>
      </c>
    </row>
    <row r="35" spans="1:6" ht="13.5" customHeight="1" x14ac:dyDescent="0.25">
      <c r="A35" s="1" t="s">
        <v>26</v>
      </c>
      <c r="B35" s="30" t="s">
        <v>79</v>
      </c>
      <c r="C35" s="34">
        <v>4</v>
      </c>
      <c r="D35" s="46">
        <v>3.4</v>
      </c>
      <c r="E35" s="34"/>
      <c r="F35" s="46">
        <v>3.2</v>
      </c>
    </row>
    <row r="36" spans="1:6" x14ac:dyDescent="0.25">
      <c r="A36" s="3"/>
      <c r="B36" s="14" t="s">
        <v>8</v>
      </c>
      <c r="C36" s="207">
        <v>4</v>
      </c>
      <c r="D36" s="47">
        <v>3.3</v>
      </c>
      <c r="E36" s="62"/>
      <c r="F36" s="47">
        <f>AVERAGE(F32:F35)</f>
        <v>3.2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4</v>
      </c>
      <c r="D38" s="45">
        <v>3.3</v>
      </c>
      <c r="E38" s="25"/>
      <c r="F38" s="45">
        <v>3.4</v>
      </c>
    </row>
    <row r="39" spans="1:6" x14ac:dyDescent="0.25">
      <c r="A39" s="1" t="s">
        <v>28</v>
      </c>
      <c r="B39" s="30" t="s">
        <v>80</v>
      </c>
      <c r="C39" s="34">
        <v>4</v>
      </c>
      <c r="D39" s="46">
        <v>3.2</v>
      </c>
      <c r="E39" s="34"/>
      <c r="F39" s="46">
        <v>3.2</v>
      </c>
    </row>
    <row r="40" spans="1:6" x14ac:dyDescent="0.25">
      <c r="A40" s="1" t="s">
        <v>29</v>
      </c>
      <c r="B40" s="30" t="s">
        <v>81</v>
      </c>
      <c r="C40" s="34">
        <v>4</v>
      </c>
      <c r="D40" s="46">
        <v>3.4</v>
      </c>
      <c r="E40" s="34"/>
      <c r="F40" s="46">
        <v>3.1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3.2</v>
      </c>
      <c r="E41" s="34"/>
      <c r="F41" s="46">
        <v>3.3</v>
      </c>
    </row>
    <row r="42" spans="1:6" x14ac:dyDescent="0.25">
      <c r="A42" s="26" t="s">
        <v>4</v>
      </c>
      <c r="B42" s="14" t="s">
        <v>8</v>
      </c>
      <c r="C42" s="208">
        <v>4</v>
      </c>
      <c r="D42" s="56">
        <v>3.3</v>
      </c>
      <c r="E42" s="63"/>
      <c r="F42" s="56">
        <v>3.3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69"/>
      <c r="D44" s="52"/>
      <c r="E44" s="28"/>
      <c r="F44" s="52"/>
    </row>
    <row r="45" spans="1:6" x14ac:dyDescent="0.25">
      <c r="A45" s="30" t="s">
        <v>85</v>
      </c>
      <c r="B45" s="30" t="s">
        <v>88</v>
      </c>
      <c r="C45" s="34">
        <v>4</v>
      </c>
      <c r="D45" s="45">
        <v>3.2</v>
      </c>
      <c r="E45" s="34"/>
      <c r="F45" s="45">
        <v>3.3</v>
      </c>
    </row>
    <row r="46" spans="1:6" x14ac:dyDescent="0.25">
      <c r="A46" s="30" t="s">
        <v>86</v>
      </c>
      <c r="B46" s="30" t="s">
        <v>89</v>
      </c>
      <c r="C46" s="34">
        <v>4</v>
      </c>
      <c r="D46" s="46">
        <v>3.3</v>
      </c>
      <c r="E46" s="34"/>
      <c r="F46" s="46">
        <v>3.3</v>
      </c>
    </row>
    <row r="47" spans="1:6" x14ac:dyDescent="0.25">
      <c r="A47" s="30" t="s">
        <v>87</v>
      </c>
      <c r="B47" s="30" t="s">
        <v>90</v>
      </c>
      <c r="C47" s="34">
        <v>4</v>
      </c>
      <c r="D47" s="46">
        <v>3.4</v>
      </c>
      <c r="E47" s="34"/>
      <c r="F47" s="46">
        <v>3.4</v>
      </c>
    </row>
    <row r="48" spans="1:6" ht="15.75" thickBot="1" x14ac:dyDescent="0.3">
      <c r="A48" s="17" t="s">
        <v>4</v>
      </c>
      <c r="B48" s="18" t="s">
        <v>8</v>
      </c>
      <c r="C48" s="191">
        <v>4</v>
      </c>
      <c r="D48" s="58">
        <f>AVERAGE(D45:D47)</f>
        <v>3.3000000000000003</v>
      </c>
      <c r="E48" s="19"/>
      <c r="F48" s="58">
        <v>3.3</v>
      </c>
    </row>
    <row r="49" spans="1:6" x14ac:dyDescent="0.25">
      <c r="A49" s="26"/>
      <c r="B49" s="81" t="s">
        <v>248</v>
      </c>
      <c r="C49" s="86"/>
      <c r="D49" s="87"/>
      <c r="E49" s="86"/>
      <c r="F49" s="79"/>
    </row>
    <row r="50" spans="1:6" x14ac:dyDescent="0.25">
      <c r="A50" s="71"/>
      <c r="B50" s="88" t="s">
        <v>163</v>
      </c>
      <c r="C50" s="84"/>
      <c r="D50" s="84"/>
      <c r="E50" s="68"/>
      <c r="F50" s="201"/>
    </row>
    <row r="51" spans="1:6" x14ac:dyDescent="0.25">
      <c r="A51" s="210">
        <v>1</v>
      </c>
      <c r="B51" s="78" t="s">
        <v>141</v>
      </c>
      <c r="C51" s="201">
        <v>4</v>
      </c>
      <c r="D51" s="201">
        <v>3.3</v>
      </c>
      <c r="E51" s="68"/>
      <c r="F51" s="201">
        <v>3.2</v>
      </c>
    </row>
    <row r="52" spans="1:6" x14ac:dyDescent="0.25">
      <c r="A52" s="210">
        <v>2</v>
      </c>
      <c r="B52" s="78" t="s">
        <v>142</v>
      </c>
      <c r="C52" s="201">
        <v>4</v>
      </c>
      <c r="D52" s="201">
        <v>3.4</v>
      </c>
      <c r="E52" s="68"/>
      <c r="F52" s="201">
        <v>3.3</v>
      </c>
    </row>
    <row r="53" spans="1:6" x14ac:dyDescent="0.25">
      <c r="A53" s="210">
        <v>3</v>
      </c>
      <c r="B53" s="78" t="s">
        <v>143</v>
      </c>
      <c r="C53" s="201">
        <v>4</v>
      </c>
      <c r="D53" s="201">
        <v>3.5</v>
      </c>
      <c r="E53" s="68"/>
      <c r="F53" s="201">
        <v>3.5</v>
      </c>
    </row>
    <row r="54" spans="1:6" x14ac:dyDescent="0.25">
      <c r="A54" s="210">
        <v>4</v>
      </c>
      <c r="B54" s="78" t="s">
        <v>144</v>
      </c>
      <c r="C54" s="201">
        <v>4</v>
      </c>
      <c r="D54" s="201">
        <v>3.3</v>
      </c>
      <c r="E54" s="68"/>
      <c r="F54" s="201">
        <v>3.5</v>
      </c>
    </row>
    <row r="55" spans="1:6" x14ac:dyDescent="0.25">
      <c r="A55" s="210">
        <v>5</v>
      </c>
      <c r="B55" s="78" t="s">
        <v>145</v>
      </c>
      <c r="C55" s="201">
        <v>4</v>
      </c>
      <c r="D55" s="201">
        <v>3.5</v>
      </c>
      <c r="E55" s="68"/>
      <c r="F55" s="201">
        <v>3.3</v>
      </c>
    </row>
    <row r="56" spans="1:6" x14ac:dyDescent="0.25">
      <c r="A56" s="210">
        <v>6</v>
      </c>
      <c r="B56" s="78" t="s">
        <v>146</v>
      </c>
      <c r="C56" s="51">
        <v>4</v>
      </c>
      <c r="D56" s="51">
        <v>3.2</v>
      </c>
      <c r="E56" s="68"/>
      <c r="F56" s="201">
        <v>3.5</v>
      </c>
    </row>
    <row r="57" spans="1:6" x14ac:dyDescent="0.25">
      <c r="A57" s="210">
        <v>7</v>
      </c>
      <c r="B57" s="78" t="s">
        <v>147</v>
      </c>
      <c r="C57" s="51">
        <v>4</v>
      </c>
      <c r="D57" s="51">
        <v>3.2</v>
      </c>
      <c r="E57" s="68"/>
      <c r="F57" s="201">
        <v>3.1</v>
      </c>
    </row>
    <row r="58" spans="1:6" x14ac:dyDescent="0.25">
      <c r="A58" s="210">
        <v>8</v>
      </c>
      <c r="B58" s="72" t="s">
        <v>148</v>
      </c>
      <c r="C58" s="51">
        <v>4</v>
      </c>
      <c r="D58" s="201">
        <v>3.3</v>
      </c>
      <c r="E58" s="37"/>
      <c r="F58" s="201">
        <v>3.3</v>
      </c>
    </row>
    <row r="59" spans="1:6" x14ac:dyDescent="0.25">
      <c r="A59" s="210">
        <v>9</v>
      </c>
      <c r="B59" s="78" t="s">
        <v>149</v>
      </c>
      <c r="C59" s="34">
        <v>4</v>
      </c>
      <c r="D59" s="46">
        <v>3.4</v>
      </c>
      <c r="E59" s="16"/>
      <c r="F59" s="46">
        <v>3.5</v>
      </c>
    </row>
    <row r="60" spans="1:6" x14ac:dyDescent="0.25">
      <c r="A60" s="210">
        <v>10</v>
      </c>
      <c r="B60" s="78" t="s">
        <v>150</v>
      </c>
      <c r="C60" s="34">
        <v>4</v>
      </c>
      <c r="D60" s="46">
        <v>3.3</v>
      </c>
      <c r="E60" s="16"/>
      <c r="F60" s="46">
        <v>3.4</v>
      </c>
    </row>
    <row r="61" spans="1:6" x14ac:dyDescent="0.25">
      <c r="A61" s="210">
        <v>11</v>
      </c>
      <c r="B61" s="78" t="s">
        <v>151</v>
      </c>
      <c r="C61" s="34">
        <v>4</v>
      </c>
      <c r="D61" s="46">
        <v>3.3</v>
      </c>
      <c r="E61" s="16"/>
      <c r="F61" s="46">
        <v>3.3</v>
      </c>
    </row>
    <row r="62" spans="1:6" ht="15.75" thickBot="1" x14ac:dyDescent="0.3">
      <c r="A62" s="211"/>
      <c r="B62" s="18" t="s">
        <v>8</v>
      </c>
      <c r="C62" s="62">
        <v>4</v>
      </c>
      <c r="D62" s="214">
        <v>3.3</v>
      </c>
      <c r="E62" s="187"/>
      <c r="F62" s="214">
        <v>3.4</v>
      </c>
    </row>
    <row r="63" spans="1:6" x14ac:dyDescent="0.25">
      <c r="A63" s="212"/>
      <c r="B63" s="184"/>
      <c r="C63" s="213"/>
      <c r="D63" s="213"/>
      <c r="E63" s="185"/>
      <c r="F63" s="213"/>
    </row>
    <row r="64" spans="1:6" x14ac:dyDescent="0.25">
      <c r="A64" s="210"/>
      <c r="B64" s="89" t="s">
        <v>164</v>
      </c>
      <c r="C64" s="51" t="s">
        <v>4</v>
      </c>
      <c r="D64" s="201"/>
      <c r="E64" s="68"/>
      <c r="F64" s="201"/>
    </row>
    <row r="65" spans="1:6" x14ac:dyDescent="0.25">
      <c r="A65" s="210">
        <v>1</v>
      </c>
      <c r="B65" s="78" t="s">
        <v>152</v>
      </c>
      <c r="C65" s="34">
        <v>4</v>
      </c>
      <c r="D65" s="46">
        <v>3.3</v>
      </c>
      <c r="E65" s="16"/>
      <c r="F65" s="46">
        <v>3.4</v>
      </c>
    </row>
    <row r="66" spans="1:6" x14ac:dyDescent="0.25">
      <c r="A66" s="210">
        <v>2</v>
      </c>
      <c r="B66" s="78" t="s">
        <v>153</v>
      </c>
      <c r="C66" s="34">
        <v>4</v>
      </c>
      <c r="D66" s="46">
        <v>3.2</v>
      </c>
      <c r="E66" s="16"/>
      <c r="F66" s="46">
        <v>3.5</v>
      </c>
    </row>
    <row r="67" spans="1:6" x14ac:dyDescent="0.25">
      <c r="A67" s="210">
        <v>3</v>
      </c>
      <c r="B67" s="78" t="s">
        <v>154</v>
      </c>
      <c r="C67" s="34">
        <v>4</v>
      </c>
      <c r="D67" s="46">
        <v>3.3</v>
      </c>
      <c r="E67" s="16"/>
      <c r="F67" s="46">
        <v>3.3</v>
      </c>
    </row>
    <row r="68" spans="1:6" x14ac:dyDescent="0.25">
      <c r="A68" s="210">
        <v>4</v>
      </c>
      <c r="B68" s="78" t="s">
        <v>155</v>
      </c>
      <c r="C68" s="34">
        <v>4</v>
      </c>
      <c r="D68" s="46">
        <v>3.4</v>
      </c>
      <c r="E68" s="16"/>
      <c r="F68" s="46">
        <v>3.4</v>
      </c>
    </row>
    <row r="69" spans="1:6" x14ac:dyDescent="0.25">
      <c r="A69" s="210">
        <v>5</v>
      </c>
      <c r="B69" s="78" t="s">
        <v>156</v>
      </c>
      <c r="C69" s="34">
        <v>4</v>
      </c>
      <c r="D69" s="46">
        <v>3.3</v>
      </c>
      <c r="E69" s="16"/>
      <c r="F69" s="46">
        <v>3.2</v>
      </c>
    </row>
    <row r="70" spans="1:6" x14ac:dyDescent="0.25">
      <c r="A70" s="210">
        <v>6</v>
      </c>
      <c r="B70" s="78" t="s">
        <v>157</v>
      </c>
      <c r="C70" s="34">
        <v>4</v>
      </c>
      <c r="D70" s="46">
        <v>3.5</v>
      </c>
      <c r="E70" s="16"/>
      <c r="F70" s="46">
        <v>3.1</v>
      </c>
    </row>
    <row r="71" spans="1:6" x14ac:dyDescent="0.25">
      <c r="A71" s="210">
        <v>7</v>
      </c>
      <c r="B71" s="78" t="s">
        <v>158</v>
      </c>
      <c r="C71" s="34">
        <v>4</v>
      </c>
      <c r="D71" s="46">
        <v>3.3</v>
      </c>
      <c r="E71" s="16"/>
      <c r="F71" s="46">
        <v>3.3</v>
      </c>
    </row>
    <row r="72" spans="1:6" x14ac:dyDescent="0.25">
      <c r="A72" s="210">
        <v>8</v>
      </c>
      <c r="B72" s="78" t="s">
        <v>159</v>
      </c>
      <c r="C72" s="34">
        <v>4</v>
      </c>
      <c r="D72" s="46">
        <v>3.5</v>
      </c>
      <c r="E72" s="16"/>
      <c r="F72" s="46">
        <v>3.5</v>
      </c>
    </row>
    <row r="73" spans="1:6" x14ac:dyDescent="0.25">
      <c r="A73" s="210">
        <v>9</v>
      </c>
      <c r="B73" s="78" t="s">
        <v>160</v>
      </c>
      <c r="C73" s="34">
        <v>4</v>
      </c>
      <c r="D73" s="46">
        <v>3.4</v>
      </c>
      <c r="E73" s="16"/>
      <c r="F73" s="46">
        <v>3.4</v>
      </c>
    </row>
    <row r="74" spans="1:6" x14ac:dyDescent="0.25">
      <c r="A74" s="210">
        <v>10</v>
      </c>
      <c r="B74" s="72" t="s">
        <v>161</v>
      </c>
      <c r="C74" s="34">
        <v>4</v>
      </c>
      <c r="D74" s="46">
        <v>3.6</v>
      </c>
      <c r="E74" s="16"/>
      <c r="F74" s="46">
        <v>3.5</v>
      </c>
    </row>
    <row r="75" spans="1:6" x14ac:dyDescent="0.25">
      <c r="A75" s="210">
        <v>11</v>
      </c>
      <c r="B75" s="78" t="s">
        <v>162</v>
      </c>
      <c r="C75" s="34">
        <v>4</v>
      </c>
      <c r="D75" s="46">
        <v>3.5</v>
      </c>
      <c r="E75" s="21"/>
      <c r="F75" s="46">
        <v>3.4</v>
      </c>
    </row>
    <row r="76" spans="1:6" ht="15.75" thickBot="1" x14ac:dyDescent="0.3">
      <c r="A76" s="211"/>
      <c r="B76" s="18" t="s">
        <v>8</v>
      </c>
      <c r="C76" s="61">
        <v>4</v>
      </c>
      <c r="D76" s="61">
        <v>3.4</v>
      </c>
      <c r="E76" s="186"/>
      <c r="F76" s="220">
        <v>3.4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56"/>
  <sheetViews>
    <sheetView zoomScale="80" zoomScaleNormal="80" workbookViewId="0">
      <selection activeCell="F12" sqref="F12"/>
    </sheetView>
  </sheetViews>
  <sheetFormatPr defaultRowHeight="15" x14ac:dyDescent="0.25"/>
  <cols>
    <col min="1" max="1" width="5.5703125" customWidth="1"/>
    <col min="2" max="2" width="116" customWidth="1"/>
  </cols>
  <sheetData>
    <row r="1" spans="1:6" x14ac:dyDescent="0.25">
      <c r="B1" s="4" t="s">
        <v>45</v>
      </c>
      <c r="C1" s="3"/>
      <c r="D1" s="3"/>
    </row>
    <row r="2" spans="1:6" x14ac:dyDescent="0.25">
      <c r="B2" s="5" t="s">
        <v>1</v>
      </c>
      <c r="C2" s="6" t="s">
        <v>55</v>
      </c>
      <c r="D2" s="6" t="s">
        <v>55</v>
      </c>
      <c r="E2" s="6" t="s">
        <v>61</v>
      </c>
      <c r="F2" s="6" t="s">
        <v>54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>
        <v>3.4</v>
      </c>
      <c r="E7" s="25">
        <v>3.5</v>
      </c>
      <c r="F7" s="45">
        <v>4</v>
      </c>
    </row>
    <row r="8" spans="1:6" x14ac:dyDescent="0.25">
      <c r="A8" s="39" t="s">
        <v>12</v>
      </c>
      <c r="B8" s="42" t="s">
        <v>32</v>
      </c>
      <c r="C8" s="34">
        <v>4</v>
      </c>
      <c r="D8" s="46">
        <v>3.5</v>
      </c>
      <c r="E8" s="34">
        <v>3.5</v>
      </c>
      <c r="F8" s="46">
        <v>4</v>
      </c>
    </row>
    <row r="9" spans="1:6" x14ac:dyDescent="0.25">
      <c r="A9" s="39" t="s">
        <v>14</v>
      </c>
      <c r="B9" s="42" t="s">
        <v>64</v>
      </c>
      <c r="C9" s="34">
        <v>4</v>
      </c>
      <c r="D9" s="46">
        <v>3.4</v>
      </c>
      <c r="E9" s="34">
        <v>3.5</v>
      </c>
      <c r="F9" s="46">
        <v>4</v>
      </c>
    </row>
    <row r="10" spans="1:6" x14ac:dyDescent="0.25">
      <c r="A10" s="39" t="s">
        <v>15</v>
      </c>
      <c r="B10" s="42" t="s">
        <v>65</v>
      </c>
      <c r="C10" s="34">
        <v>4</v>
      </c>
      <c r="D10" s="46">
        <v>3.5</v>
      </c>
      <c r="E10" s="34">
        <v>3.6</v>
      </c>
      <c r="F10" s="46">
        <v>4</v>
      </c>
    </row>
    <row r="11" spans="1:6" x14ac:dyDescent="0.25">
      <c r="A11" s="40"/>
      <c r="B11" s="33" t="s">
        <v>8</v>
      </c>
      <c r="C11" s="196">
        <v>4</v>
      </c>
      <c r="D11" s="47">
        <v>3.5</v>
      </c>
      <c r="E11" s="61">
        <v>3.5</v>
      </c>
      <c r="F11" s="47">
        <v>4</v>
      </c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x14ac:dyDescent="0.25">
      <c r="A13" s="2"/>
      <c r="B13" s="20" t="s">
        <v>16</v>
      </c>
      <c r="C13" s="12"/>
      <c r="D13" s="59"/>
      <c r="E13" s="12"/>
      <c r="F13" s="48"/>
    </row>
    <row r="14" spans="1:6" ht="15.75" customHeight="1" x14ac:dyDescent="0.25">
      <c r="A14" s="40" t="s">
        <v>17</v>
      </c>
      <c r="B14" s="29" t="s">
        <v>33</v>
      </c>
      <c r="C14" s="25">
        <v>4</v>
      </c>
      <c r="D14" s="46">
        <v>3.5</v>
      </c>
      <c r="E14" s="25">
        <v>3.5</v>
      </c>
      <c r="F14" s="46">
        <v>4</v>
      </c>
    </row>
    <row r="15" spans="1:6" x14ac:dyDescent="0.25">
      <c r="A15" s="40" t="s">
        <v>34</v>
      </c>
      <c r="B15" s="29" t="s">
        <v>67</v>
      </c>
      <c r="C15" s="34">
        <v>4</v>
      </c>
      <c r="D15" s="46">
        <v>3.4</v>
      </c>
      <c r="E15" s="34">
        <v>3.5</v>
      </c>
      <c r="F15" s="46">
        <v>4</v>
      </c>
    </row>
    <row r="16" spans="1:6" x14ac:dyDescent="0.25">
      <c r="A16" s="40" t="s">
        <v>35</v>
      </c>
      <c r="B16" s="29" t="s">
        <v>68</v>
      </c>
      <c r="C16" s="34">
        <v>4</v>
      </c>
      <c r="D16" s="46">
        <v>3.5</v>
      </c>
      <c r="E16" s="34">
        <v>3.6</v>
      </c>
      <c r="F16" s="46">
        <v>4</v>
      </c>
    </row>
    <row r="17" spans="1:6" x14ac:dyDescent="0.25">
      <c r="A17" s="41" t="s">
        <v>66</v>
      </c>
      <c r="B17" s="29" t="s">
        <v>69</v>
      </c>
      <c r="C17" s="34">
        <v>4</v>
      </c>
      <c r="D17" s="46">
        <v>3.5</v>
      </c>
      <c r="E17" s="34">
        <v>3.5</v>
      </c>
      <c r="F17" s="46">
        <v>4</v>
      </c>
    </row>
    <row r="18" spans="1:6" x14ac:dyDescent="0.25">
      <c r="A18" s="40"/>
      <c r="B18" s="14" t="s">
        <v>8</v>
      </c>
      <c r="C18" s="196">
        <v>4</v>
      </c>
      <c r="D18" s="49">
        <v>3.5</v>
      </c>
      <c r="E18" s="61">
        <v>3.5</v>
      </c>
      <c r="F18" s="49">
        <v>4</v>
      </c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4</v>
      </c>
      <c r="D21" s="50">
        <v>3.5</v>
      </c>
      <c r="E21" s="25">
        <v>3.6</v>
      </c>
      <c r="F21" s="50">
        <v>4</v>
      </c>
    </row>
    <row r="22" spans="1:6" x14ac:dyDescent="0.25">
      <c r="A22" s="40" t="s">
        <v>72</v>
      </c>
      <c r="B22" s="24" t="s">
        <v>76</v>
      </c>
      <c r="C22" s="36">
        <v>4</v>
      </c>
      <c r="D22" s="51">
        <v>3.5</v>
      </c>
      <c r="E22" s="36">
        <v>3.6</v>
      </c>
      <c r="F22" s="51">
        <v>4</v>
      </c>
    </row>
    <row r="23" spans="1:6" x14ac:dyDescent="0.25">
      <c r="A23" s="40" t="s">
        <v>73</v>
      </c>
      <c r="B23" s="24" t="s">
        <v>77</v>
      </c>
      <c r="C23" s="36">
        <v>4</v>
      </c>
      <c r="D23" s="51">
        <v>3.5</v>
      </c>
      <c r="E23" s="36">
        <v>3.6</v>
      </c>
      <c r="F23" s="51">
        <v>4</v>
      </c>
    </row>
    <row r="24" spans="1:6" x14ac:dyDescent="0.25">
      <c r="A24" s="3"/>
      <c r="B24" s="14" t="s">
        <v>8</v>
      </c>
      <c r="C24" s="207">
        <v>4</v>
      </c>
      <c r="D24" s="49">
        <v>3.5</v>
      </c>
      <c r="E24" s="62">
        <v>3.6</v>
      </c>
      <c r="F24" s="49">
        <v>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>
        <v>3.4</v>
      </c>
      <c r="E27" s="25">
        <v>3.6</v>
      </c>
      <c r="F27" s="45">
        <v>4</v>
      </c>
    </row>
    <row r="28" spans="1:6" x14ac:dyDescent="0.25">
      <c r="A28" s="1" t="s">
        <v>22</v>
      </c>
      <c r="B28" s="30" t="s">
        <v>37</v>
      </c>
      <c r="C28" s="34">
        <v>4</v>
      </c>
      <c r="D28" s="46">
        <v>3.5</v>
      </c>
      <c r="E28" s="34">
        <v>3.5</v>
      </c>
      <c r="F28" s="46">
        <v>4</v>
      </c>
    </row>
    <row r="29" spans="1:6" x14ac:dyDescent="0.25">
      <c r="A29" s="1" t="s">
        <v>23</v>
      </c>
      <c r="B29" s="30" t="s">
        <v>38</v>
      </c>
      <c r="C29" s="34">
        <v>4</v>
      </c>
      <c r="D29" s="46">
        <v>3.5</v>
      </c>
      <c r="E29" s="34">
        <v>3.6</v>
      </c>
      <c r="F29" s="46">
        <v>4</v>
      </c>
    </row>
    <row r="30" spans="1:6" x14ac:dyDescent="0.25">
      <c r="A30" s="1"/>
      <c r="B30" s="14" t="s">
        <v>8</v>
      </c>
      <c r="C30" s="207">
        <v>4</v>
      </c>
      <c r="D30" s="47">
        <v>3.5</v>
      </c>
      <c r="E30" s="62">
        <v>3.6</v>
      </c>
      <c r="F30" s="47">
        <v>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4</v>
      </c>
      <c r="D32" s="46">
        <v>3.4</v>
      </c>
      <c r="E32" s="25">
        <v>3.5</v>
      </c>
      <c r="F32" s="46">
        <v>4</v>
      </c>
    </row>
    <row r="33" spans="1:6" x14ac:dyDescent="0.25">
      <c r="A33" s="1" t="s">
        <v>24</v>
      </c>
      <c r="B33" s="30" t="s">
        <v>40</v>
      </c>
      <c r="C33" s="34">
        <v>4</v>
      </c>
      <c r="D33" s="46">
        <v>3.5</v>
      </c>
      <c r="E33" s="34">
        <v>3.5</v>
      </c>
      <c r="F33" s="46">
        <v>4</v>
      </c>
    </row>
    <row r="34" spans="1:6" x14ac:dyDescent="0.25">
      <c r="A34" s="1" t="s">
        <v>25</v>
      </c>
      <c r="B34" s="30" t="s">
        <v>78</v>
      </c>
      <c r="C34" s="34">
        <v>4</v>
      </c>
      <c r="D34" s="46">
        <v>3.5</v>
      </c>
      <c r="E34" s="34">
        <v>3.6</v>
      </c>
      <c r="F34" s="46">
        <v>4</v>
      </c>
    </row>
    <row r="35" spans="1:6" ht="15.75" customHeight="1" x14ac:dyDescent="0.25">
      <c r="A35" s="1" t="s">
        <v>26</v>
      </c>
      <c r="B35" s="30" t="s">
        <v>79</v>
      </c>
      <c r="C35" s="34">
        <v>4</v>
      </c>
      <c r="D35" s="46">
        <v>3.5</v>
      </c>
      <c r="E35" s="34">
        <v>3.6</v>
      </c>
      <c r="F35" s="46">
        <v>4</v>
      </c>
    </row>
    <row r="36" spans="1:6" x14ac:dyDescent="0.25">
      <c r="A36" s="3"/>
      <c r="B36" s="14" t="s">
        <v>8</v>
      </c>
      <c r="C36" s="207">
        <v>4</v>
      </c>
      <c r="D36" s="47">
        <v>3.5</v>
      </c>
      <c r="E36" s="62">
        <v>3.6</v>
      </c>
      <c r="F36" s="47">
        <v>4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4</v>
      </c>
      <c r="D38" s="45">
        <v>3.4</v>
      </c>
      <c r="E38" s="25">
        <v>3.5</v>
      </c>
      <c r="F38" s="45">
        <v>4</v>
      </c>
    </row>
    <row r="39" spans="1:6" x14ac:dyDescent="0.25">
      <c r="A39" s="1" t="s">
        <v>28</v>
      </c>
      <c r="B39" s="30" t="s">
        <v>80</v>
      </c>
      <c r="C39" s="34">
        <v>4</v>
      </c>
      <c r="D39" s="46">
        <v>3.4</v>
      </c>
      <c r="E39" s="34">
        <v>3.5</v>
      </c>
      <c r="F39" s="46">
        <v>4</v>
      </c>
    </row>
    <row r="40" spans="1:6" x14ac:dyDescent="0.25">
      <c r="A40" s="1" t="s">
        <v>29</v>
      </c>
      <c r="B40" s="30" t="s">
        <v>81</v>
      </c>
      <c r="C40" s="34">
        <v>4</v>
      </c>
      <c r="D40" s="46">
        <v>3.5</v>
      </c>
      <c r="E40" s="34">
        <v>3.5</v>
      </c>
      <c r="F40" s="46">
        <v>4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3.5</v>
      </c>
      <c r="E41" s="34">
        <v>3.6</v>
      </c>
      <c r="F41" s="46">
        <v>4</v>
      </c>
    </row>
    <row r="42" spans="1:6" x14ac:dyDescent="0.25">
      <c r="A42" s="26" t="s">
        <v>4</v>
      </c>
      <c r="B42" s="14" t="s">
        <v>8</v>
      </c>
      <c r="C42" s="208">
        <v>4</v>
      </c>
      <c r="D42" s="56">
        <v>3.5</v>
      </c>
      <c r="E42" s="63">
        <v>3.5</v>
      </c>
      <c r="F42" s="56">
        <v>4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15"/>
      <c r="D44" s="52"/>
      <c r="E44" s="15"/>
      <c r="F44" s="52"/>
    </row>
    <row r="45" spans="1:6" x14ac:dyDescent="0.25">
      <c r="A45" s="30" t="s">
        <v>85</v>
      </c>
      <c r="B45" s="30" t="s">
        <v>88</v>
      </c>
      <c r="C45" s="34">
        <v>4</v>
      </c>
      <c r="D45" s="46">
        <v>3.5</v>
      </c>
      <c r="E45" s="34">
        <v>3.6</v>
      </c>
      <c r="F45" s="45">
        <v>4</v>
      </c>
    </row>
    <row r="46" spans="1:6" x14ac:dyDescent="0.25">
      <c r="A46" s="30" t="s">
        <v>86</v>
      </c>
      <c r="B46" s="30" t="s">
        <v>89</v>
      </c>
      <c r="C46" s="34">
        <v>4</v>
      </c>
      <c r="D46" s="46">
        <v>3.5</v>
      </c>
      <c r="E46" s="34">
        <v>3.5</v>
      </c>
      <c r="F46" s="46">
        <v>4</v>
      </c>
    </row>
    <row r="47" spans="1:6" x14ac:dyDescent="0.25">
      <c r="A47" s="30" t="s">
        <v>87</v>
      </c>
      <c r="B47" s="30" t="s">
        <v>90</v>
      </c>
      <c r="C47" s="34">
        <v>4</v>
      </c>
      <c r="D47" s="46">
        <v>3.4</v>
      </c>
      <c r="E47" s="34">
        <v>3.5</v>
      </c>
      <c r="F47" s="46">
        <v>4</v>
      </c>
    </row>
    <row r="48" spans="1:6" ht="15.75" thickBot="1" x14ac:dyDescent="0.3">
      <c r="A48" s="17" t="s">
        <v>4</v>
      </c>
      <c r="B48" s="18" t="s">
        <v>8</v>
      </c>
      <c r="C48" s="191">
        <v>4</v>
      </c>
      <c r="D48" s="58">
        <v>3.5</v>
      </c>
      <c r="E48" s="191">
        <v>3.5</v>
      </c>
      <c r="F48" s="58">
        <v>4</v>
      </c>
    </row>
    <row r="49" spans="1:6" x14ac:dyDescent="0.25">
      <c r="A49" s="65"/>
      <c r="B49" s="81" t="s">
        <v>248</v>
      </c>
      <c r="C49" s="182"/>
      <c r="D49" s="209"/>
      <c r="E49" s="182"/>
      <c r="F49" s="219"/>
    </row>
    <row r="50" spans="1:6" x14ac:dyDescent="0.25">
      <c r="A50" s="65">
        <v>1</v>
      </c>
      <c r="B50" s="64" t="s">
        <v>165</v>
      </c>
      <c r="C50" s="51">
        <v>4</v>
      </c>
      <c r="D50" s="201">
        <v>4</v>
      </c>
      <c r="E50" s="51">
        <v>3.6</v>
      </c>
      <c r="F50" s="201">
        <v>4</v>
      </c>
    </row>
    <row r="51" spans="1:6" x14ac:dyDescent="0.25">
      <c r="A51" s="65">
        <v>2</v>
      </c>
      <c r="B51" s="64" t="s">
        <v>166</v>
      </c>
      <c r="C51" s="51">
        <v>4</v>
      </c>
      <c r="D51" s="201">
        <v>4</v>
      </c>
      <c r="E51" s="51">
        <v>3.6</v>
      </c>
      <c r="F51" s="201">
        <v>4</v>
      </c>
    </row>
    <row r="52" spans="1:6" x14ac:dyDescent="0.25">
      <c r="A52" s="65">
        <v>3</v>
      </c>
      <c r="B52" s="64" t="s">
        <v>167</v>
      </c>
      <c r="C52" s="51">
        <v>4</v>
      </c>
      <c r="D52" s="201">
        <v>4</v>
      </c>
      <c r="E52" s="51">
        <v>3.8</v>
      </c>
      <c r="F52" s="201">
        <v>4</v>
      </c>
    </row>
    <row r="53" spans="1:6" x14ac:dyDescent="0.25">
      <c r="A53" s="65">
        <v>4</v>
      </c>
      <c r="B53" s="64" t="s">
        <v>168</v>
      </c>
      <c r="C53" s="51">
        <v>4</v>
      </c>
      <c r="D53" s="201">
        <v>4</v>
      </c>
      <c r="E53" s="51">
        <v>3.6</v>
      </c>
      <c r="F53" s="201">
        <v>4</v>
      </c>
    </row>
    <row r="54" spans="1:6" x14ac:dyDescent="0.25">
      <c r="A54" s="65">
        <v>5</v>
      </c>
      <c r="B54" s="64" t="s">
        <v>169</v>
      </c>
      <c r="C54" s="51">
        <v>4</v>
      </c>
      <c r="D54" s="201">
        <v>4</v>
      </c>
      <c r="E54" s="51">
        <v>3.8</v>
      </c>
      <c r="F54" s="201">
        <v>4</v>
      </c>
    </row>
    <row r="55" spans="1:6" x14ac:dyDescent="0.25">
      <c r="A55" s="65">
        <v>6</v>
      </c>
      <c r="B55" s="75" t="s">
        <v>170</v>
      </c>
      <c r="C55" s="35">
        <v>4</v>
      </c>
      <c r="D55" s="35">
        <v>4</v>
      </c>
      <c r="E55" s="35">
        <v>3.6</v>
      </c>
      <c r="F55" s="205">
        <v>4</v>
      </c>
    </row>
    <row r="56" spans="1:6" ht="15.75" thickBot="1" x14ac:dyDescent="0.3">
      <c r="A56" s="17" t="s">
        <v>4</v>
      </c>
      <c r="B56" s="18" t="s">
        <v>8</v>
      </c>
      <c r="C56" s="191">
        <f>AVERAGE(C50:C55)</f>
        <v>4</v>
      </c>
      <c r="D56" s="58">
        <f>AVERAGE(D50:D55)</f>
        <v>4</v>
      </c>
      <c r="E56" s="191">
        <v>3.7</v>
      </c>
      <c r="F56" s="58">
        <v>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61"/>
  <sheetViews>
    <sheetView zoomScale="80" zoomScaleNormal="80" workbookViewId="0">
      <selection activeCell="F65" sqref="F65"/>
    </sheetView>
  </sheetViews>
  <sheetFormatPr defaultRowHeight="15" x14ac:dyDescent="0.25"/>
  <cols>
    <col min="1" max="1" width="5.140625" customWidth="1"/>
    <col min="2" max="2" width="109.140625" customWidth="1"/>
  </cols>
  <sheetData>
    <row r="1" spans="1:6" x14ac:dyDescent="0.25">
      <c r="B1" s="4" t="s">
        <v>46</v>
      </c>
      <c r="C1" s="3"/>
      <c r="D1" s="3"/>
    </row>
    <row r="2" spans="1:6" x14ac:dyDescent="0.25">
      <c r="B2" s="5" t="s">
        <v>1</v>
      </c>
      <c r="C2" s="6" t="s">
        <v>54</v>
      </c>
      <c r="D2" s="6" t="s">
        <v>55</v>
      </c>
      <c r="E2" s="6" t="s">
        <v>252</v>
      </c>
      <c r="F2" s="6" t="s">
        <v>56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>
        <v>3.8</v>
      </c>
      <c r="E7" s="25"/>
      <c r="F7" s="45">
        <v>3.6</v>
      </c>
    </row>
    <row r="8" spans="1:6" x14ac:dyDescent="0.25">
      <c r="A8" s="39" t="s">
        <v>12</v>
      </c>
      <c r="B8" s="42" t="s">
        <v>32</v>
      </c>
      <c r="C8" s="34">
        <v>4</v>
      </c>
      <c r="D8" s="46">
        <v>3.7</v>
      </c>
      <c r="E8" s="34"/>
      <c r="F8" s="46">
        <v>3.5</v>
      </c>
    </row>
    <row r="9" spans="1:6" x14ac:dyDescent="0.25">
      <c r="A9" s="39" t="s">
        <v>14</v>
      </c>
      <c r="B9" s="42" t="s">
        <v>64</v>
      </c>
      <c r="C9" s="34">
        <v>4</v>
      </c>
      <c r="D9" s="46">
        <v>3.9</v>
      </c>
      <c r="E9" s="34"/>
      <c r="F9" s="46">
        <v>3.5</v>
      </c>
    </row>
    <row r="10" spans="1:6" x14ac:dyDescent="0.25">
      <c r="A10" s="39" t="s">
        <v>15</v>
      </c>
      <c r="B10" s="42" t="s">
        <v>65</v>
      </c>
      <c r="C10" s="34">
        <v>4</v>
      </c>
      <c r="D10" s="46">
        <v>3.8</v>
      </c>
      <c r="E10" s="34"/>
      <c r="F10" s="46">
        <v>3.6</v>
      </c>
    </row>
    <row r="11" spans="1:6" x14ac:dyDescent="0.25">
      <c r="A11" s="40"/>
      <c r="B11" s="33" t="s">
        <v>8</v>
      </c>
      <c r="C11" s="61">
        <v>4</v>
      </c>
      <c r="D11" s="47">
        <f>AVERAGE(D7:D10)</f>
        <v>3.8</v>
      </c>
      <c r="E11" s="61"/>
      <c r="F11" s="47">
        <v>3.6</v>
      </c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x14ac:dyDescent="0.25">
      <c r="A13" s="2"/>
      <c r="B13" s="20" t="s">
        <v>16</v>
      </c>
      <c r="C13" s="12"/>
      <c r="D13" s="59"/>
      <c r="E13" s="12"/>
      <c r="F13" s="48"/>
    </row>
    <row r="14" spans="1:6" ht="15.75" customHeight="1" x14ac:dyDescent="0.25">
      <c r="A14" s="40" t="s">
        <v>17</v>
      </c>
      <c r="B14" s="29" t="s">
        <v>33</v>
      </c>
      <c r="C14" s="25">
        <v>4</v>
      </c>
      <c r="D14" s="46">
        <v>3.3</v>
      </c>
      <c r="E14" s="25"/>
      <c r="F14" s="46">
        <v>3.5</v>
      </c>
    </row>
    <row r="15" spans="1:6" x14ac:dyDescent="0.25">
      <c r="A15" s="40" t="s">
        <v>34</v>
      </c>
      <c r="B15" s="29" t="s">
        <v>67</v>
      </c>
      <c r="C15" s="34">
        <v>4</v>
      </c>
      <c r="D15" s="46">
        <v>3.7</v>
      </c>
      <c r="E15" s="34"/>
      <c r="F15" s="46">
        <v>3.5</v>
      </c>
    </row>
    <row r="16" spans="1:6" x14ac:dyDescent="0.25">
      <c r="A16" s="40" t="s">
        <v>35</v>
      </c>
      <c r="B16" s="29" t="s">
        <v>68</v>
      </c>
      <c r="C16" s="34">
        <v>4</v>
      </c>
      <c r="D16" s="46">
        <v>3.5</v>
      </c>
      <c r="E16" s="34"/>
      <c r="F16" s="46">
        <v>3.4</v>
      </c>
    </row>
    <row r="17" spans="1:6" x14ac:dyDescent="0.25">
      <c r="A17" s="41" t="s">
        <v>66</v>
      </c>
      <c r="B17" s="29" t="s">
        <v>69</v>
      </c>
      <c r="C17" s="34">
        <v>4</v>
      </c>
      <c r="D17" s="46">
        <v>3.5</v>
      </c>
      <c r="E17" s="34"/>
      <c r="F17" s="46">
        <v>3.6</v>
      </c>
    </row>
    <row r="18" spans="1:6" x14ac:dyDescent="0.25">
      <c r="A18" s="40"/>
      <c r="B18" s="14" t="s">
        <v>8</v>
      </c>
      <c r="C18" s="61">
        <v>4</v>
      </c>
      <c r="D18" s="49">
        <f>AVERAGE(D14:D17)</f>
        <v>3.5</v>
      </c>
      <c r="E18" s="61"/>
      <c r="F18" s="49">
        <f>AVERAGE(F14:F17)</f>
        <v>3.5</v>
      </c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4</v>
      </c>
      <c r="D21" s="50">
        <v>3.5</v>
      </c>
      <c r="E21" s="25"/>
      <c r="F21" s="50">
        <v>3.8</v>
      </c>
    </row>
    <row r="22" spans="1:6" x14ac:dyDescent="0.25">
      <c r="A22" s="40" t="s">
        <v>72</v>
      </c>
      <c r="B22" s="24" t="s">
        <v>76</v>
      </c>
      <c r="C22" s="36">
        <v>4</v>
      </c>
      <c r="D22" s="51">
        <v>3</v>
      </c>
      <c r="E22" s="36"/>
      <c r="F22" s="51">
        <v>3.1</v>
      </c>
    </row>
    <row r="23" spans="1:6" x14ac:dyDescent="0.25">
      <c r="A23" s="40" t="s">
        <v>73</v>
      </c>
      <c r="B23" s="24" t="s">
        <v>77</v>
      </c>
      <c r="C23" s="36">
        <v>4</v>
      </c>
      <c r="D23" s="51">
        <v>3.5</v>
      </c>
      <c r="E23" s="36"/>
      <c r="F23" s="51">
        <v>3.5</v>
      </c>
    </row>
    <row r="24" spans="1:6" x14ac:dyDescent="0.25">
      <c r="A24" s="3"/>
      <c r="B24" s="14" t="s">
        <v>8</v>
      </c>
      <c r="C24" s="62">
        <v>4</v>
      </c>
      <c r="D24" s="49">
        <v>3.3</v>
      </c>
      <c r="E24" s="62"/>
      <c r="F24" s="49">
        <v>3.5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>
        <v>3</v>
      </c>
      <c r="E27" s="25"/>
      <c r="F27" s="45">
        <v>3.2</v>
      </c>
    </row>
    <row r="28" spans="1:6" x14ac:dyDescent="0.25">
      <c r="A28" s="1" t="s">
        <v>22</v>
      </c>
      <c r="B28" s="30" t="s">
        <v>37</v>
      </c>
      <c r="C28" s="34">
        <v>4</v>
      </c>
      <c r="D28" s="46">
        <v>3.2</v>
      </c>
      <c r="E28" s="34"/>
      <c r="F28" s="46">
        <v>3.2</v>
      </c>
    </row>
    <row r="29" spans="1:6" x14ac:dyDescent="0.25">
      <c r="A29" s="1" t="s">
        <v>23</v>
      </c>
      <c r="B29" s="30" t="s">
        <v>38</v>
      </c>
      <c r="C29" s="34">
        <v>4</v>
      </c>
      <c r="D29" s="46">
        <v>3.3</v>
      </c>
      <c r="E29" s="34"/>
      <c r="F29" s="46">
        <v>3.3</v>
      </c>
    </row>
    <row r="30" spans="1:6" x14ac:dyDescent="0.25">
      <c r="A30" s="1"/>
      <c r="B30" s="14" t="s">
        <v>8</v>
      </c>
      <c r="C30" s="62">
        <v>4</v>
      </c>
      <c r="D30" s="47">
        <v>3.2</v>
      </c>
      <c r="E30" s="62"/>
      <c r="F30" s="47">
        <v>3.2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4</v>
      </c>
      <c r="D32" s="46">
        <v>3.1</v>
      </c>
      <c r="E32" s="25"/>
      <c r="F32" s="46">
        <v>3.4</v>
      </c>
    </row>
    <row r="33" spans="1:6" x14ac:dyDescent="0.25">
      <c r="A33" s="1" t="s">
        <v>24</v>
      </c>
      <c r="B33" s="30" t="s">
        <v>40</v>
      </c>
      <c r="C33" s="34">
        <v>4</v>
      </c>
      <c r="D33" s="46">
        <v>3.3</v>
      </c>
      <c r="E33" s="34"/>
      <c r="F33" s="46">
        <v>3.3</v>
      </c>
    </row>
    <row r="34" spans="1:6" x14ac:dyDescent="0.25">
      <c r="A34" s="1" t="s">
        <v>25</v>
      </c>
      <c r="B34" s="30" t="s">
        <v>78</v>
      </c>
      <c r="C34" s="34">
        <v>4</v>
      </c>
      <c r="D34" s="46">
        <v>3.5</v>
      </c>
      <c r="E34" s="34"/>
      <c r="F34" s="46">
        <v>3.4</v>
      </c>
    </row>
    <row r="35" spans="1:6" ht="15.75" customHeight="1" x14ac:dyDescent="0.25">
      <c r="A35" s="1" t="s">
        <v>26</v>
      </c>
      <c r="B35" s="30" t="s">
        <v>79</v>
      </c>
      <c r="C35" s="34">
        <v>4</v>
      </c>
      <c r="D35" s="46">
        <v>3.8</v>
      </c>
      <c r="E35" s="34"/>
      <c r="F35" s="46">
        <v>3.5</v>
      </c>
    </row>
    <row r="36" spans="1:6" x14ac:dyDescent="0.25">
      <c r="A36" s="3"/>
      <c r="B36" s="14" t="s">
        <v>8</v>
      </c>
      <c r="C36" s="62">
        <v>4</v>
      </c>
      <c r="D36" s="47">
        <v>3.4</v>
      </c>
      <c r="E36" s="62"/>
      <c r="F36" s="47">
        <f>AVERAGE(F32:F35)</f>
        <v>3.4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4</v>
      </c>
      <c r="D38" s="45">
        <v>3.5</v>
      </c>
      <c r="E38" s="25"/>
      <c r="F38" s="45">
        <v>3.6</v>
      </c>
    </row>
    <row r="39" spans="1:6" x14ac:dyDescent="0.25">
      <c r="A39" s="1" t="s">
        <v>28</v>
      </c>
      <c r="B39" s="30" t="s">
        <v>80</v>
      </c>
      <c r="C39" s="34">
        <v>4</v>
      </c>
      <c r="D39" s="46">
        <v>3.5</v>
      </c>
      <c r="E39" s="34"/>
      <c r="F39" s="46">
        <v>3.4</v>
      </c>
    </row>
    <row r="40" spans="1:6" x14ac:dyDescent="0.25">
      <c r="A40" s="1" t="s">
        <v>29</v>
      </c>
      <c r="B40" s="30" t="s">
        <v>81</v>
      </c>
      <c r="C40" s="34">
        <v>4</v>
      </c>
      <c r="D40" s="46">
        <v>3.8</v>
      </c>
      <c r="E40" s="34"/>
      <c r="F40" s="46">
        <v>3.7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3.1</v>
      </c>
      <c r="E41" s="34"/>
      <c r="F41" s="46">
        <v>3.3</v>
      </c>
    </row>
    <row r="42" spans="1:6" x14ac:dyDescent="0.25">
      <c r="A42" s="26" t="s">
        <v>4</v>
      </c>
      <c r="B42" s="14" t="s">
        <v>8</v>
      </c>
      <c r="C42" s="63">
        <v>4</v>
      </c>
      <c r="D42" s="56">
        <v>3.5</v>
      </c>
      <c r="E42" s="63"/>
      <c r="F42" s="56">
        <f>AVERAGE(F38:F41)</f>
        <v>3.5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15"/>
      <c r="D44" s="52"/>
      <c r="E44" s="15"/>
      <c r="F44" s="52"/>
    </row>
    <row r="45" spans="1:6" x14ac:dyDescent="0.25">
      <c r="A45" s="30" t="s">
        <v>85</v>
      </c>
      <c r="B45" s="30" t="s">
        <v>88</v>
      </c>
      <c r="C45" s="34">
        <v>4</v>
      </c>
      <c r="D45" s="46">
        <v>4</v>
      </c>
      <c r="E45" s="34"/>
      <c r="F45" s="45">
        <v>3.5</v>
      </c>
    </row>
    <row r="46" spans="1:6" x14ac:dyDescent="0.25">
      <c r="A46" s="30" t="s">
        <v>86</v>
      </c>
      <c r="B46" s="30" t="s">
        <v>89</v>
      </c>
      <c r="C46" s="34">
        <v>4</v>
      </c>
      <c r="D46" s="46">
        <v>4</v>
      </c>
      <c r="E46" s="34"/>
      <c r="F46" s="46">
        <v>3.5</v>
      </c>
    </row>
    <row r="47" spans="1:6" x14ac:dyDescent="0.25">
      <c r="A47" s="30" t="s">
        <v>87</v>
      </c>
      <c r="B47" s="30" t="s">
        <v>90</v>
      </c>
      <c r="C47" s="34">
        <v>4</v>
      </c>
      <c r="D47" s="46">
        <v>4</v>
      </c>
      <c r="E47" s="34"/>
      <c r="F47" s="46">
        <v>3.3</v>
      </c>
    </row>
    <row r="48" spans="1:6" ht="15.75" thickBot="1" x14ac:dyDescent="0.3">
      <c r="A48" s="26" t="s">
        <v>4</v>
      </c>
      <c r="B48" s="33" t="s">
        <v>8</v>
      </c>
      <c r="C48" s="191">
        <v>4</v>
      </c>
      <c r="D48" s="58">
        <v>4</v>
      </c>
      <c r="E48" s="19"/>
      <c r="F48" s="58">
        <v>3.4</v>
      </c>
    </row>
    <row r="49" spans="1:6" x14ac:dyDescent="0.25">
      <c r="A49" s="65"/>
      <c r="B49" s="188" t="s">
        <v>248</v>
      </c>
      <c r="C49" s="83"/>
      <c r="D49" s="83"/>
      <c r="E49" s="82"/>
      <c r="F49" s="221"/>
    </row>
    <row r="50" spans="1:6" x14ac:dyDescent="0.25">
      <c r="A50" s="65">
        <v>1</v>
      </c>
      <c r="B50" s="75" t="s">
        <v>171</v>
      </c>
      <c r="C50" s="201">
        <v>4</v>
      </c>
      <c r="D50" s="201">
        <v>3.8</v>
      </c>
      <c r="E50" s="68"/>
      <c r="F50" s="46">
        <v>3.7</v>
      </c>
    </row>
    <row r="51" spans="1:6" x14ac:dyDescent="0.25">
      <c r="A51" s="65">
        <v>2</v>
      </c>
      <c r="B51" s="75" t="s">
        <v>172</v>
      </c>
      <c r="C51" s="201">
        <v>4</v>
      </c>
      <c r="D51" s="201">
        <v>3.7</v>
      </c>
      <c r="E51" s="68"/>
      <c r="F51" s="46">
        <v>3.6</v>
      </c>
    </row>
    <row r="52" spans="1:6" x14ac:dyDescent="0.25">
      <c r="A52" s="65">
        <v>3</v>
      </c>
      <c r="B52" s="75" t="s">
        <v>173</v>
      </c>
      <c r="C52" s="201">
        <v>4</v>
      </c>
      <c r="D52" s="201">
        <v>3.8</v>
      </c>
      <c r="E52" s="68"/>
      <c r="F52" s="46">
        <v>3.5</v>
      </c>
    </row>
    <row r="53" spans="1:6" x14ac:dyDescent="0.25">
      <c r="A53" s="65">
        <v>4</v>
      </c>
      <c r="B53" s="75" t="s">
        <v>174</v>
      </c>
      <c r="C53" s="201">
        <v>4</v>
      </c>
      <c r="D53" s="201">
        <v>3.8</v>
      </c>
      <c r="E53" s="68"/>
      <c r="F53" s="46">
        <v>3.6</v>
      </c>
    </row>
    <row r="54" spans="1:6" x14ac:dyDescent="0.25">
      <c r="A54" s="65">
        <v>5</v>
      </c>
      <c r="B54" s="75" t="s">
        <v>175</v>
      </c>
      <c r="C54" s="201">
        <v>4</v>
      </c>
      <c r="D54" s="201">
        <v>3.6</v>
      </c>
      <c r="E54" s="68"/>
      <c r="F54" s="46">
        <v>3.8</v>
      </c>
    </row>
    <row r="55" spans="1:6" x14ac:dyDescent="0.25">
      <c r="A55" s="65">
        <v>6</v>
      </c>
      <c r="B55" s="75" t="s">
        <v>176</v>
      </c>
      <c r="C55" s="51">
        <v>4</v>
      </c>
      <c r="D55" s="51">
        <v>3.7</v>
      </c>
      <c r="E55" s="68"/>
      <c r="F55" s="46">
        <v>3.5</v>
      </c>
    </row>
    <row r="56" spans="1:6" x14ac:dyDescent="0.25">
      <c r="A56" s="65">
        <v>7</v>
      </c>
      <c r="B56" s="75" t="s">
        <v>177</v>
      </c>
      <c r="C56" s="201">
        <v>4</v>
      </c>
      <c r="D56" s="51">
        <v>3.8</v>
      </c>
      <c r="E56" s="68"/>
      <c r="F56" s="46">
        <v>3.7</v>
      </c>
    </row>
    <row r="57" spans="1:6" x14ac:dyDescent="0.25">
      <c r="A57" s="65">
        <v>8</v>
      </c>
      <c r="B57" s="189" t="s">
        <v>178</v>
      </c>
      <c r="C57" s="51">
        <v>4</v>
      </c>
      <c r="D57" s="51">
        <v>3.8</v>
      </c>
      <c r="E57" s="37"/>
      <c r="F57" s="46">
        <v>3.5</v>
      </c>
    </row>
    <row r="58" spans="1:6" x14ac:dyDescent="0.25">
      <c r="A58" s="65">
        <v>9</v>
      </c>
      <c r="B58" s="189" t="s">
        <v>179</v>
      </c>
      <c r="C58" s="51">
        <v>4</v>
      </c>
      <c r="D58" s="51">
        <v>3.8</v>
      </c>
      <c r="E58" s="67"/>
      <c r="F58" s="34">
        <v>3.5</v>
      </c>
    </row>
    <row r="59" spans="1:6" x14ac:dyDescent="0.25">
      <c r="A59" s="65">
        <v>10</v>
      </c>
      <c r="B59" s="75" t="s">
        <v>180</v>
      </c>
      <c r="C59" s="35">
        <v>4</v>
      </c>
      <c r="D59" s="35">
        <v>3.6</v>
      </c>
      <c r="E59" s="169"/>
      <c r="F59" s="205">
        <v>3.4</v>
      </c>
    </row>
    <row r="60" spans="1:6" ht="15.75" thickBot="1" x14ac:dyDescent="0.3">
      <c r="B60" s="33" t="s">
        <v>8</v>
      </c>
      <c r="C60" s="206">
        <v>4</v>
      </c>
      <c r="D60" s="58">
        <v>3.7</v>
      </c>
      <c r="E60" s="19"/>
      <c r="F60" s="58">
        <v>3.6</v>
      </c>
    </row>
    <row r="61" spans="1:6" x14ac:dyDescent="0.25">
      <c r="D61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63"/>
  <sheetViews>
    <sheetView zoomScale="80" zoomScaleNormal="80" workbookViewId="0">
      <selection activeCell="B56" sqref="B56"/>
    </sheetView>
  </sheetViews>
  <sheetFormatPr defaultRowHeight="15" x14ac:dyDescent="0.25"/>
  <cols>
    <col min="1" max="1" width="5.7109375" customWidth="1"/>
    <col min="2" max="2" width="110" customWidth="1"/>
    <col min="4" max="4" width="8.85546875" customWidth="1"/>
  </cols>
  <sheetData>
    <row r="1" spans="1:5" x14ac:dyDescent="0.25">
      <c r="B1" s="4" t="s">
        <v>47</v>
      </c>
      <c r="C1" s="3"/>
      <c r="D1" s="3"/>
    </row>
    <row r="2" spans="1:5" x14ac:dyDescent="0.25">
      <c r="B2" s="5" t="s">
        <v>1</v>
      </c>
      <c r="C2" s="6" t="s">
        <v>54</v>
      </c>
      <c r="D2" s="6" t="s">
        <v>55</v>
      </c>
      <c r="E2" s="6" t="s">
        <v>252</v>
      </c>
    </row>
    <row r="3" spans="1:5" x14ac:dyDescent="0.25">
      <c r="B3" s="7" t="s">
        <v>2</v>
      </c>
      <c r="C3" s="8" t="s">
        <v>6</v>
      </c>
      <c r="D3" s="8" t="s">
        <v>94</v>
      </c>
      <c r="E3" s="8" t="s">
        <v>95</v>
      </c>
    </row>
    <row r="4" spans="1:5" x14ac:dyDescent="0.25">
      <c r="A4" s="1"/>
      <c r="B4" s="7"/>
      <c r="C4" s="6" t="s">
        <v>3</v>
      </c>
      <c r="D4" s="6" t="s">
        <v>3</v>
      </c>
      <c r="E4" s="6" t="s">
        <v>3</v>
      </c>
    </row>
    <row r="5" spans="1:5" ht="14.25" customHeight="1" x14ac:dyDescent="0.25">
      <c r="A5" s="1"/>
      <c r="B5" s="23" t="s">
        <v>5</v>
      </c>
      <c r="C5" s="12"/>
      <c r="D5" s="12"/>
      <c r="E5" s="12"/>
    </row>
    <row r="6" spans="1:5" x14ac:dyDescent="0.25">
      <c r="A6" s="1"/>
      <c r="B6" s="11" t="s">
        <v>13</v>
      </c>
      <c r="C6" s="32"/>
      <c r="D6" s="32"/>
      <c r="E6" s="12"/>
    </row>
    <row r="7" spans="1:5" x14ac:dyDescent="0.25">
      <c r="A7" s="39" t="s">
        <v>11</v>
      </c>
      <c r="B7" s="42" t="s">
        <v>31</v>
      </c>
      <c r="C7" s="25">
        <v>4</v>
      </c>
      <c r="D7" s="25">
        <v>4</v>
      </c>
      <c r="E7" s="45"/>
    </row>
    <row r="8" spans="1:5" x14ac:dyDescent="0.25">
      <c r="A8" s="39" t="s">
        <v>12</v>
      </c>
      <c r="B8" s="42" t="s">
        <v>32</v>
      </c>
      <c r="C8" s="34">
        <v>4</v>
      </c>
      <c r="D8" s="34">
        <v>4</v>
      </c>
      <c r="E8" s="46"/>
    </row>
    <row r="9" spans="1:5" x14ac:dyDescent="0.25">
      <c r="A9" s="39" t="s">
        <v>14</v>
      </c>
      <c r="B9" s="42" t="s">
        <v>64</v>
      </c>
      <c r="C9" s="34">
        <v>4</v>
      </c>
      <c r="D9" s="34">
        <v>4</v>
      </c>
      <c r="E9" s="46"/>
    </row>
    <row r="10" spans="1:5" x14ac:dyDescent="0.25">
      <c r="A10" s="39" t="s">
        <v>15</v>
      </c>
      <c r="B10" s="42" t="s">
        <v>65</v>
      </c>
      <c r="C10" s="34">
        <v>4</v>
      </c>
      <c r="D10" s="34">
        <v>4</v>
      </c>
      <c r="E10" s="46"/>
    </row>
    <row r="11" spans="1:5" x14ac:dyDescent="0.25">
      <c r="A11" s="40"/>
      <c r="B11" s="33" t="s">
        <v>8</v>
      </c>
      <c r="C11" s="61">
        <v>4</v>
      </c>
      <c r="D11" s="61">
        <v>4</v>
      </c>
      <c r="E11" s="47"/>
    </row>
    <row r="12" spans="1:5" x14ac:dyDescent="0.25">
      <c r="A12" s="2"/>
      <c r="B12" s="22" t="s">
        <v>7</v>
      </c>
      <c r="C12" s="31"/>
      <c r="D12" s="31"/>
      <c r="E12" s="48"/>
    </row>
    <row r="13" spans="1:5" x14ac:dyDescent="0.25">
      <c r="A13" s="2"/>
      <c r="B13" s="20" t="s">
        <v>16</v>
      </c>
      <c r="C13" s="12"/>
      <c r="D13" s="12"/>
      <c r="E13" s="48"/>
    </row>
    <row r="14" spans="1:5" ht="15.75" customHeight="1" x14ac:dyDescent="0.25">
      <c r="A14" s="40" t="s">
        <v>17</v>
      </c>
      <c r="B14" s="29" t="s">
        <v>33</v>
      </c>
      <c r="C14" s="25">
        <v>4</v>
      </c>
      <c r="D14" s="25">
        <v>4</v>
      </c>
      <c r="E14" s="46"/>
    </row>
    <row r="15" spans="1:5" x14ac:dyDescent="0.25">
      <c r="A15" s="40" t="s">
        <v>34</v>
      </c>
      <c r="B15" s="29" t="s">
        <v>67</v>
      </c>
      <c r="C15" s="34">
        <v>4</v>
      </c>
      <c r="D15" s="34">
        <v>4</v>
      </c>
      <c r="E15" s="46"/>
    </row>
    <row r="16" spans="1:5" x14ac:dyDescent="0.25">
      <c r="A16" s="40" t="s">
        <v>35</v>
      </c>
      <c r="B16" s="29" t="s">
        <v>68</v>
      </c>
      <c r="C16" s="34">
        <v>4</v>
      </c>
      <c r="D16" s="34">
        <v>4</v>
      </c>
      <c r="E16" s="46"/>
    </row>
    <row r="17" spans="1:5" x14ac:dyDescent="0.25">
      <c r="A17" s="41" t="s">
        <v>66</v>
      </c>
      <c r="B17" s="29" t="s">
        <v>69</v>
      </c>
      <c r="C17" s="34">
        <v>4</v>
      </c>
      <c r="D17" s="34">
        <v>4</v>
      </c>
      <c r="E17" s="46"/>
    </row>
    <row r="18" spans="1:5" x14ac:dyDescent="0.25">
      <c r="A18" s="40"/>
      <c r="B18" s="14" t="s">
        <v>8</v>
      </c>
      <c r="C18" s="61">
        <v>4</v>
      </c>
      <c r="D18" s="61">
        <v>4</v>
      </c>
      <c r="E18" s="49"/>
    </row>
    <row r="19" spans="1:5" x14ac:dyDescent="0.25">
      <c r="A19" s="2"/>
      <c r="B19" s="22" t="s">
        <v>70</v>
      </c>
      <c r="C19" s="12"/>
      <c r="D19" s="12"/>
      <c r="E19" s="48"/>
    </row>
    <row r="20" spans="1:5" x14ac:dyDescent="0.25">
      <c r="A20" s="2"/>
      <c r="B20" s="20" t="s">
        <v>74</v>
      </c>
      <c r="C20" s="12"/>
      <c r="D20" s="12"/>
      <c r="E20" s="48"/>
    </row>
    <row r="21" spans="1:5" x14ac:dyDescent="0.25">
      <c r="A21" s="40" t="s">
        <v>71</v>
      </c>
      <c r="B21" s="24" t="s">
        <v>75</v>
      </c>
      <c r="C21" s="25">
        <v>4</v>
      </c>
      <c r="D21" s="25">
        <v>4</v>
      </c>
      <c r="E21" s="50"/>
    </row>
    <row r="22" spans="1:5" x14ac:dyDescent="0.25">
      <c r="A22" s="40" t="s">
        <v>72</v>
      </c>
      <c r="B22" s="24" t="s">
        <v>76</v>
      </c>
      <c r="C22" s="36">
        <v>4</v>
      </c>
      <c r="D22" s="36">
        <v>4</v>
      </c>
      <c r="E22" s="51"/>
    </row>
    <row r="23" spans="1:5" x14ac:dyDescent="0.25">
      <c r="A23" s="40" t="s">
        <v>73</v>
      </c>
      <c r="B23" s="24" t="s">
        <v>77</v>
      </c>
      <c r="C23" s="36">
        <v>4</v>
      </c>
      <c r="D23" s="36">
        <v>4</v>
      </c>
      <c r="E23" s="51"/>
    </row>
    <row r="24" spans="1:5" x14ac:dyDescent="0.25">
      <c r="A24" s="3"/>
      <c r="B24" s="14" t="s">
        <v>8</v>
      </c>
      <c r="C24" s="62">
        <v>4</v>
      </c>
      <c r="D24" s="62">
        <v>4</v>
      </c>
      <c r="E24" s="49"/>
    </row>
    <row r="25" spans="1:5" x14ac:dyDescent="0.25">
      <c r="A25" s="2"/>
      <c r="B25" s="9" t="s">
        <v>9</v>
      </c>
      <c r="C25" s="13"/>
      <c r="D25" s="13"/>
      <c r="E25" s="52"/>
    </row>
    <row r="26" spans="1:5" x14ac:dyDescent="0.25">
      <c r="A26" s="2"/>
      <c r="B26" s="11" t="s">
        <v>10</v>
      </c>
      <c r="C26" s="13"/>
      <c r="D26" s="13"/>
      <c r="E26" s="52"/>
    </row>
    <row r="27" spans="1:5" x14ac:dyDescent="0.25">
      <c r="A27" s="1" t="s">
        <v>19</v>
      </c>
      <c r="B27" s="30" t="s">
        <v>36</v>
      </c>
      <c r="C27" s="25">
        <v>4</v>
      </c>
      <c r="D27" s="25">
        <v>4</v>
      </c>
      <c r="E27" s="53"/>
    </row>
    <row r="28" spans="1:5" x14ac:dyDescent="0.25">
      <c r="A28" s="1" t="s">
        <v>22</v>
      </c>
      <c r="B28" s="30" t="s">
        <v>37</v>
      </c>
      <c r="C28" s="34">
        <v>4</v>
      </c>
      <c r="D28" s="34">
        <v>4</v>
      </c>
      <c r="E28" s="54"/>
    </row>
    <row r="29" spans="1:5" x14ac:dyDescent="0.25">
      <c r="A29" s="1" t="s">
        <v>23</v>
      </c>
      <c r="B29" s="30" t="s">
        <v>38</v>
      </c>
      <c r="C29" s="34">
        <v>4</v>
      </c>
      <c r="D29" s="34">
        <v>4</v>
      </c>
      <c r="E29" s="54"/>
    </row>
    <row r="30" spans="1:5" x14ac:dyDescent="0.25">
      <c r="A30" s="1"/>
      <c r="B30" s="14" t="s">
        <v>8</v>
      </c>
      <c r="C30" s="62">
        <v>4</v>
      </c>
      <c r="D30" s="62">
        <v>4</v>
      </c>
      <c r="E30" s="47"/>
    </row>
    <row r="31" spans="1:5" x14ac:dyDescent="0.25">
      <c r="A31" s="1"/>
      <c r="B31" s="43" t="s">
        <v>18</v>
      </c>
      <c r="C31" s="13"/>
      <c r="D31" s="13"/>
      <c r="E31" s="52"/>
    </row>
    <row r="32" spans="1:5" x14ac:dyDescent="0.25">
      <c r="A32" s="1" t="s">
        <v>20</v>
      </c>
      <c r="B32" s="30" t="s">
        <v>39</v>
      </c>
      <c r="C32" s="25">
        <v>4</v>
      </c>
      <c r="D32" s="25">
        <v>4</v>
      </c>
      <c r="E32" s="54"/>
    </row>
    <row r="33" spans="1:5" x14ac:dyDescent="0.25">
      <c r="A33" s="1" t="s">
        <v>24</v>
      </c>
      <c r="B33" s="30" t="s">
        <v>40</v>
      </c>
      <c r="C33" s="34">
        <v>4</v>
      </c>
      <c r="D33" s="34">
        <v>4</v>
      </c>
      <c r="E33" s="54"/>
    </row>
    <row r="34" spans="1:5" x14ac:dyDescent="0.25">
      <c r="A34" s="1" t="s">
        <v>25</v>
      </c>
      <c r="B34" s="30" t="s">
        <v>78</v>
      </c>
      <c r="C34" s="34">
        <v>4</v>
      </c>
      <c r="D34" s="34">
        <v>4</v>
      </c>
      <c r="E34" s="54"/>
    </row>
    <row r="35" spans="1:5" ht="18" customHeight="1" x14ac:dyDescent="0.25">
      <c r="A35" s="1" t="s">
        <v>26</v>
      </c>
      <c r="B35" s="30" t="s">
        <v>79</v>
      </c>
      <c r="C35" s="34">
        <v>4</v>
      </c>
      <c r="D35" s="34">
        <v>4</v>
      </c>
      <c r="E35" s="54"/>
    </row>
    <row r="36" spans="1:5" x14ac:dyDescent="0.25">
      <c r="A36" s="3"/>
      <c r="B36" s="14" t="s">
        <v>8</v>
      </c>
      <c r="C36" s="62">
        <v>4</v>
      </c>
      <c r="D36" s="62">
        <v>4</v>
      </c>
      <c r="E36" s="47"/>
    </row>
    <row r="37" spans="1:5" x14ac:dyDescent="0.25">
      <c r="A37" s="1"/>
      <c r="B37" s="10" t="s">
        <v>27</v>
      </c>
      <c r="C37" s="15"/>
      <c r="D37" s="15"/>
      <c r="E37" s="55"/>
    </row>
    <row r="38" spans="1:5" x14ac:dyDescent="0.25">
      <c r="A38" s="1" t="s">
        <v>21</v>
      </c>
      <c r="B38" s="30" t="s">
        <v>41</v>
      </c>
      <c r="C38" s="25">
        <v>4</v>
      </c>
      <c r="D38" s="25">
        <v>4</v>
      </c>
      <c r="E38" s="53"/>
    </row>
    <row r="39" spans="1:5" x14ac:dyDescent="0.25">
      <c r="A39" s="1" t="s">
        <v>28</v>
      </c>
      <c r="B39" s="30" t="s">
        <v>80</v>
      </c>
      <c r="C39" s="34">
        <v>4</v>
      </c>
      <c r="D39" s="34">
        <v>4</v>
      </c>
      <c r="E39" s="54"/>
    </row>
    <row r="40" spans="1:5" x14ac:dyDescent="0.25">
      <c r="A40" s="1" t="s">
        <v>29</v>
      </c>
      <c r="B40" s="30" t="s">
        <v>81</v>
      </c>
      <c r="C40" s="34">
        <v>4</v>
      </c>
      <c r="D40" s="34">
        <v>4</v>
      </c>
      <c r="E40" s="54"/>
    </row>
    <row r="41" spans="1:5" x14ac:dyDescent="0.25">
      <c r="A41" s="1" t="s">
        <v>30</v>
      </c>
      <c r="B41" s="30" t="s">
        <v>82</v>
      </c>
      <c r="C41" s="34">
        <v>4</v>
      </c>
      <c r="D41" s="34">
        <v>4</v>
      </c>
      <c r="E41" s="54"/>
    </row>
    <row r="42" spans="1:5" x14ac:dyDescent="0.25">
      <c r="A42" s="26" t="s">
        <v>4</v>
      </c>
      <c r="B42" s="14" t="s">
        <v>8</v>
      </c>
      <c r="C42" s="63">
        <v>4</v>
      </c>
      <c r="D42" s="63">
        <v>4</v>
      </c>
      <c r="E42" s="56"/>
    </row>
    <row r="43" spans="1:5" x14ac:dyDescent="0.25">
      <c r="B43" s="27" t="s">
        <v>83</v>
      </c>
      <c r="C43" s="15"/>
      <c r="D43" s="15"/>
      <c r="E43" s="57"/>
    </row>
    <row r="44" spans="1:5" x14ac:dyDescent="0.25">
      <c r="B44" s="11" t="s">
        <v>84</v>
      </c>
      <c r="C44" s="15"/>
      <c r="D44" s="15"/>
      <c r="E44" s="55"/>
    </row>
    <row r="45" spans="1:5" x14ac:dyDescent="0.25">
      <c r="A45" s="30" t="s">
        <v>85</v>
      </c>
      <c r="B45" s="30" t="s">
        <v>88</v>
      </c>
      <c r="C45" s="34">
        <v>4</v>
      </c>
      <c r="D45" s="34">
        <v>4</v>
      </c>
      <c r="E45" s="53"/>
    </row>
    <row r="46" spans="1:5" x14ac:dyDescent="0.25">
      <c r="A46" s="30" t="s">
        <v>86</v>
      </c>
      <c r="B46" s="30" t="s">
        <v>89</v>
      </c>
      <c r="C46" s="34">
        <v>4</v>
      </c>
      <c r="D46" s="34">
        <v>4</v>
      </c>
      <c r="E46" s="54"/>
    </row>
    <row r="47" spans="1:5" x14ac:dyDescent="0.25">
      <c r="A47" s="30" t="s">
        <v>87</v>
      </c>
      <c r="B47" s="30" t="s">
        <v>90</v>
      </c>
      <c r="C47" s="34">
        <v>4</v>
      </c>
      <c r="D47" s="34">
        <v>4</v>
      </c>
      <c r="E47" s="54"/>
    </row>
    <row r="48" spans="1:5" ht="15.75" thickBot="1" x14ac:dyDescent="0.3">
      <c r="A48" s="17" t="s">
        <v>4</v>
      </c>
      <c r="B48" s="18" t="s">
        <v>8</v>
      </c>
      <c r="C48" s="191">
        <v>4</v>
      </c>
      <c r="D48" s="191">
        <v>4</v>
      </c>
      <c r="E48" s="58"/>
    </row>
    <row r="49" spans="1:5" x14ac:dyDescent="0.25">
      <c r="A49" s="65"/>
      <c r="B49" s="81" t="s">
        <v>248</v>
      </c>
      <c r="C49" s="182"/>
      <c r="D49" s="182"/>
      <c r="E49" s="182"/>
    </row>
    <row r="50" spans="1:5" x14ac:dyDescent="0.25">
      <c r="A50" s="65">
        <v>1</v>
      </c>
      <c r="B50" s="189" t="s">
        <v>181</v>
      </c>
      <c r="C50" s="51">
        <v>4</v>
      </c>
      <c r="D50" s="204">
        <v>4</v>
      </c>
      <c r="E50" s="201"/>
    </row>
    <row r="51" spans="1:5" x14ac:dyDescent="0.25">
      <c r="A51" s="65"/>
      <c r="B51" s="189" t="s">
        <v>182</v>
      </c>
      <c r="C51" s="51"/>
      <c r="D51" s="51"/>
      <c r="E51" s="201"/>
    </row>
    <row r="52" spans="1:5" x14ac:dyDescent="0.25">
      <c r="A52" s="65">
        <v>2</v>
      </c>
      <c r="B52" s="189" t="s">
        <v>183</v>
      </c>
      <c r="C52" s="51">
        <v>4</v>
      </c>
      <c r="D52" s="51">
        <v>4</v>
      </c>
      <c r="E52" s="201"/>
    </row>
    <row r="53" spans="1:5" x14ac:dyDescent="0.25">
      <c r="A53" s="65">
        <v>3</v>
      </c>
      <c r="B53" s="189" t="s">
        <v>184</v>
      </c>
      <c r="C53" s="51">
        <v>4</v>
      </c>
      <c r="D53" s="51">
        <v>4</v>
      </c>
      <c r="E53" s="201"/>
    </row>
    <row r="54" spans="1:5" x14ac:dyDescent="0.25">
      <c r="A54" s="65">
        <v>4</v>
      </c>
      <c r="B54" s="189" t="s">
        <v>185</v>
      </c>
      <c r="C54" s="51">
        <v>4</v>
      </c>
      <c r="D54" s="51">
        <v>4</v>
      </c>
      <c r="E54" s="201"/>
    </row>
    <row r="55" spans="1:5" x14ac:dyDescent="0.25">
      <c r="A55" s="65"/>
      <c r="B55" s="189" t="s">
        <v>186</v>
      </c>
      <c r="C55" s="51"/>
      <c r="D55" s="51"/>
      <c r="E55" s="201"/>
    </row>
    <row r="56" spans="1:5" x14ac:dyDescent="0.25">
      <c r="A56" s="65">
        <v>5</v>
      </c>
      <c r="B56" s="189" t="s">
        <v>187</v>
      </c>
      <c r="C56" s="51">
        <v>4</v>
      </c>
      <c r="D56" s="51">
        <v>4</v>
      </c>
      <c r="E56" s="201"/>
    </row>
    <row r="57" spans="1:5" x14ac:dyDescent="0.25">
      <c r="A57" s="65">
        <v>6</v>
      </c>
      <c r="B57" s="189" t="s">
        <v>188</v>
      </c>
      <c r="C57" s="51">
        <v>4</v>
      </c>
      <c r="D57" s="51">
        <v>4</v>
      </c>
      <c r="E57" s="201"/>
    </row>
    <row r="58" spans="1:5" x14ac:dyDescent="0.25">
      <c r="A58" s="65">
        <v>7</v>
      </c>
      <c r="B58" s="189" t="s">
        <v>189</v>
      </c>
      <c r="C58" s="51">
        <v>4</v>
      </c>
      <c r="D58" s="51">
        <v>4</v>
      </c>
      <c r="E58" s="201"/>
    </row>
    <row r="59" spans="1:5" x14ac:dyDescent="0.25">
      <c r="A59" s="65"/>
      <c r="B59" s="189" t="s">
        <v>190</v>
      </c>
      <c r="C59" s="51"/>
      <c r="D59" s="51"/>
      <c r="E59" s="201"/>
    </row>
    <row r="60" spans="1:5" x14ac:dyDescent="0.25">
      <c r="A60" s="65">
        <v>8</v>
      </c>
      <c r="B60" s="189" t="s">
        <v>191</v>
      </c>
      <c r="C60" s="34">
        <v>4</v>
      </c>
      <c r="D60" s="34">
        <v>4</v>
      </c>
      <c r="E60" s="46"/>
    </row>
    <row r="61" spans="1:5" x14ac:dyDescent="0.25">
      <c r="A61" s="65"/>
      <c r="B61" s="189" t="s">
        <v>192</v>
      </c>
      <c r="C61" s="34"/>
      <c r="D61" s="34"/>
      <c r="E61" s="46"/>
    </row>
    <row r="62" spans="1:5" x14ac:dyDescent="0.25">
      <c r="A62" s="65">
        <v>9</v>
      </c>
      <c r="B62" s="189" t="s">
        <v>193</v>
      </c>
      <c r="C62" s="35">
        <v>4</v>
      </c>
      <c r="D62" s="35">
        <v>4</v>
      </c>
      <c r="E62" s="205"/>
    </row>
    <row r="63" spans="1:5" ht="15.75" thickBot="1" x14ac:dyDescent="0.3">
      <c r="A63" s="17" t="s">
        <v>4</v>
      </c>
      <c r="B63" s="18" t="s">
        <v>8</v>
      </c>
      <c r="C63" s="191">
        <v>4</v>
      </c>
      <c r="D63" s="191">
        <v>4</v>
      </c>
      <c r="E63" s="5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89999084444715716"/>
  </sheetPr>
  <dimension ref="A1:F72"/>
  <sheetViews>
    <sheetView topLeftCell="B1" zoomScale="80" zoomScaleNormal="80" workbookViewId="0">
      <selection activeCell="F75" sqref="F75"/>
    </sheetView>
  </sheetViews>
  <sheetFormatPr defaultRowHeight="15" x14ac:dyDescent="0.25"/>
  <cols>
    <col min="1" max="1" width="4.85546875" customWidth="1"/>
    <col min="2" max="2" width="129.85546875" customWidth="1"/>
    <col min="5" max="5" width="10.7109375" customWidth="1"/>
  </cols>
  <sheetData>
    <row r="1" spans="1:6" x14ac:dyDescent="0.25">
      <c r="B1" s="4" t="s">
        <v>48</v>
      </c>
      <c r="C1" s="3"/>
      <c r="D1" s="3"/>
    </row>
    <row r="2" spans="1:6" x14ac:dyDescent="0.25">
      <c r="B2" s="5" t="s">
        <v>1</v>
      </c>
      <c r="C2" s="6" t="s">
        <v>55</v>
      </c>
      <c r="D2" s="6" t="s">
        <v>61</v>
      </c>
      <c r="E2" s="6" t="s">
        <v>54</v>
      </c>
      <c r="F2" s="6" t="s">
        <v>56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6.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3.5</v>
      </c>
      <c r="D7" s="45">
        <v>4</v>
      </c>
      <c r="E7" s="25">
        <v>4</v>
      </c>
      <c r="F7" s="45">
        <v>3.5</v>
      </c>
    </row>
    <row r="8" spans="1:6" x14ac:dyDescent="0.25">
      <c r="A8" s="39" t="s">
        <v>12</v>
      </c>
      <c r="B8" s="42" t="s">
        <v>32</v>
      </c>
      <c r="C8" s="34">
        <v>3.5</v>
      </c>
      <c r="D8" s="46">
        <v>3</v>
      </c>
      <c r="E8" s="34">
        <v>4</v>
      </c>
      <c r="F8" s="46">
        <v>3.4</v>
      </c>
    </row>
    <row r="9" spans="1:6" x14ac:dyDescent="0.25">
      <c r="A9" s="39" t="s">
        <v>14</v>
      </c>
      <c r="B9" s="42" t="s">
        <v>64</v>
      </c>
      <c r="C9" s="34">
        <v>4</v>
      </c>
      <c r="D9" s="46">
        <v>3.5</v>
      </c>
      <c r="E9" s="34">
        <v>4</v>
      </c>
      <c r="F9" s="46">
        <v>3.5</v>
      </c>
    </row>
    <row r="10" spans="1:6" x14ac:dyDescent="0.25">
      <c r="A10" s="39" t="s">
        <v>15</v>
      </c>
      <c r="B10" s="42" t="s">
        <v>65</v>
      </c>
      <c r="C10" s="34">
        <v>3.5</v>
      </c>
      <c r="D10" s="46">
        <v>3.3</v>
      </c>
      <c r="E10" s="34">
        <v>4</v>
      </c>
      <c r="F10" s="46">
        <v>3.6</v>
      </c>
    </row>
    <row r="11" spans="1:6" x14ac:dyDescent="0.25">
      <c r="A11" s="40"/>
      <c r="B11" s="33" t="s">
        <v>8</v>
      </c>
      <c r="C11" s="61">
        <v>3.6</v>
      </c>
      <c r="D11" s="47">
        <v>3.5</v>
      </c>
      <c r="E11" s="61">
        <v>4</v>
      </c>
      <c r="F11" s="47">
        <f>AVERAGE(F7:F10)</f>
        <v>3.5</v>
      </c>
    </row>
    <row r="12" spans="1:6" x14ac:dyDescent="0.25">
      <c r="A12" s="2"/>
      <c r="B12" s="22" t="s">
        <v>7</v>
      </c>
      <c r="C12" s="31" t="s">
        <v>4</v>
      </c>
      <c r="D12" s="48"/>
      <c r="E12" s="31"/>
      <c r="F12" s="48"/>
    </row>
    <row r="13" spans="1:6" x14ac:dyDescent="0.25">
      <c r="A13" s="2"/>
      <c r="B13" s="20" t="s">
        <v>16</v>
      </c>
      <c r="C13" s="12"/>
      <c r="D13" s="48"/>
      <c r="E13" s="12"/>
      <c r="F13" s="48"/>
    </row>
    <row r="14" spans="1:6" ht="14.25" customHeight="1" x14ac:dyDescent="0.25">
      <c r="A14" s="40" t="s">
        <v>17</v>
      </c>
      <c r="B14" s="29" t="s">
        <v>33</v>
      </c>
      <c r="C14" s="25">
        <v>3.5</v>
      </c>
      <c r="D14" s="46">
        <v>3.5</v>
      </c>
      <c r="E14" s="25">
        <v>4</v>
      </c>
      <c r="F14" s="46">
        <v>3.5</v>
      </c>
    </row>
    <row r="15" spans="1:6" x14ac:dyDescent="0.25">
      <c r="A15" s="40" t="s">
        <v>34</v>
      </c>
      <c r="B15" s="29" t="s">
        <v>67</v>
      </c>
      <c r="C15" s="34">
        <v>3.5</v>
      </c>
      <c r="D15" s="46">
        <v>3.3</v>
      </c>
      <c r="E15" s="34">
        <v>4</v>
      </c>
      <c r="F15" s="46">
        <v>3.6</v>
      </c>
    </row>
    <row r="16" spans="1:6" x14ac:dyDescent="0.25">
      <c r="A16" s="40" t="s">
        <v>35</v>
      </c>
      <c r="B16" s="29" t="s">
        <v>68</v>
      </c>
      <c r="C16" s="34">
        <v>4</v>
      </c>
      <c r="D16" s="46">
        <v>3.8</v>
      </c>
      <c r="E16" s="34">
        <v>4</v>
      </c>
      <c r="F16" s="46">
        <v>3.4</v>
      </c>
    </row>
    <row r="17" spans="1:6" x14ac:dyDescent="0.25">
      <c r="A17" s="41" t="s">
        <v>66</v>
      </c>
      <c r="B17" s="29" t="s">
        <v>69</v>
      </c>
      <c r="C17" s="34">
        <v>4</v>
      </c>
      <c r="D17" s="46">
        <v>4</v>
      </c>
      <c r="E17" s="34">
        <v>4</v>
      </c>
      <c r="F17" s="46">
        <v>3.5</v>
      </c>
    </row>
    <row r="18" spans="1:6" x14ac:dyDescent="0.25">
      <c r="A18" s="40"/>
      <c r="B18" s="14" t="s">
        <v>8</v>
      </c>
      <c r="C18" s="61">
        <v>3.7</v>
      </c>
      <c r="D18" s="49">
        <v>3.7</v>
      </c>
      <c r="E18" s="61">
        <v>4</v>
      </c>
      <c r="F18" s="49">
        <f>AVERAGE(F14:F17)</f>
        <v>3.5</v>
      </c>
    </row>
    <row r="19" spans="1:6" x14ac:dyDescent="0.25">
      <c r="A19" s="2"/>
      <c r="B19" s="22" t="s">
        <v>70</v>
      </c>
      <c r="C19" s="12" t="s">
        <v>4</v>
      </c>
      <c r="D19" s="48"/>
      <c r="E19" s="12"/>
      <c r="F19" s="48"/>
    </row>
    <row r="20" spans="1:6" x14ac:dyDescent="0.25">
      <c r="A20" s="2"/>
      <c r="B20" s="20" t="s">
        <v>74</v>
      </c>
      <c r="C20" s="12"/>
      <c r="D20" s="48"/>
      <c r="E20" s="12"/>
      <c r="F20" s="48"/>
    </row>
    <row r="21" spans="1:6" x14ac:dyDescent="0.25">
      <c r="A21" s="40" t="s">
        <v>71</v>
      </c>
      <c r="B21" s="24" t="s">
        <v>75</v>
      </c>
      <c r="C21" s="25">
        <v>4</v>
      </c>
      <c r="D21" s="50">
        <v>3</v>
      </c>
      <c r="E21" s="25">
        <v>4</v>
      </c>
      <c r="F21" s="50">
        <v>3.2</v>
      </c>
    </row>
    <row r="22" spans="1:6" x14ac:dyDescent="0.25">
      <c r="A22" s="40" t="s">
        <v>72</v>
      </c>
      <c r="B22" s="24" t="s">
        <v>76</v>
      </c>
      <c r="C22" s="36">
        <v>4</v>
      </c>
      <c r="D22" s="51">
        <v>3</v>
      </c>
      <c r="E22" s="36">
        <v>4</v>
      </c>
      <c r="F22" s="51">
        <v>3.5</v>
      </c>
    </row>
    <row r="23" spans="1:6" x14ac:dyDescent="0.25">
      <c r="A23" s="40" t="s">
        <v>73</v>
      </c>
      <c r="B23" s="24" t="s">
        <v>77</v>
      </c>
      <c r="C23" s="36">
        <v>4</v>
      </c>
      <c r="D23" s="51">
        <v>3.8</v>
      </c>
      <c r="E23" s="36">
        <v>4</v>
      </c>
      <c r="F23" s="51">
        <v>3.4</v>
      </c>
    </row>
    <row r="24" spans="1:6" x14ac:dyDescent="0.25">
      <c r="A24" s="3"/>
      <c r="B24" s="14" t="s">
        <v>8</v>
      </c>
      <c r="C24" s="62">
        <v>4</v>
      </c>
      <c r="D24" s="49">
        <v>3.3</v>
      </c>
      <c r="E24" s="62">
        <v>4</v>
      </c>
      <c r="F24" s="49">
        <v>3.4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53">
        <v>3</v>
      </c>
      <c r="E27" s="25">
        <v>4</v>
      </c>
      <c r="F27" s="45">
        <v>3.3</v>
      </c>
    </row>
    <row r="28" spans="1:6" x14ac:dyDescent="0.25">
      <c r="A28" s="1" t="s">
        <v>22</v>
      </c>
      <c r="B28" s="30" t="s">
        <v>37</v>
      </c>
      <c r="C28" s="34">
        <v>4</v>
      </c>
      <c r="D28" s="54">
        <v>3.5</v>
      </c>
      <c r="E28" s="34">
        <v>4</v>
      </c>
      <c r="F28" s="46">
        <v>3.4</v>
      </c>
    </row>
    <row r="29" spans="1:6" x14ac:dyDescent="0.25">
      <c r="A29" s="1" t="s">
        <v>23</v>
      </c>
      <c r="B29" s="30" t="s">
        <v>38</v>
      </c>
      <c r="C29" s="34">
        <v>3.5</v>
      </c>
      <c r="D29" s="54">
        <v>4</v>
      </c>
      <c r="E29" s="34">
        <v>4</v>
      </c>
      <c r="F29" s="46">
        <v>3.2</v>
      </c>
    </row>
    <row r="30" spans="1:6" x14ac:dyDescent="0.25">
      <c r="A30" s="1"/>
      <c r="B30" s="14" t="s">
        <v>8</v>
      </c>
      <c r="C30" s="62">
        <v>3.8</v>
      </c>
      <c r="D30" s="47">
        <f>AVERAGE(D27:D29)</f>
        <v>3.5</v>
      </c>
      <c r="E30" s="62">
        <v>4</v>
      </c>
      <c r="F30" s="47">
        <v>3.4</v>
      </c>
    </row>
    <row r="31" spans="1:6" x14ac:dyDescent="0.25">
      <c r="A31" s="1"/>
      <c r="B31" s="43" t="s">
        <v>18</v>
      </c>
      <c r="C31" s="13" t="s">
        <v>4</v>
      </c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3.5</v>
      </c>
      <c r="D32" s="46">
        <v>3.3</v>
      </c>
      <c r="E32" s="25">
        <v>4</v>
      </c>
      <c r="F32" s="46">
        <v>3.4</v>
      </c>
    </row>
    <row r="33" spans="1:6" x14ac:dyDescent="0.25">
      <c r="A33" s="1" t="s">
        <v>24</v>
      </c>
      <c r="B33" s="30" t="s">
        <v>40</v>
      </c>
      <c r="C33" s="34">
        <v>3.5</v>
      </c>
      <c r="D33" s="46">
        <v>3.3</v>
      </c>
      <c r="E33" s="34">
        <v>4</v>
      </c>
      <c r="F33" s="46">
        <v>3.5</v>
      </c>
    </row>
    <row r="34" spans="1:6" x14ac:dyDescent="0.25">
      <c r="A34" s="1" t="s">
        <v>25</v>
      </c>
      <c r="B34" s="30" t="s">
        <v>78</v>
      </c>
      <c r="C34" s="34">
        <v>4</v>
      </c>
      <c r="D34" s="46">
        <v>3.8</v>
      </c>
      <c r="E34" s="34">
        <v>4</v>
      </c>
      <c r="F34" s="46">
        <v>3.6</v>
      </c>
    </row>
    <row r="35" spans="1:6" ht="16.5" customHeight="1" x14ac:dyDescent="0.25">
      <c r="A35" s="1" t="s">
        <v>26</v>
      </c>
      <c r="B35" s="30" t="s">
        <v>79</v>
      </c>
      <c r="C35" s="34">
        <v>4</v>
      </c>
      <c r="D35" s="46">
        <v>3.3</v>
      </c>
      <c r="E35" s="34">
        <v>4</v>
      </c>
      <c r="F35" s="46">
        <v>3.4</v>
      </c>
    </row>
    <row r="36" spans="1:6" x14ac:dyDescent="0.25">
      <c r="A36" s="3"/>
      <c r="B36" s="14" t="s">
        <v>8</v>
      </c>
      <c r="C36" s="62">
        <v>3.6</v>
      </c>
      <c r="D36" s="47">
        <v>3.4</v>
      </c>
      <c r="E36" s="62">
        <v>4</v>
      </c>
      <c r="F36" s="47">
        <v>3.5</v>
      </c>
    </row>
    <row r="37" spans="1:6" x14ac:dyDescent="0.25">
      <c r="A37" s="1"/>
      <c r="B37" s="10" t="s">
        <v>27</v>
      </c>
      <c r="C37" s="15"/>
      <c r="D37" s="55"/>
      <c r="E37" s="15"/>
      <c r="F37" s="52"/>
    </row>
    <row r="38" spans="1:6" x14ac:dyDescent="0.25">
      <c r="A38" s="1" t="s">
        <v>21</v>
      </c>
      <c r="B38" s="30" t="s">
        <v>41</v>
      </c>
      <c r="C38" s="25">
        <v>4</v>
      </c>
      <c r="D38" s="45">
        <v>3.3</v>
      </c>
      <c r="E38" s="25">
        <v>4</v>
      </c>
      <c r="F38" s="45">
        <v>3.3</v>
      </c>
    </row>
    <row r="39" spans="1:6" x14ac:dyDescent="0.25">
      <c r="A39" s="1" t="s">
        <v>28</v>
      </c>
      <c r="B39" s="30" t="s">
        <v>80</v>
      </c>
      <c r="C39" s="34">
        <v>4</v>
      </c>
      <c r="D39" s="46">
        <v>3.8</v>
      </c>
      <c r="E39" s="34">
        <v>4</v>
      </c>
      <c r="F39" s="46">
        <v>3.4</v>
      </c>
    </row>
    <row r="40" spans="1:6" x14ac:dyDescent="0.25">
      <c r="A40" s="1" t="s">
        <v>29</v>
      </c>
      <c r="B40" s="30" t="s">
        <v>81</v>
      </c>
      <c r="C40" s="34">
        <v>4</v>
      </c>
      <c r="D40" s="46">
        <v>4</v>
      </c>
      <c r="E40" s="34">
        <v>4</v>
      </c>
      <c r="F40" s="46">
        <v>3.5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3.5</v>
      </c>
      <c r="E41" s="34">
        <v>4</v>
      </c>
      <c r="F41" s="46">
        <v>3.6</v>
      </c>
    </row>
    <row r="42" spans="1:6" x14ac:dyDescent="0.25">
      <c r="A42" s="26" t="s">
        <v>4</v>
      </c>
      <c r="B42" s="14" t="s">
        <v>8</v>
      </c>
      <c r="C42" s="63">
        <v>4</v>
      </c>
      <c r="D42" s="56">
        <v>3.7</v>
      </c>
      <c r="E42" s="63">
        <v>4</v>
      </c>
      <c r="F42" s="56">
        <v>3.5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69"/>
      <c r="D44" s="55"/>
      <c r="E44" s="70"/>
      <c r="F44" s="52"/>
    </row>
    <row r="45" spans="1:6" x14ac:dyDescent="0.25">
      <c r="A45" s="30" t="s">
        <v>85</v>
      </c>
      <c r="B45" s="30" t="s">
        <v>88</v>
      </c>
      <c r="C45" s="34">
        <v>4</v>
      </c>
      <c r="D45" s="46">
        <v>4</v>
      </c>
      <c r="E45" s="34">
        <v>4</v>
      </c>
      <c r="F45" s="45">
        <v>3.5</v>
      </c>
    </row>
    <row r="46" spans="1:6" x14ac:dyDescent="0.25">
      <c r="A46" s="30" t="s">
        <v>86</v>
      </c>
      <c r="B46" s="30" t="s">
        <v>89</v>
      </c>
      <c r="C46" s="34">
        <v>4</v>
      </c>
      <c r="D46" s="46">
        <v>4</v>
      </c>
      <c r="E46" s="34">
        <v>4</v>
      </c>
      <c r="F46" s="46">
        <v>3.6</v>
      </c>
    </row>
    <row r="47" spans="1:6" x14ac:dyDescent="0.25">
      <c r="A47" s="30" t="s">
        <v>87</v>
      </c>
      <c r="B47" s="30" t="s">
        <v>90</v>
      </c>
      <c r="C47" s="34">
        <v>4</v>
      </c>
      <c r="D47" s="46">
        <v>3</v>
      </c>
      <c r="E47" s="34">
        <v>4</v>
      </c>
      <c r="F47" s="46">
        <v>3.5</v>
      </c>
    </row>
    <row r="48" spans="1:6" ht="15.75" thickBot="1" x14ac:dyDescent="0.3">
      <c r="A48" s="17" t="s">
        <v>4</v>
      </c>
      <c r="B48" s="18" t="s">
        <v>8</v>
      </c>
      <c r="C48" s="191">
        <v>4</v>
      </c>
      <c r="D48" s="58">
        <v>3.7</v>
      </c>
      <c r="E48" s="191">
        <v>4</v>
      </c>
      <c r="F48" s="58">
        <v>3.5</v>
      </c>
    </row>
    <row r="49" spans="1:6" x14ac:dyDescent="0.25">
      <c r="A49" s="65"/>
      <c r="B49" s="81" t="s">
        <v>248</v>
      </c>
      <c r="C49" s="82"/>
      <c r="D49" s="83"/>
      <c r="E49" s="82"/>
      <c r="F49" s="221"/>
    </row>
    <row r="50" spans="1:6" x14ac:dyDescent="0.25">
      <c r="A50" s="65">
        <v>1</v>
      </c>
      <c r="B50" s="90" t="s">
        <v>194</v>
      </c>
      <c r="C50" s="201">
        <v>4</v>
      </c>
      <c r="D50" s="201">
        <v>3.8</v>
      </c>
      <c r="E50" s="51">
        <v>4</v>
      </c>
      <c r="F50" s="201">
        <v>3.5</v>
      </c>
    </row>
    <row r="51" spans="1:6" x14ac:dyDescent="0.25">
      <c r="A51" s="65">
        <v>2</v>
      </c>
      <c r="B51" s="90" t="s">
        <v>195</v>
      </c>
      <c r="C51" s="201">
        <v>4</v>
      </c>
      <c r="D51" s="201">
        <v>3.8</v>
      </c>
      <c r="E51" s="51">
        <v>4</v>
      </c>
      <c r="F51" s="201">
        <v>3.4</v>
      </c>
    </row>
    <row r="52" spans="1:6" x14ac:dyDescent="0.25">
      <c r="A52" s="65">
        <v>3</v>
      </c>
      <c r="B52" s="90" t="s">
        <v>196</v>
      </c>
      <c r="C52" s="201">
        <v>4</v>
      </c>
      <c r="D52" s="201">
        <v>3.6</v>
      </c>
      <c r="E52" s="51">
        <v>4</v>
      </c>
      <c r="F52" s="201">
        <v>3.5</v>
      </c>
    </row>
    <row r="53" spans="1:6" x14ac:dyDescent="0.25">
      <c r="A53" s="65">
        <v>4</v>
      </c>
      <c r="B53" s="90" t="s">
        <v>197</v>
      </c>
      <c r="C53" s="201">
        <v>4</v>
      </c>
      <c r="D53" s="201">
        <v>3.8</v>
      </c>
      <c r="E53" s="51">
        <v>4</v>
      </c>
      <c r="F53" s="201">
        <v>3.6</v>
      </c>
    </row>
    <row r="54" spans="1:6" x14ac:dyDescent="0.25">
      <c r="A54" s="65">
        <v>5</v>
      </c>
      <c r="B54" s="90" t="s">
        <v>198</v>
      </c>
      <c r="C54" s="201">
        <v>4</v>
      </c>
      <c r="D54" s="201">
        <v>4</v>
      </c>
      <c r="E54" s="51">
        <v>4</v>
      </c>
      <c r="F54" s="201">
        <v>3.7</v>
      </c>
    </row>
    <row r="55" spans="1:6" x14ac:dyDescent="0.25">
      <c r="A55" s="65"/>
      <c r="B55" s="90" t="s">
        <v>199</v>
      </c>
      <c r="C55" s="201"/>
      <c r="D55" s="51"/>
      <c r="E55" s="51"/>
      <c r="F55" s="201"/>
    </row>
    <row r="56" spans="1:6" x14ac:dyDescent="0.25">
      <c r="A56" s="65"/>
      <c r="B56" s="90" t="s">
        <v>200</v>
      </c>
      <c r="C56" s="201"/>
      <c r="D56" s="51"/>
      <c r="E56" s="51"/>
      <c r="F56" s="201"/>
    </row>
    <row r="57" spans="1:6" x14ac:dyDescent="0.25">
      <c r="A57" s="65">
        <v>6</v>
      </c>
      <c r="B57" s="193" t="s">
        <v>201</v>
      </c>
      <c r="C57" s="51">
        <v>4</v>
      </c>
      <c r="D57" s="51">
        <v>3.8</v>
      </c>
      <c r="E57" s="51">
        <v>4</v>
      </c>
      <c r="F57" s="51">
        <v>3.5</v>
      </c>
    </row>
    <row r="58" spans="1:6" x14ac:dyDescent="0.25">
      <c r="A58" s="65">
        <v>7</v>
      </c>
      <c r="B58" s="90" t="s">
        <v>202</v>
      </c>
      <c r="C58" s="201">
        <v>4</v>
      </c>
      <c r="D58" s="51">
        <v>3.8</v>
      </c>
      <c r="E58" s="51">
        <v>4</v>
      </c>
      <c r="F58" s="201">
        <v>3.4</v>
      </c>
    </row>
    <row r="59" spans="1:6" x14ac:dyDescent="0.25">
      <c r="A59" s="65">
        <v>8</v>
      </c>
      <c r="B59" s="90" t="s">
        <v>203</v>
      </c>
      <c r="C59" s="46">
        <v>4</v>
      </c>
      <c r="D59" s="34">
        <v>4</v>
      </c>
      <c r="E59" s="34">
        <v>4</v>
      </c>
      <c r="F59" s="46">
        <v>3.6</v>
      </c>
    </row>
    <row r="60" spans="1:6" x14ac:dyDescent="0.25">
      <c r="A60" s="65"/>
      <c r="B60" s="90" t="s">
        <v>204</v>
      </c>
      <c r="C60" s="46"/>
      <c r="D60" s="34"/>
      <c r="E60" s="34"/>
      <c r="F60" s="46"/>
    </row>
    <row r="61" spans="1:6" x14ac:dyDescent="0.25">
      <c r="A61" s="65">
        <v>9</v>
      </c>
      <c r="B61" s="90" t="s">
        <v>205</v>
      </c>
      <c r="C61" s="46">
        <v>4</v>
      </c>
      <c r="D61" s="34">
        <v>4</v>
      </c>
      <c r="E61" s="34">
        <v>4</v>
      </c>
      <c r="F61" s="46">
        <v>3.8</v>
      </c>
    </row>
    <row r="62" spans="1:6" x14ac:dyDescent="0.25">
      <c r="A62" s="65"/>
      <c r="B62" s="75" t="s">
        <v>206</v>
      </c>
      <c r="C62" s="46"/>
      <c r="D62" s="34"/>
      <c r="E62" s="34"/>
      <c r="F62" s="46"/>
    </row>
    <row r="63" spans="1:6" x14ac:dyDescent="0.25">
      <c r="A63" s="65">
        <v>10</v>
      </c>
      <c r="B63" s="90" t="s">
        <v>207</v>
      </c>
      <c r="C63" s="46">
        <v>4</v>
      </c>
      <c r="D63" s="34">
        <v>4</v>
      </c>
      <c r="E63" s="34">
        <v>4</v>
      </c>
      <c r="F63" s="46">
        <v>3.4</v>
      </c>
    </row>
    <row r="64" spans="1:6" x14ac:dyDescent="0.25">
      <c r="A64" s="65"/>
      <c r="B64" s="90" t="s">
        <v>208</v>
      </c>
      <c r="C64" s="46"/>
      <c r="D64" s="34"/>
      <c r="E64" s="34"/>
      <c r="F64" s="46"/>
    </row>
    <row r="65" spans="1:6" x14ac:dyDescent="0.25">
      <c r="A65" s="65">
        <v>11</v>
      </c>
      <c r="B65" s="90" t="s">
        <v>209</v>
      </c>
      <c r="C65" s="46">
        <v>4</v>
      </c>
      <c r="D65" s="34">
        <v>3.8</v>
      </c>
      <c r="E65" s="34">
        <v>4</v>
      </c>
      <c r="F65" s="46">
        <v>3.5</v>
      </c>
    </row>
    <row r="66" spans="1:6" x14ac:dyDescent="0.25">
      <c r="A66" s="65">
        <v>12</v>
      </c>
      <c r="B66" s="90" t="s">
        <v>210</v>
      </c>
      <c r="C66" s="46">
        <v>4</v>
      </c>
      <c r="D66" s="34">
        <v>4</v>
      </c>
      <c r="E66" s="34">
        <v>4</v>
      </c>
      <c r="F66" s="46">
        <v>3.3</v>
      </c>
    </row>
    <row r="67" spans="1:6" x14ac:dyDescent="0.25">
      <c r="A67" s="65">
        <v>13</v>
      </c>
      <c r="B67" s="90" t="s">
        <v>211</v>
      </c>
      <c r="C67" s="46">
        <v>4</v>
      </c>
      <c r="D67" s="34">
        <v>4</v>
      </c>
      <c r="E67" s="34">
        <v>4</v>
      </c>
      <c r="F67" s="46">
        <v>3.5</v>
      </c>
    </row>
    <row r="68" spans="1:6" x14ac:dyDescent="0.25">
      <c r="A68" s="65"/>
      <c r="B68" s="90" t="s">
        <v>212</v>
      </c>
      <c r="C68" s="46"/>
      <c r="D68" s="34"/>
      <c r="E68" s="34"/>
      <c r="F68" s="46"/>
    </row>
    <row r="69" spans="1:6" x14ac:dyDescent="0.25">
      <c r="A69" s="65">
        <v>14</v>
      </c>
      <c r="B69" s="90" t="s">
        <v>213</v>
      </c>
      <c r="C69" s="46">
        <v>4</v>
      </c>
      <c r="D69" s="34">
        <v>4</v>
      </c>
      <c r="E69" s="34">
        <v>4</v>
      </c>
      <c r="F69" s="46">
        <v>3.5</v>
      </c>
    </row>
    <row r="70" spans="1:6" x14ac:dyDescent="0.25">
      <c r="A70" s="65">
        <v>15</v>
      </c>
      <c r="B70" s="90" t="s">
        <v>214</v>
      </c>
      <c r="C70" s="46">
        <v>4</v>
      </c>
      <c r="D70" s="34">
        <v>3.8</v>
      </c>
      <c r="E70" s="34">
        <v>4</v>
      </c>
      <c r="F70" s="46">
        <v>3.6</v>
      </c>
    </row>
    <row r="71" spans="1:6" x14ac:dyDescent="0.25">
      <c r="A71" s="65">
        <v>16</v>
      </c>
      <c r="B71" s="90" t="s">
        <v>215</v>
      </c>
      <c r="C71" s="46">
        <v>4</v>
      </c>
      <c r="D71" s="34">
        <v>4</v>
      </c>
      <c r="E71" s="34">
        <v>4</v>
      </c>
      <c r="F71" s="46">
        <v>3.7</v>
      </c>
    </row>
    <row r="72" spans="1:6" ht="15.75" thickBot="1" x14ac:dyDescent="0.3">
      <c r="A72" s="17" t="s">
        <v>4</v>
      </c>
      <c r="B72" s="18" t="s">
        <v>8</v>
      </c>
      <c r="C72" s="191">
        <v>4</v>
      </c>
      <c r="D72" s="191">
        <v>3.9</v>
      </c>
      <c r="E72" s="191">
        <v>4</v>
      </c>
      <c r="F72" s="58">
        <v>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59"/>
  <sheetViews>
    <sheetView zoomScale="80" zoomScaleNormal="80" workbookViewId="0">
      <selection activeCell="H54" sqref="H54"/>
    </sheetView>
  </sheetViews>
  <sheetFormatPr defaultRowHeight="15" x14ac:dyDescent="0.25"/>
  <cols>
    <col min="1" max="1" width="4.85546875" customWidth="1"/>
    <col min="2" max="2" width="110.140625" customWidth="1"/>
  </cols>
  <sheetData>
    <row r="1" spans="1:6" x14ac:dyDescent="0.25">
      <c r="B1" s="4" t="s">
        <v>49</v>
      </c>
      <c r="C1" s="3"/>
      <c r="D1" s="3"/>
    </row>
    <row r="2" spans="1:6" x14ac:dyDescent="0.25">
      <c r="B2" s="5" t="s">
        <v>1</v>
      </c>
      <c r="C2" s="6" t="s">
        <v>56</v>
      </c>
      <c r="D2" s="6" t="s">
        <v>62</v>
      </c>
      <c r="E2" s="6" t="s">
        <v>55</v>
      </c>
      <c r="F2" s="6" t="s">
        <v>56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4.2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>
        <v>3.5</v>
      </c>
      <c r="E7" s="25">
        <v>4</v>
      </c>
      <c r="F7" s="45">
        <v>3.5</v>
      </c>
    </row>
    <row r="8" spans="1:6" x14ac:dyDescent="0.25">
      <c r="A8" s="39" t="s">
        <v>12</v>
      </c>
      <c r="B8" s="42" t="s">
        <v>32</v>
      </c>
      <c r="C8" s="34">
        <v>4</v>
      </c>
      <c r="D8" s="46">
        <v>3.5</v>
      </c>
      <c r="E8" s="34">
        <v>4</v>
      </c>
      <c r="F8" s="46">
        <v>3.2</v>
      </c>
    </row>
    <row r="9" spans="1:6" x14ac:dyDescent="0.25">
      <c r="A9" s="39" t="s">
        <v>14</v>
      </c>
      <c r="B9" s="42" t="s">
        <v>64</v>
      </c>
      <c r="C9" s="34">
        <v>3</v>
      </c>
      <c r="D9" s="46">
        <v>3.5</v>
      </c>
      <c r="E9" s="34">
        <v>4</v>
      </c>
      <c r="F9" s="46">
        <v>3.3</v>
      </c>
    </row>
    <row r="10" spans="1:6" x14ac:dyDescent="0.25">
      <c r="A10" s="39" t="s">
        <v>15</v>
      </c>
      <c r="B10" s="42" t="s">
        <v>65</v>
      </c>
      <c r="C10" s="34">
        <v>3</v>
      </c>
      <c r="D10" s="46">
        <v>3.3</v>
      </c>
      <c r="E10" s="34">
        <v>4</v>
      </c>
      <c r="F10" s="46">
        <v>3.4</v>
      </c>
    </row>
    <row r="11" spans="1:6" x14ac:dyDescent="0.25">
      <c r="A11" s="40"/>
      <c r="B11" s="33" t="s">
        <v>8</v>
      </c>
      <c r="C11" s="61">
        <v>3.5</v>
      </c>
      <c r="D11" s="47">
        <v>3.5</v>
      </c>
      <c r="E11" s="61">
        <v>4</v>
      </c>
      <c r="F11" s="47">
        <v>3.3</v>
      </c>
    </row>
    <row r="12" spans="1:6" x14ac:dyDescent="0.25">
      <c r="A12" s="2"/>
      <c r="B12" s="22" t="s">
        <v>7</v>
      </c>
      <c r="C12" s="31"/>
      <c r="D12" s="48"/>
      <c r="E12" s="31"/>
      <c r="F12" s="48"/>
    </row>
    <row r="13" spans="1:6" x14ac:dyDescent="0.25">
      <c r="A13" s="2"/>
      <c r="B13" s="20" t="s">
        <v>16</v>
      </c>
      <c r="C13" s="12"/>
      <c r="D13" s="48"/>
      <c r="E13" s="12"/>
      <c r="F13" s="48"/>
    </row>
    <row r="14" spans="1:6" ht="14.25" customHeight="1" x14ac:dyDescent="0.25">
      <c r="A14" s="40" t="s">
        <v>17</v>
      </c>
      <c r="B14" s="29" t="s">
        <v>33</v>
      </c>
      <c r="C14" s="25">
        <v>4</v>
      </c>
      <c r="D14" s="46">
        <v>3.8</v>
      </c>
      <c r="E14" s="25">
        <v>4</v>
      </c>
      <c r="F14" s="46">
        <v>3.6</v>
      </c>
    </row>
    <row r="15" spans="1:6" x14ac:dyDescent="0.25">
      <c r="A15" s="40" t="s">
        <v>34</v>
      </c>
      <c r="B15" s="29" t="s">
        <v>67</v>
      </c>
      <c r="C15" s="34">
        <v>4</v>
      </c>
      <c r="D15" s="46">
        <v>3.3</v>
      </c>
      <c r="E15" s="34">
        <v>4</v>
      </c>
      <c r="F15" s="46">
        <v>3.5</v>
      </c>
    </row>
    <row r="16" spans="1:6" x14ac:dyDescent="0.25">
      <c r="A16" s="40" t="s">
        <v>35</v>
      </c>
      <c r="B16" s="29" t="s">
        <v>68</v>
      </c>
      <c r="C16" s="34">
        <v>4</v>
      </c>
      <c r="D16" s="46">
        <v>4</v>
      </c>
      <c r="E16" s="34">
        <v>4</v>
      </c>
      <c r="F16" s="46">
        <v>3.4</v>
      </c>
    </row>
    <row r="17" spans="1:6" x14ac:dyDescent="0.25">
      <c r="A17" s="41" t="s">
        <v>66</v>
      </c>
      <c r="B17" s="29" t="s">
        <v>69</v>
      </c>
      <c r="C17" s="34">
        <v>3</v>
      </c>
      <c r="D17" s="46">
        <v>3.5</v>
      </c>
      <c r="E17" s="34">
        <v>4</v>
      </c>
      <c r="F17" s="46">
        <v>3.5</v>
      </c>
    </row>
    <row r="18" spans="1:6" x14ac:dyDescent="0.25">
      <c r="A18" s="40"/>
      <c r="B18" s="14" t="s">
        <v>8</v>
      </c>
      <c r="C18" s="61">
        <v>3.7</v>
      </c>
      <c r="D18" s="49">
        <v>3.7</v>
      </c>
      <c r="E18" s="61">
        <v>4</v>
      </c>
      <c r="F18" s="49">
        <f>AVERAGE(F14:F17)</f>
        <v>3.5</v>
      </c>
    </row>
    <row r="19" spans="1:6" x14ac:dyDescent="0.25">
      <c r="A19" s="2"/>
      <c r="B19" s="22" t="s">
        <v>70</v>
      </c>
      <c r="C19" s="12"/>
      <c r="D19" s="48"/>
      <c r="E19" s="12"/>
      <c r="F19" s="48"/>
    </row>
    <row r="20" spans="1:6" x14ac:dyDescent="0.25">
      <c r="A20" s="2"/>
      <c r="B20" s="20" t="s">
        <v>74</v>
      </c>
      <c r="C20" s="12"/>
      <c r="D20" s="48"/>
      <c r="E20" s="12"/>
      <c r="F20" s="48"/>
    </row>
    <row r="21" spans="1:6" x14ac:dyDescent="0.25">
      <c r="A21" s="40" t="s">
        <v>71</v>
      </c>
      <c r="B21" s="24" t="s">
        <v>75</v>
      </c>
      <c r="C21" s="25">
        <v>4</v>
      </c>
      <c r="D21" s="50">
        <v>3.5</v>
      </c>
      <c r="E21" s="25">
        <v>4</v>
      </c>
      <c r="F21" s="50">
        <v>3.6</v>
      </c>
    </row>
    <row r="22" spans="1:6" x14ac:dyDescent="0.25">
      <c r="A22" s="40" t="s">
        <v>72</v>
      </c>
      <c r="B22" s="24" t="s">
        <v>76</v>
      </c>
      <c r="C22" s="36">
        <v>3</v>
      </c>
      <c r="D22" s="51">
        <v>3.5</v>
      </c>
      <c r="E22" s="36">
        <v>4</v>
      </c>
      <c r="F22" s="51">
        <v>3.7</v>
      </c>
    </row>
    <row r="23" spans="1:6" x14ac:dyDescent="0.25">
      <c r="A23" s="40" t="s">
        <v>73</v>
      </c>
      <c r="B23" s="24" t="s">
        <v>77</v>
      </c>
      <c r="C23" s="36">
        <v>3</v>
      </c>
      <c r="D23" s="51">
        <v>3.3</v>
      </c>
      <c r="E23" s="36">
        <v>4</v>
      </c>
      <c r="F23" s="51">
        <v>3.5</v>
      </c>
    </row>
    <row r="24" spans="1:6" x14ac:dyDescent="0.25">
      <c r="A24" s="3"/>
      <c r="B24" s="14" t="s">
        <v>8</v>
      </c>
      <c r="C24" s="62">
        <v>3.3</v>
      </c>
      <c r="D24" s="49">
        <v>3.4</v>
      </c>
      <c r="E24" s="62">
        <v>4</v>
      </c>
      <c r="F24" s="49">
        <v>3.6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>
        <v>3.3</v>
      </c>
      <c r="E27" s="25">
        <v>4</v>
      </c>
      <c r="F27" s="45">
        <v>3.2</v>
      </c>
    </row>
    <row r="28" spans="1:6" x14ac:dyDescent="0.25">
      <c r="A28" s="1" t="s">
        <v>22</v>
      </c>
      <c r="B28" s="30" t="s">
        <v>37</v>
      </c>
      <c r="C28" s="34">
        <v>4</v>
      </c>
      <c r="D28" s="46">
        <v>3.8</v>
      </c>
      <c r="E28" s="34">
        <v>4</v>
      </c>
      <c r="F28" s="46">
        <v>3.3</v>
      </c>
    </row>
    <row r="29" spans="1:6" x14ac:dyDescent="0.25">
      <c r="A29" s="1" t="s">
        <v>23</v>
      </c>
      <c r="B29" s="30" t="s">
        <v>38</v>
      </c>
      <c r="C29" s="34">
        <v>3</v>
      </c>
      <c r="D29" s="46">
        <v>3.5</v>
      </c>
      <c r="E29" s="34">
        <v>4</v>
      </c>
      <c r="F29" s="46">
        <v>3.4</v>
      </c>
    </row>
    <row r="30" spans="1:6" x14ac:dyDescent="0.25">
      <c r="A30" s="1"/>
      <c r="B30" s="14" t="s">
        <v>8</v>
      </c>
      <c r="C30" s="62">
        <v>3.6</v>
      </c>
      <c r="D30" s="47">
        <v>3.5</v>
      </c>
      <c r="E30" s="62">
        <v>4</v>
      </c>
      <c r="F30" s="47">
        <v>3.3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4</v>
      </c>
      <c r="D32" s="46">
        <v>4</v>
      </c>
      <c r="E32" s="25">
        <v>4</v>
      </c>
      <c r="F32" s="46">
        <v>3.5</v>
      </c>
    </row>
    <row r="33" spans="1:6" x14ac:dyDescent="0.25">
      <c r="A33" s="1" t="s">
        <v>24</v>
      </c>
      <c r="B33" s="30" t="s">
        <v>40</v>
      </c>
      <c r="C33" s="34">
        <v>3</v>
      </c>
      <c r="D33" s="46">
        <v>3</v>
      </c>
      <c r="E33" s="34">
        <v>4</v>
      </c>
      <c r="F33" s="46">
        <v>3.6</v>
      </c>
    </row>
    <row r="34" spans="1:6" x14ac:dyDescent="0.25">
      <c r="A34" s="1" t="s">
        <v>25</v>
      </c>
      <c r="B34" s="30" t="s">
        <v>78</v>
      </c>
      <c r="C34" s="34">
        <v>4</v>
      </c>
      <c r="D34" s="46">
        <v>4</v>
      </c>
      <c r="E34" s="34">
        <v>4</v>
      </c>
      <c r="F34" s="46">
        <v>3.7</v>
      </c>
    </row>
    <row r="35" spans="1:6" ht="14.25" customHeight="1" x14ac:dyDescent="0.25">
      <c r="A35" s="1" t="s">
        <v>26</v>
      </c>
      <c r="B35" s="30" t="s">
        <v>79</v>
      </c>
      <c r="C35" s="34">
        <v>3</v>
      </c>
      <c r="D35" s="46">
        <v>2.8</v>
      </c>
      <c r="E35" s="34">
        <v>4</v>
      </c>
      <c r="F35" s="46">
        <v>3.5</v>
      </c>
    </row>
    <row r="36" spans="1:6" x14ac:dyDescent="0.25">
      <c r="A36" s="3"/>
      <c r="B36" s="14" t="s">
        <v>8</v>
      </c>
      <c r="C36" s="62">
        <v>3.5</v>
      </c>
      <c r="D36" s="47">
        <v>3.5</v>
      </c>
      <c r="E36" s="62">
        <v>4</v>
      </c>
      <c r="F36" s="47">
        <v>3.6</v>
      </c>
    </row>
    <row r="37" spans="1:6" x14ac:dyDescent="0.25">
      <c r="A37" s="1"/>
      <c r="B37" s="10" t="s">
        <v>27</v>
      </c>
      <c r="C37" s="15"/>
      <c r="D37" s="55" t="s">
        <v>4</v>
      </c>
      <c r="E37" s="15"/>
      <c r="F37" s="52"/>
    </row>
    <row r="38" spans="1:6" x14ac:dyDescent="0.25">
      <c r="A38" s="1" t="s">
        <v>21</v>
      </c>
      <c r="B38" s="30" t="s">
        <v>41</v>
      </c>
      <c r="C38" s="25">
        <v>3</v>
      </c>
      <c r="D38" s="45">
        <v>3.3</v>
      </c>
      <c r="E38" s="25">
        <v>4</v>
      </c>
      <c r="F38" s="45">
        <v>3.6</v>
      </c>
    </row>
    <row r="39" spans="1:6" x14ac:dyDescent="0.25">
      <c r="A39" s="1" t="s">
        <v>28</v>
      </c>
      <c r="B39" s="30" t="s">
        <v>80</v>
      </c>
      <c r="C39" s="34">
        <v>4</v>
      </c>
      <c r="D39" s="46">
        <v>4</v>
      </c>
      <c r="E39" s="34">
        <v>4</v>
      </c>
      <c r="F39" s="46">
        <v>3.7</v>
      </c>
    </row>
    <row r="40" spans="1:6" x14ac:dyDescent="0.25">
      <c r="A40" s="1" t="s">
        <v>29</v>
      </c>
      <c r="B40" s="30" t="s">
        <v>81</v>
      </c>
      <c r="C40" s="34">
        <v>4</v>
      </c>
      <c r="D40" s="46">
        <v>4</v>
      </c>
      <c r="E40" s="34">
        <v>4</v>
      </c>
      <c r="F40" s="46">
        <v>3.5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3.5</v>
      </c>
      <c r="E41" s="34">
        <v>4</v>
      </c>
      <c r="F41" s="46">
        <v>3.4</v>
      </c>
    </row>
    <row r="42" spans="1:6" x14ac:dyDescent="0.25">
      <c r="A42" s="26" t="s">
        <v>4</v>
      </c>
      <c r="B42" s="14" t="s">
        <v>8</v>
      </c>
      <c r="C42" s="63">
        <v>3.7</v>
      </c>
      <c r="D42" s="56">
        <f>AVERAGE(D38:D41)</f>
        <v>3.7</v>
      </c>
      <c r="E42" s="63">
        <v>4</v>
      </c>
      <c r="F42" s="56">
        <v>3.5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69"/>
      <c r="D44" s="52"/>
      <c r="E44" s="70"/>
      <c r="F44" s="52"/>
    </row>
    <row r="45" spans="1:6" x14ac:dyDescent="0.25">
      <c r="A45" s="30" t="s">
        <v>85</v>
      </c>
      <c r="B45" s="30" t="s">
        <v>88</v>
      </c>
      <c r="C45" s="34">
        <v>4</v>
      </c>
      <c r="D45" s="46">
        <v>3.8</v>
      </c>
      <c r="E45" s="34">
        <v>4</v>
      </c>
      <c r="F45" s="45">
        <v>3.6</v>
      </c>
    </row>
    <row r="46" spans="1:6" x14ac:dyDescent="0.25">
      <c r="A46" s="30" t="s">
        <v>86</v>
      </c>
      <c r="B46" s="30" t="s">
        <v>89</v>
      </c>
      <c r="C46" s="34">
        <v>3</v>
      </c>
      <c r="D46" s="46">
        <v>3.8</v>
      </c>
      <c r="E46" s="34">
        <v>4</v>
      </c>
      <c r="F46" s="46">
        <v>3.5</v>
      </c>
    </row>
    <row r="47" spans="1:6" x14ac:dyDescent="0.25">
      <c r="A47" s="30" t="s">
        <v>87</v>
      </c>
      <c r="B47" s="30" t="s">
        <v>90</v>
      </c>
      <c r="C47" s="34">
        <v>4</v>
      </c>
      <c r="D47" s="46">
        <v>3.7</v>
      </c>
      <c r="E47" s="34">
        <v>4</v>
      </c>
      <c r="F47" s="46">
        <v>3.4</v>
      </c>
    </row>
    <row r="48" spans="1:6" ht="15.75" thickBot="1" x14ac:dyDescent="0.3">
      <c r="A48" s="17" t="s">
        <v>4</v>
      </c>
      <c r="B48" s="18" t="s">
        <v>8</v>
      </c>
      <c r="C48" s="191">
        <v>3.6</v>
      </c>
      <c r="D48" s="58">
        <v>3.8</v>
      </c>
      <c r="E48" s="191">
        <v>4</v>
      </c>
      <c r="F48" s="58">
        <v>3.5</v>
      </c>
    </row>
    <row r="49" spans="1:7" x14ac:dyDescent="0.25">
      <c r="A49" s="65"/>
      <c r="B49" s="81" t="s">
        <v>248</v>
      </c>
      <c r="C49" s="83"/>
      <c r="D49" s="83"/>
      <c r="E49" s="82"/>
      <c r="F49" s="222"/>
    </row>
    <row r="50" spans="1:7" x14ac:dyDescent="0.25">
      <c r="A50" s="65">
        <v>1</v>
      </c>
      <c r="B50" s="78" t="s">
        <v>216</v>
      </c>
      <c r="C50" s="201">
        <v>3.6</v>
      </c>
      <c r="D50" s="201">
        <v>3.6</v>
      </c>
      <c r="E50" s="51">
        <v>4</v>
      </c>
      <c r="F50" s="201">
        <v>3.6</v>
      </c>
      <c r="G50" s="85"/>
    </row>
    <row r="51" spans="1:7" x14ac:dyDescent="0.25">
      <c r="A51" s="65">
        <v>2</v>
      </c>
      <c r="B51" s="78" t="s">
        <v>217</v>
      </c>
      <c r="C51" s="201">
        <v>3.5</v>
      </c>
      <c r="D51" s="201">
        <v>3.7</v>
      </c>
      <c r="E51" s="51">
        <v>4</v>
      </c>
      <c r="F51" s="201">
        <v>3.7</v>
      </c>
      <c r="G51" s="85"/>
    </row>
    <row r="52" spans="1:7" x14ac:dyDescent="0.25">
      <c r="A52" s="65">
        <v>3</v>
      </c>
      <c r="B52" s="78" t="s">
        <v>218</v>
      </c>
      <c r="C52" s="201">
        <v>3.6</v>
      </c>
      <c r="D52" s="201">
        <v>3.6</v>
      </c>
      <c r="E52" s="51">
        <v>4</v>
      </c>
      <c r="F52" s="201">
        <v>3.5</v>
      </c>
      <c r="G52" s="85"/>
    </row>
    <row r="53" spans="1:7" x14ac:dyDescent="0.25">
      <c r="A53" s="65">
        <v>4</v>
      </c>
      <c r="B53" s="78" t="s">
        <v>219</v>
      </c>
      <c r="C53" s="201">
        <v>3.7</v>
      </c>
      <c r="D53" s="201">
        <v>3.7</v>
      </c>
      <c r="E53" s="51">
        <v>4</v>
      </c>
      <c r="F53" s="201">
        <v>3.4</v>
      </c>
      <c r="G53" s="85"/>
    </row>
    <row r="54" spans="1:7" x14ac:dyDescent="0.25">
      <c r="A54" s="65">
        <v>5</v>
      </c>
      <c r="B54" s="78" t="s">
        <v>220</v>
      </c>
      <c r="C54" s="51">
        <v>3.6</v>
      </c>
      <c r="D54" s="51">
        <v>3.6</v>
      </c>
      <c r="E54" s="51">
        <v>4</v>
      </c>
      <c r="F54" s="201">
        <v>3.3</v>
      </c>
      <c r="G54" s="85"/>
    </row>
    <row r="55" spans="1:7" x14ac:dyDescent="0.25">
      <c r="A55" s="65">
        <v>6</v>
      </c>
      <c r="B55" s="78" t="s">
        <v>221</v>
      </c>
      <c r="C55" s="51">
        <v>3.6</v>
      </c>
      <c r="D55" s="51">
        <v>3.6</v>
      </c>
      <c r="E55" s="51">
        <v>4</v>
      </c>
      <c r="F55" s="201">
        <v>3.5</v>
      </c>
      <c r="G55" s="85"/>
    </row>
    <row r="56" spans="1:7" x14ac:dyDescent="0.25">
      <c r="A56" s="65">
        <v>7</v>
      </c>
      <c r="B56" s="78" t="s">
        <v>222</v>
      </c>
      <c r="C56" s="201">
        <v>3.7</v>
      </c>
      <c r="D56" s="51">
        <v>3.7</v>
      </c>
      <c r="E56" s="51">
        <v>4</v>
      </c>
      <c r="F56" s="201">
        <v>3.6</v>
      </c>
      <c r="G56" s="85"/>
    </row>
    <row r="57" spans="1:7" ht="15.75" thickBot="1" x14ac:dyDescent="0.3">
      <c r="A57" s="194">
        <v>8</v>
      </c>
      <c r="B57" s="78" t="s">
        <v>223</v>
      </c>
      <c r="C57" s="202">
        <v>3.6</v>
      </c>
      <c r="D57" s="203">
        <v>3.6</v>
      </c>
      <c r="E57" s="203">
        <v>4</v>
      </c>
      <c r="F57" s="223">
        <v>3.5</v>
      </c>
      <c r="G57" s="85"/>
    </row>
    <row r="58" spans="1:7" ht="15.75" thickBot="1" x14ac:dyDescent="0.3">
      <c r="A58" s="17" t="s">
        <v>4</v>
      </c>
      <c r="B58" s="18" t="s">
        <v>8</v>
      </c>
      <c r="C58" s="191">
        <v>3.6</v>
      </c>
      <c r="D58" s="58">
        <v>3.6</v>
      </c>
      <c r="E58" s="191">
        <v>4</v>
      </c>
      <c r="F58" s="58">
        <v>3.5</v>
      </c>
    </row>
    <row r="59" spans="1:7" x14ac:dyDescent="0.25">
      <c r="C59" t="s">
        <v>91</v>
      </c>
      <c r="D59" t="s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E62"/>
  <sheetViews>
    <sheetView workbookViewId="0">
      <selection activeCell="B25" sqref="B25"/>
    </sheetView>
  </sheetViews>
  <sheetFormatPr defaultRowHeight="15" x14ac:dyDescent="0.25"/>
  <cols>
    <col min="1" max="1" width="4.42578125" customWidth="1"/>
    <col min="2" max="2" width="106.85546875" customWidth="1"/>
  </cols>
  <sheetData>
    <row r="1" spans="1:5" x14ac:dyDescent="0.25">
      <c r="B1" s="4" t="s">
        <v>269</v>
      </c>
      <c r="C1" s="3"/>
      <c r="D1" s="3"/>
    </row>
    <row r="2" spans="1:5" x14ac:dyDescent="0.25">
      <c r="B2" s="5" t="s">
        <v>1</v>
      </c>
      <c r="C2" s="6" t="s">
        <v>55</v>
      </c>
      <c r="D2" s="6" t="s">
        <v>252</v>
      </c>
      <c r="E2" s="6" t="s">
        <v>54</v>
      </c>
    </row>
    <row r="3" spans="1:5" x14ac:dyDescent="0.25">
      <c r="B3" s="7" t="s">
        <v>2</v>
      </c>
      <c r="C3" s="8" t="s">
        <v>6</v>
      </c>
      <c r="D3" s="8" t="s">
        <v>94</v>
      </c>
      <c r="E3" s="8" t="s">
        <v>95</v>
      </c>
    </row>
    <row r="4" spans="1:5" x14ac:dyDescent="0.25">
      <c r="A4" s="1"/>
      <c r="B4" s="7"/>
      <c r="C4" s="6" t="s">
        <v>3</v>
      </c>
      <c r="D4" s="6" t="s">
        <v>3</v>
      </c>
      <c r="E4" s="6" t="s">
        <v>3</v>
      </c>
    </row>
    <row r="5" spans="1:5" ht="16.5" customHeight="1" x14ac:dyDescent="0.25">
      <c r="A5" s="1"/>
      <c r="B5" s="23" t="s">
        <v>5</v>
      </c>
      <c r="C5" s="12"/>
      <c r="D5" s="12"/>
      <c r="E5" s="12"/>
    </row>
    <row r="6" spans="1:5" x14ac:dyDescent="0.25">
      <c r="A6" s="1"/>
      <c r="B6" s="11" t="s">
        <v>13</v>
      </c>
      <c r="C6" s="32"/>
      <c r="D6" s="32"/>
      <c r="E6" s="12"/>
    </row>
    <row r="7" spans="1:5" x14ac:dyDescent="0.25">
      <c r="A7" s="39" t="s">
        <v>11</v>
      </c>
      <c r="B7" s="42" t="s">
        <v>31</v>
      </c>
      <c r="C7" s="25">
        <v>4</v>
      </c>
      <c r="D7" s="25"/>
      <c r="E7" s="45">
        <v>4</v>
      </c>
    </row>
    <row r="8" spans="1:5" x14ac:dyDescent="0.25">
      <c r="A8" s="39" t="s">
        <v>12</v>
      </c>
      <c r="B8" s="42" t="s">
        <v>32</v>
      </c>
      <c r="C8" s="34">
        <v>4</v>
      </c>
      <c r="D8" s="34"/>
      <c r="E8" s="46">
        <v>4</v>
      </c>
    </row>
    <row r="9" spans="1:5" x14ac:dyDescent="0.25">
      <c r="A9" s="39" t="s">
        <v>14</v>
      </c>
      <c r="B9" s="42" t="s">
        <v>64</v>
      </c>
      <c r="C9" s="34">
        <v>4</v>
      </c>
      <c r="D9" s="34"/>
      <c r="E9" s="46">
        <v>4</v>
      </c>
    </row>
    <row r="10" spans="1:5" x14ac:dyDescent="0.25">
      <c r="A10" s="39" t="s">
        <v>15</v>
      </c>
      <c r="B10" s="42" t="s">
        <v>65</v>
      </c>
      <c r="C10" s="34">
        <v>4</v>
      </c>
      <c r="D10" s="34"/>
      <c r="E10" s="46">
        <v>4</v>
      </c>
    </row>
    <row r="11" spans="1:5" x14ac:dyDescent="0.25">
      <c r="A11" s="40"/>
      <c r="B11" s="33" t="s">
        <v>8</v>
      </c>
      <c r="C11" s="61">
        <v>4</v>
      </c>
      <c r="D11" s="61"/>
      <c r="E11" s="47">
        <v>4</v>
      </c>
    </row>
    <row r="12" spans="1:5" x14ac:dyDescent="0.25">
      <c r="A12" s="2"/>
      <c r="B12" s="22" t="s">
        <v>7</v>
      </c>
      <c r="C12" s="224"/>
      <c r="D12" s="224"/>
      <c r="E12" s="59"/>
    </row>
    <row r="13" spans="1:5" ht="15" customHeight="1" x14ac:dyDescent="0.25">
      <c r="A13" s="2"/>
      <c r="B13" s="20" t="s">
        <v>16</v>
      </c>
      <c r="C13" s="225"/>
      <c r="D13" s="225"/>
      <c r="E13" s="59"/>
    </row>
    <row r="14" spans="1:5" x14ac:dyDescent="0.25">
      <c r="A14" s="40" t="s">
        <v>17</v>
      </c>
      <c r="B14" s="29" t="s">
        <v>33</v>
      </c>
      <c r="C14" s="25">
        <v>4</v>
      </c>
      <c r="D14" s="25"/>
      <c r="E14" s="46">
        <v>4</v>
      </c>
    </row>
    <row r="15" spans="1:5" x14ac:dyDescent="0.25">
      <c r="A15" s="40" t="s">
        <v>34</v>
      </c>
      <c r="B15" s="29" t="s">
        <v>67</v>
      </c>
      <c r="C15" s="34">
        <v>4</v>
      </c>
      <c r="D15" s="34"/>
      <c r="E15" s="46">
        <v>4</v>
      </c>
    </row>
    <row r="16" spans="1:5" x14ac:dyDescent="0.25">
      <c r="A16" s="40" t="s">
        <v>35</v>
      </c>
      <c r="B16" s="29" t="s">
        <v>68</v>
      </c>
      <c r="C16" s="34">
        <v>4</v>
      </c>
      <c r="D16" s="34"/>
      <c r="E16" s="46">
        <v>4</v>
      </c>
    </row>
    <row r="17" spans="1:5" x14ac:dyDescent="0.25">
      <c r="A17" s="41" t="s">
        <v>66</v>
      </c>
      <c r="B17" s="29" t="s">
        <v>69</v>
      </c>
      <c r="C17" s="34">
        <v>4</v>
      </c>
      <c r="D17" s="34"/>
      <c r="E17" s="46">
        <v>4</v>
      </c>
    </row>
    <row r="18" spans="1:5" x14ac:dyDescent="0.25">
      <c r="A18" s="40"/>
      <c r="B18" s="14" t="s">
        <v>8</v>
      </c>
      <c r="C18" s="196">
        <v>4</v>
      </c>
      <c r="D18" s="61"/>
      <c r="E18" s="49">
        <v>4</v>
      </c>
    </row>
    <row r="19" spans="1:5" x14ac:dyDescent="0.25">
      <c r="A19" s="2"/>
      <c r="B19" s="22" t="s">
        <v>70</v>
      </c>
      <c r="C19" s="225"/>
      <c r="D19" s="225"/>
      <c r="E19" s="59"/>
    </row>
    <row r="20" spans="1:5" ht="12.75" customHeight="1" x14ac:dyDescent="0.25">
      <c r="A20" s="2"/>
      <c r="B20" s="20" t="s">
        <v>74</v>
      </c>
      <c r="C20" s="225"/>
      <c r="D20" s="225"/>
      <c r="E20" s="59"/>
    </row>
    <row r="21" spans="1:5" x14ac:dyDescent="0.25">
      <c r="A21" s="40" t="s">
        <v>71</v>
      </c>
      <c r="B21" s="24" t="s">
        <v>75</v>
      </c>
      <c r="C21" s="25">
        <v>4</v>
      </c>
      <c r="D21" s="25"/>
      <c r="E21" s="50">
        <v>4</v>
      </c>
    </row>
    <row r="22" spans="1:5" x14ac:dyDescent="0.25">
      <c r="A22" s="40" t="s">
        <v>72</v>
      </c>
      <c r="B22" s="24" t="s">
        <v>76</v>
      </c>
      <c r="C22" s="36">
        <v>4</v>
      </c>
      <c r="D22" s="36"/>
      <c r="E22" s="51">
        <v>4</v>
      </c>
    </row>
    <row r="23" spans="1:5" x14ac:dyDescent="0.25">
      <c r="A23" s="40" t="s">
        <v>73</v>
      </c>
      <c r="B23" s="24" t="s">
        <v>77</v>
      </c>
      <c r="C23" s="36">
        <v>4</v>
      </c>
      <c r="D23" s="36"/>
      <c r="E23" s="51">
        <v>4</v>
      </c>
    </row>
    <row r="24" spans="1:5" x14ac:dyDescent="0.25">
      <c r="A24" s="3"/>
      <c r="B24" s="14" t="s">
        <v>8</v>
      </c>
      <c r="C24" s="62">
        <v>4</v>
      </c>
      <c r="D24" s="62"/>
      <c r="E24" s="49">
        <v>4</v>
      </c>
    </row>
    <row r="25" spans="1:5" x14ac:dyDescent="0.25">
      <c r="A25" s="2"/>
      <c r="B25" s="9" t="s">
        <v>9</v>
      </c>
      <c r="C25" s="226"/>
      <c r="D25" s="226"/>
      <c r="E25" s="52"/>
    </row>
    <row r="26" spans="1:5" x14ac:dyDescent="0.25">
      <c r="A26" s="2"/>
      <c r="B26" s="11" t="s">
        <v>10</v>
      </c>
      <c r="C26" s="226"/>
      <c r="D26" s="226"/>
      <c r="E26" s="52"/>
    </row>
    <row r="27" spans="1:5" x14ac:dyDescent="0.25">
      <c r="A27" s="1" t="s">
        <v>19</v>
      </c>
      <c r="B27" s="30" t="s">
        <v>36</v>
      </c>
      <c r="C27" s="25">
        <v>4</v>
      </c>
      <c r="D27" s="25"/>
      <c r="E27" s="45">
        <v>4</v>
      </c>
    </row>
    <row r="28" spans="1:5" x14ac:dyDescent="0.25">
      <c r="A28" s="1" t="s">
        <v>22</v>
      </c>
      <c r="B28" s="30" t="s">
        <v>37</v>
      </c>
      <c r="C28" s="34">
        <v>4</v>
      </c>
      <c r="D28" s="34"/>
      <c r="E28" s="46">
        <v>4</v>
      </c>
    </row>
    <row r="29" spans="1:5" x14ac:dyDescent="0.25">
      <c r="A29" s="1" t="s">
        <v>23</v>
      </c>
      <c r="B29" s="30" t="s">
        <v>38</v>
      </c>
      <c r="C29" s="34">
        <v>4</v>
      </c>
      <c r="D29" s="34"/>
      <c r="E29" s="46">
        <v>4</v>
      </c>
    </row>
    <row r="30" spans="1:5" x14ac:dyDescent="0.25">
      <c r="A30" s="1"/>
      <c r="B30" s="14" t="s">
        <v>8</v>
      </c>
      <c r="C30" s="62">
        <v>4</v>
      </c>
      <c r="D30" s="62"/>
      <c r="E30" s="47">
        <v>4</v>
      </c>
    </row>
    <row r="31" spans="1:5" x14ac:dyDescent="0.25">
      <c r="A31" s="1"/>
      <c r="B31" s="43" t="s">
        <v>18</v>
      </c>
      <c r="C31" s="226"/>
      <c r="D31" s="226"/>
      <c r="E31" s="52"/>
    </row>
    <row r="32" spans="1:5" x14ac:dyDescent="0.25">
      <c r="A32" s="1" t="s">
        <v>20</v>
      </c>
      <c r="B32" s="30" t="s">
        <v>39</v>
      </c>
      <c r="C32" s="25">
        <v>4</v>
      </c>
      <c r="D32" s="25"/>
      <c r="E32" s="46">
        <v>4</v>
      </c>
    </row>
    <row r="33" spans="1:5" x14ac:dyDescent="0.25">
      <c r="A33" s="1" t="s">
        <v>24</v>
      </c>
      <c r="B33" s="30" t="s">
        <v>40</v>
      </c>
      <c r="C33" s="34">
        <v>4</v>
      </c>
      <c r="D33" s="34"/>
      <c r="E33" s="46">
        <v>4</v>
      </c>
    </row>
    <row r="34" spans="1:5" x14ac:dyDescent="0.25">
      <c r="A34" s="1" t="s">
        <v>25</v>
      </c>
      <c r="B34" s="30" t="s">
        <v>78</v>
      </c>
      <c r="C34" s="34">
        <v>4</v>
      </c>
      <c r="D34" s="34"/>
      <c r="E34" s="46">
        <v>4</v>
      </c>
    </row>
    <row r="35" spans="1:5" x14ac:dyDescent="0.25">
      <c r="A35" s="1" t="s">
        <v>26</v>
      </c>
      <c r="B35" s="30" t="s">
        <v>79</v>
      </c>
      <c r="C35" s="34">
        <v>4</v>
      </c>
      <c r="D35" s="34"/>
      <c r="E35" s="46">
        <v>4</v>
      </c>
    </row>
    <row r="36" spans="1:5" x14ac:dyDescent="0.25">
      <c r="A36" s="3"/>
      <c r="B36" s="14" t="s">
        <v>8</v>
      </c>
      <c r="C36" s="62">
        <v>4</v>
      </c>
      <c r="D36" s="62"/>
      <c r="E36" s="47">
        <v>4</v>
      </c>
    </row>
    <row r="37" spans="1:5" x14ac:dyDescent="0.25">
      <c r="A37" s="1"/>
      <c r="B37" s="10" t="s">
        <v>27</v>
      </c>
      <c r="C37" s="226"/>
      <c r="D37" s="226"/>
      <c r="E37" s="52"/>
    </row>
    <row r="38" spans="1:5" x14ac:dyDescent="0.25">
      <c r="A38" s="1" t="s">
        <v>21</v>
      </c>
      <c r="B38" s="30" t="s">
        <v>41</v>
      </c>
      <c r="C38" s="25">
        <v>4</v>
      </c>
      <c r="D38" s="25"/>
      <c r="E38" s="45">
        <v>4</v>
      </c>
    </row>
    <row r="39" spans="1:5" x14ac:dyDescent="0.25">
      <c r="A39" s="1" t="s">
        <v>28</v>
      </c>
      <c r="B39" s="30" t="s">
        <v>80</v>
      </c>
      <c r="C39" s="34">
        <v>4</v>
      </c>
      <c r="D39" s="34"/>
      <c r="E39" s="46">
        <v>4</v>
      </c>
    </row>
    <row r="40" spans="1:5" x14ac:dyDescent="0.25">
      <c r="A40" s="1" t="s">
        <v>29</v>
      </c>
      <c r="B40" s="30" t="s">
        <v>81</v>
      </c>
      <c r="C40" s="34">
        <v>4</v>
      </c>
      <c r="D40" s="34"/>
      <c r="E40" s="46">
        <v>4</v>
      </c>
    </row>
    <row r="41" spans="1:5" x14ac:dyDescent="0.25">
      <c r="A41" s="1" t="s">
        <v>30</v>
      </c>
      <c r="B41" s="30" t="s">
        <v>82</v>
      </c>
      <c r="C41" s="34">
        <v>4</v>
      </c>
      <c r="D41" s="34"/>
      <c r="E41" s="46">
        <v>4</v>
      </c>
    </row>
    <row r="42" spans="1:5" x14ac:dyDescent="0.25">
      <c r="A42" s="26" t="s">
        <v>4</v>
      </c>
      <c r="B42" s="14" t="s">
        <v>8</v>
      </c>
      <c r="C42" s="63">
        <v>4</v>
      </c>
      <c r="D42" s="63"/>
      <c r="E42" s="56">
        <v>4</v>
      </c>
    </row>
    <row r="43" spans="1:5" x14ac:dyDescent="0.25">
      <c r="B43" s="27" t="s">
        <v>83</v>
      </c>
      <c r="C43" s="226"/>
      <c r="D43" s="226"/>
      <c r="E43" s="60"/>
    </row>
    <row r="44" spans="1:5" x14ac:dyDescent="0.25">
      <c r="B44" s="11" t="s">
        <v>84</v>
      </c>
      <c r="C44" s="226"/>
      <c r="D44" s="226"/>
      <c r="E44" s="52"/>
    </row>
    <row r="45" spans="1:5" x14ac:dyDescent="0.25">
      <c r="A45" s="30" t="s">
        <v>85</v>
      </c>
      <c r="B45" s="30" t="s">
        <v>88</v>
      </c>
      <c r="C45" s="34">
        <v>4</v>
      </c>
      <c r="D45" s="34"/>
      <c r="E45" s="45">
        <v>4</v>
      </c>
    </row>
    <row r="46" spans="1:5" x14ac:dyDescent="0.25">
      <c r="A46" s="30" t="s">
        <v>86</v>
      </c>
      <c r="B46" s="30" t="s">
        <v>89</v>
      </c>
      <c r="C46" s="34">
        <v>4</v>
      </c>
      <c r="D46" s="34"/>
      <c r="E46" s="46">
        <v>4</v>
      </c>
    </row>
    <row r="47" spans="1:5" x14ac:dyDescent="0.25">
      <c r="A47" s="30" t="s">
        <v>87</v>
      </c>
      <c r="B47" s="30" t="s">
        <v>90</v>
      </c>
      <c r="C47" s="34">
        <v>4</v>
      </c>
      <c r="D47" s="34"/>
      <c r="E47" s="46">
        <v>4</v>
      </c>
    </row>
    <row r="48" spans="1:5" ht="15.75" thickBot="1" x14ac:dyDescent="0.3">
      <c r="A48" s="17" t="s">
        <v>4</v>
      </c>
      <c r="B48" s="18" t="s">
        <v>8</v>
      </c>
      <c r="C48" s="191">
        <v>4</v>
      </c>
      <c r="D48" s="191"/>
      <c r="E48" s="58">
        <v>4</v>
      </c>
    </row>
    <row r="49" spans="1:5" x14ac:dyDescent="0.25">
      <c r="A49" s="65"/>
      <c r="B49" s="81" t="s">
        <v>248</v>
      </c>
      <c r="C49" s="87"/>
      <c r="D49" s="227"/>
      <c r="E49" s="221"/>
    </row>
    <row r="50" spans="1:5" x14ac:dyDescent="0.25">
      <c r="A50" s="65">
        <v>1</v>
      </c>
      <c r="B50" s="75" t="s">
        <v>224</v>
      </c>
      <c r="C50" s="51">
        <v>4</v>
      </c>
      <c r="D50" s="51"/>
      <c r="E50" s="201">
        <v>4</v>
      </c>
    </row>
    <row r="51" spans="1:5" x14ac:dyDescent="0.25">
      <c r="A51" s="65">
        <v>2</v>
      </c>
      <c r="B51" s="76" t="s">
        <v>225</v>
      </c>
      <c r="C51" s="51">
        <v>4</v>
      </c>
      <c r="D51" s="51"/>
      <c r="E51" s="201">
        <v>4</v>
      </c>
    </row>
    <row r="52" spans="1:5" x14ac:dyDescent="0.25">
      <c r="A52" s="65" t="s">
        <v>250</v>
      </c>
      <c r="B52" s="75" t="s">
        <v>226</v>
      </c>
      <c r="C52" s="51">
        <v>4</v>
      </c>
      <c r="D52" s="51"/>
      <c r="E52" s="201">
        <v>4</v>
      </c>
    </row>
    <row r="53" spans="1:5" x14ac:dyDescent="0.25">
      <c r="A53" s="65"/>
      <c r="B53" s="76" t="s">
        <v>227</v>
      </c>
      <c r="C53" s="51">
        <v>4</v>
      </c>
      <c r="D53" s="51"/>
      <c r="E53" s="201">
        <v>4</v>
      </c>
    </row>
    <row r="54" spans="1:5" x14ac:dyDescent="0.25">
      <c r="A54" s="65">
        <v>4</v>
      </c>
      <c r="B54" s="75" t="s">
        <v>228</v>
      </c>
      <c r="C54" s="51">
        <v>4</v>
      </c>
      <c r="D54" s="51"/>
      <c r="E54" s="201">
        <v>4</v>
      </c>
    </row>
    <row r="55" spans="1:5" x14ac:dyDescent="0.25">
      <c r="A55" s="65"/>
      <c r="B55" s="76" t="s">
        <v>229</v>
      </c>
      <c r="C55" s="51">
        <v>4</v>
      </c>
      <c r="D55" s="51"/>
      <c r="E55" s="201">
        <v>4</v>
      </c>
    </row>
    <row r="56" spans="1:5" x14ac:dyDescent="0.25">
      <c r="A56" s="65">
        <v>5</v>
      </c>
      <c r="B56" s="75" t="s">
        <v>230</v>
      </c>
      <c r="C56" s="51">
        <v>4</v>
      </c>
      <c r="D56" s="51"/>
      <c r="E56" s="201">
        <v>4</v>
      </c>
    </row>
    <row r="57" spans="1:5" x14ac:dyDescent="0.25">
      <c r="A57" s="65">
        <v>6</v>
      </c>
      <c r="B57" s="76" t="s">
        <v>231</v>
      </c>
      <c r="C57" s="51">
        <v>4</v>
      </c>
      <c r="D57" s="51"/>
      <c r="E57" s="201">
        <v>4</v>
      </c>
    </row>
    <row r="58" spans="1:5" x14ac:dyDescent="0.25">
      <c r="A58" s="65">
        <v>7</v>
      </c>
      <c r="B58" s="75" t="s">
        <v>232</v>
      </c>
      <c r="C58" s="51">
        <v>4</v>
      </c>
      <c r="D58" s="51"/>
      <c r="E58" s="201">
        <v>4</v>
      </c>
    </row>
    <row r="59" spans="1:5" x14ac:dyDescent="0.25">
      <c r="A59" s="65"/>
      <c r="B59" s="75" t="s">
        <v>233</v>
      </c>
      <c r="C59" s="51">
        <v>4</v>
      </c>
      <c r="D59" s="51"/>
      <c r="E59" s="201">
        <v>4</v>
      </c>
    </row>
    <row r="60" spans="1:5" x14ac:dyDescent="0.25">
      <c r="A60" s="65">
        <v>8</v>
      </c>
      <c r="B60" s="75" t="s">
        <v>234</v>
      </c>
      <c r="C60" s="51">
        <v>4</v>
      </c>
      <c r="D60" s="51"/>
      <c r="E60" s="201">
        <v>4</v>
      </c>
    </row>
    <row r="61" spans="1:5" x14ac:dyDescent="0.25">
      <c r="A61" s="180"/>
      <c r="B61" s="190" t="s">
        <v>235</v>
      </c>
      <c r="C61" s="35">
        <v>4</v>
      </c>
      <c r="D61" s="35"/>
      <c r="E61" s="205">
        <v>4</v>
      </c>
    </row>
    <row r="62" spans="1:5" ht="15.75" thickBot="1" x14ac:dyDescent="0.3">
      <c r="A62" s="17" t="s">
        <v>4</v>
      </c>
      <c r="B62" s="18" t="s">
        <v>8</v>
      </c>
      <c r="C62" s="191">
        <v>4</v>
      </c>
      <c r="D62" s="191"/>
      <c r="E62" s="58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62"/>
  <sheetViews>
    <sheetView workbookViewId="0">
      <selection activeCell="B29" sqref="B29"/>
    </sheetView>
  </sheetViews>
  <sheetFormatPr defaultRowHeight="15" x14ac:dyDescent="0.25"/>
  <cols>
    <col min="1" max="1" width="4.7109375" customWidth="1"/>
    <col min="2" max="2" width="106.28515625" customWidth="1"/>
  </cols>
  <sheetData>
    <row r="1" spans="1:5" x14ac:dyDescent="0.25">
      <c r="B1" s="4" t="s">
        <v>270</v>
      </c>
      <c r="C1" s="3"/>
      <c r="D1" s="3"/>
    </row>
    <row r="2" spans="1:5" x14ac:dyDescent="0.25">
      <c r="B2" s="5" t="s">
        <v>1</v>
      </c>
      <c r="C2" s="6" t="s">
        <v>55</v>
      </c>
      <c r="D2" s="6" t="s">
        <v>252</v>
      </c>
      <c r="E2" s="6" t="s">
        <v>54</v>
      </c>
    </row>
    <row r="3" spans="1:5" x14ac:dyDescent="0.25">
      <c r="B3" s="7" t="s">
        <v>2</v>
      </c>
      <c r="C3" s="8" t="s">
        <v>6</v>
      </c>
      <c r="D3" s="8" t="s">
        <v>94</v>
      </c>
      <c r="E3" s="8" t="s">
        <v>95</v>
      </c>
    </row>
    <row r="4" spans="1:5" x14ac:dyDescent="0.25">
      <c r="A4" s="1"/>
      <c r="B4" s="7"/>
      <c r="C4" s="6" t="s">
        <v>3</v>
      </c>
      <c r="D4" s="6" t="s">
        <v>3</v>
      </c>
      <c r="E4" s="6" t="s">
        <v>3</v>
      </c>
    </row>
    <row r="5" spans="1:5" ht="17.25" customHeight="1" x14ac:dyDescent="0.25">
      <c r="A5" s="1"/>
      <c r="B5" s="23" t="s">
        <v>5</v>
      </c>
      <c r="C5" s="12"/>
      <c r="D5" s="12"/>
      <c r="E5" s="12"/>
    </row>
    <row r="6" spans="1:5" x14ac:dyDescent="0.25">
      <c r="A6" s="1"/>
      <c r="B6" s="11" t="s">
        <v>13</v>
      </c>
      <c r="C6" s="32"/>
      <c r="D6" s="32"/>
      <c r="E6" s="12"/>
    </row>
    <row r="7" spans="1:5" x14ac:dyDescent="0.25">
      <c r="A7" s="39" t="s">
        <v>11</v>
      </c>
      <c r="B7" s="42" t="s">
        <v>31</v>
      </c>
      <c r="C7" s="25">
        <v>4</v>
      </c>
      <c r="D7" s="25"/>
      <c r="E7" s="45">
        <v>4</v>
      </c>
    </row>
    <row r="8" spans="1:5" x14ac:dyDescent="0.25">
      <c r="A8" s="39" t="s">
        <v>12</v>
      </c>
      <c r="B8" s="42" t="s">
        <v>32</v>
      </c>
      <c r="C8" s="34">
        <v>4</v>
      </c>
      <c r="D8" s="34"/>
      <c r="E8" s="46">
        <v>4</v>
      </c>
    </row>
    <row r="9" spans="1:5" x14ac:dyDescent="0.25">
      <c r="A9" s="39" t="s">
        <v>14</v>
      </c>
      <c r="B9" s="42" t="s">
        <v>64</v>
      </c>
      <c r="C9" s="34">
        <v>4</v>
      </c>
      <c r="D9" s="34"/>
      <c r="E9" s="46">
        <v>4</v>
      </c>
    </row>
    <row r="10" spans="1:5" x14ac:dyDescent="0.25">
      <c r="A10" s="39" t="s">
        <v>15</v>
      </c>
      <c r="B10" s="42" t="s">
        <v>65</v>
      </c>
      <c r="C10" s="34">
        <v>4</v>
      </c>
      <c r="D10" s="34"/>
      <c r="E10" s="46">
        <v>4</v>
      </c>
    </row>
    <row r="11" spans="1:5" x14ac:dyDescent="0.25">
      <c r="A11" s="40"/>
      <c r="B11" s="33" t="s">
        <v>8</v>
      </c>
      <c r="C11" s="61">
        <v>4</v>
      </c>
      <c r="D11" s="61"/>
      <c r="E11" s="47">
        <v>4</v>
      </c>
    </row>
    <row r="12" spans="1:5" x14ac:dyDescent="0.25">
      <c r="A12" s="2"/>
      <c r="B12" s="22" t="s">
        <v>7</v>
      </c>
      <c r="C12" s="224"/>
      <c r="D12" s="224"/>
      <c r="E12" s="59"/>
    </row>
    <row r="13" spans="1:5" ht="13.5" customHeight="1" x14ac:dyDescent="0.25">
      <c r="A13" s="2"/>
      <c r="B13" s="20" t="s">
        <v>16</v>
      </c>
      <c r="C13" s="225"/>
      <c r="D13" s="225"/>
      <c r="E13" s="59"/>
    </row>
    <row r="14" spans="1:5" x14ac:dyDescent="0.25">
      <c r="A14" s="40" t="s">
        <v>17</v>
      </c>
      <c r="B14" s="29" t="s">
        <v>33</v>
      </c>
      <c r="C14" s="25">
        <v>4</v>
      </c>
      <c r="D14" s="25"/>
      <c r="E14" s="46">
        <v>4</v>
      </c>
    </row>
    <row r="15" spans="1:5" x14ac:dyDescent="0.25">
      <c r="A15" s="40" t="s">
        <v>34</v>
      </c>
      <c r="B15" s="29" t="s">
        <v>67</v>
      </c>
      <c r="C15" s="34">
        <v>4</v>
      </c>
      <c r="D15" s="34"/>
      <c r="E15" s="46">
        <v>4</v>
      </c>
    </row>
    <row r="16" spans="1:5" x14ac:dyDescent="0.25">
      <c r="A16" s="40" t="s">
        <v>35</v>
      </c>
      <c r="B16" s="29" t="s">
        <v>68</v>
      </c>
      <c r="C16" s="34">
        <v>4</v>
      </c>
      <c r="D16" s="34"/>
      <c r="E16" s="46">
        <v>4</v>
      </c>
    </row>
    <row r="17" spans="1:8" x14ac:dyDescent="0.25">
      <c r="A17" s="41" t="s">
        <v>66</v>
      </c>
      <c r="B17" s="29" t="s">
        <v>69</v>
      </c>
      <c r="C17" s="34">
        <v>4</v>
      </c>
      <c r="D17" s="34"/>
      <c r="E17" s="46">
        <v>4</v>
      </c>
    </row>
    <row r="18" spans="1:8" x14ac:dyDescent="0.25">
      <c r="A18" s="40"/>
      <c r="B18" s="14" t="s">
        <v>8</v>
      </c>
      <c r="C18" s="196">
        <v>4</v>
      </c>
      <c r="D18" s="61"/>
      <c r="E18" s="49">
        <v>4</v>
      </c>
    </row>
    <row r="19" spans="1:8" x14ac:dyDescent="0.25">
      <c r="A19" s="2"/>
      <c r="B19" s="22" t="s">
        <v>70</v>
      </c>
      <c r="C19" s="225"/>
      <c r="D19" s="225"/>
      <c r="E19" s="59"/>
    </row>
    <row r="20" spans="1:8" ht="13.5" customHeight="1" x14ac:dyDescent="0.25">
      <c r="A20" s="2"/>
      <c r="B20" s="20" t="s">
        <v>74</v>
      </c>
      <c r="C20" s="225"/>
      <c r="D20" s="225"/>
      <c r="E20" s="59"/>
      <c r="H20" t="s">
        <v>4</v>
      </c>
    </row>
    <row r="21" spans="1:8" x14ac:dyDescent="0.25">
      <c r="A21" s="40" t="s">
        <v>71</v>
      </c>
      <c r="B21" s="24" t="s">
        <v>75</v>
      </c>
      <c r="C21" s="25">
        <v>4</v>
      </c>
      <c r="D21" s="25"/>
      <c r="E21" s="50">
        <v>4</v>
      </c>
    </row>
    <row r="22" spans="1:8" x14ac:dyDescent="0.25">
      <c r="A22" s="40" t="s">
        <v>72</v>
      </c>
      <c r="B22" s="24" t="s">
        <v>76</v>
      </c>
      <c r="C22" s="36">
        <v>4</v>
      </c>
      <c r="D22" s="36"/>
      <c r="E22" s="51">
        <v>4</v>
      </c>
    </row>
    <row r="23" spans="1:8" x14ac:dyDescent="0.25">
      <c r="A23" s="40" t="s">
        <v>73</v>
      </c>
      <c r="B23" s="24" t="s">
        <v>77</v>
      </c>
      <c r="C23" s="36">
        <v>4</v>
      </c>
      <c r="D23" s="36"/>
      <c r="E23" s="51">
        <v>4</v>
      </c>
    </row>
    <row r="24" spans="1:8" x14ac:dyDescent="0.25">
      <c r="A24" s="3"/>
      <c r="B24" s="14" t="s">
        <v>8</v>
      </c>
      <c r="C24" s="62">
        <v>4</v>
      </c>
      <c r="D24" s="62"/>
      <c r="E24" s="49">
        <v>4</v>
      </c>
    </row>
    <row r="25" spans="1:8" x14ac:dyDescent="0.25">
      <c r="A25" s="2"/>
      <c r="B25" s="9" t="s">
        <v>9</v>
      </c>
      <c r="C25" s="226"/>
      <c r="D25" s="226"/>
      <c r="E25" s="52"/>
    </row>
    <row r="26" spans="1:8" x14ac:dyDescent="0.25">
      <c r="A26" s="2"/>
      <c r="B26" s="11" t="s">
        <v>10</v>
      </c>
      <c r="C26" s="226"/>
      <c r="D26" s="226"/>
      <c r="E26" s="52"/>
    </row>
    <row r="27" spans="1:8" x14ac:dyDescent="0.25">
      <c r="A27" s="1" t="s">
        <v>19</v>
      </c>
      <c r="B27" s="30" t="s">
        <v>36</v>
      </c>
      <c r="C27" s="25">
        <v>4</v>
      </c>
      <c r="D27" s="25"/>
      <c r="E27" s="45">
        <v>4</v>
      </c>
    </row>
    <row r="28" spans="1:8" x14ac:dyDescent="0.25">
      <c r="A28" s="1" t="s">
        <v>22</v>
      </c>
      <c r="B28" s="30" t="s">
        <v>37</v>
      </c>
      <c r="C28" s="34">
        <v>4</v>
      </c>
      <c r="D28" s="34"/>
      <c r="E28" s="46">
        <v>4</v>
      </c>
    </row>
    <row r="29" spans="1:8" x14ac:dyDescent="0.25">
      <c r="A29" s="1" t="s">
        <v>23</v>
      </c>
      <c r="B29" s="30" t="s">
        <v>38</v>
      </c>
      <c r="C29" s="34">
        <v>4</v>
      </c>
      <c r="D29" s="34"/>
      <c r="E29" s="46">
        <v>4</v>
      </c>
    </row>
    <row r="30" spans="1:8" x14ac:dyDescent="0.25">
      <c r="A30" s="1"/>
      <c r="B30" s="14" t="s">
        <v>8</v>
      </c>
      <c r="C30" s="62">
        <v>4</v>
      </c>
      <c r="D30" s="62"/>
      <c r="E30" s="47">
        <v>4</v>
      </c>
    </row>
    <row r="31" spans="1:8" x14ac:dyDescent="0.25">
      <c r="A31" s="1"/>
      <c r="B31" s="43" t="s">
        <v>18</v>
      </c>
      <c r="C31" s="226"/>
      <c r="D31" s="226"/>
      <c r="E31" s="52"/>
    </row>
    <row r="32" spans="1:8" x14ac:dyDescent="0.25">
      <c r="A32" s="1" t="s">
        <v>20</v>
      </c>
      <c r="B32" s="30" t="s">
        <v>39</v>
      </c>
      <c r="C32" s="25">
        <v>4</v>
      </c>
      <c r="D32" s="25"/>
      <c r="E32" s="46">
        <v>4</v>
      </c>
    </row>
    <row r="33" spans="1:5" x14ac:dyDescent="0.25">
      <c r="A33" s="1" t="s">
        <v>24</v>
      </c>
      <c r="B33" s="30" t="s">
        <v>40</v>
      </c>
      <c r="C33" s="34">
        <v>4</v>
      </c>
      <c r="D33" s="34"/>
      <c r="E33" s="46">
        <v>4</v>
      </c>
    </row>
    <row r="34" spans="1:5" x14ac:dyDescent="0.25">
      <c r="A34" s="1" t="s">
        <v>25</v>
      </c>
      <c r="B34" s="30" t="s">
        <v>78</v>
      </c>
      <c r="C34" s="34">
        <v>4</v>
      </c>
      <c r="D34" s="34"/>
      <c r="E34" s="46">
        <v>4</v>
      </c>
    </row>
    <row r="35" spans="1:5" x14ac:dyDescent="0.25">
      <c r="A35" s="1" t="s">
        <v>26</v>
      </c>
      <c r="B35" s="30" t="s">
        <v>79</v>
      </c>
      <c r="C35" s="34">
        <v>4</v>
      </c>
      <c r="D35" s="34"/>
      <c r="E35" s="46">
        <v>4</v>
      </c>
    </row>
    <row r="36" spans="1:5" x14ac:dyDescent="0.25">
      <c r="A36" s="3"/>
      <c r="B36" s="14" t="s">
        <v>8</v>
      </c>
      <c r="C36" s="62">
        <v>4</v>
      </c>
      <c r="D36" s="62"/>
      <c r="E36" s="47">
        <v>4</v>
      </c>
    </row>
    <row r="37" spans="1:5" x14ac:dyDescent="0.25">
      <c r="A37" s="1"/>
      <c r="B37" s="10" t="s">
        <v>27</v>
      </c>
      <c r="C37" s="226"/>
      <c r="D37" s="226"/>
      <c r="E37" s="52"/>
    </row>
    <row r="38" spans="1:5" x14ac:dyDescent="0.25">
      <c r="A38" s="1" t="s">
        <v>21</v>
      </c>
      <c r="B38" s="30" t="s">
        <v>41</v>
      </c>
      <c r="C38" s="25">
        <v>4</v>
      </c>
      <c r="D38" s="25"/>
      <c r="E38" s="45">
        <v>4</v>
      </c>
    </row>
    <row r="39" spans="1:5" x14ac:dyDescent="0.25">
      <c r="A39" s="1" t="s">
        <v>28</v>
      </c>
      <c r="B39" s="30" t="s">
        <v>80</v>
      </c>
      <c r="C39" s="34">
        <v>4</v>
      </c>
      <c r="D39" s="34"/>
      <c r="E39" s="46">
        <v>4</v>
      </c>
    </row>
    <row r="40" spans="1:5" x14ac:dyDescent="0.25">
      <c r="A40" s="1" t="s">
        <v>29</v>
      </c>
      <c r="B40" s="30" t="s">
        <v>81</v>
      </c>
      <c r="C40" s="34">
        <v>4</v>
      </c>
      <c r="D40" s="34"/>
      <c r="E40" s="46">
        <v>4</v>
      </c>
    </row>
    <row r="41" spans="1:5" x14ac:dyDescent="0.25">
      <c r="A41" s="1" t="s">
        <v>30</v>
      </c>
      <c r="B41" s="30" t="s">
        <v>82</v>
      </c>
      <c r="C41" s="34">
        <v>4</v>
      </c>
      <c r="D41" s="34"/>
      <c r="E41" s="46">
        <v>4</v>
      </c>
    </row>
    <row r="42" spans="1:5" x14ac:dyDescent="0.25">
      <c r="A42" s="26" t="s">
        <v>4</v>
      </c>
      <c r="B42" s="14" t="s">
        <v>8</v>
      </c>
      <c r="C42" s="63">
        <v>4</v>
      </c>
      <c r="D42" s="63"/>
      <c r="E42" s="56">
        <v>4</v>
      </c>
    </row>
    <row r="43" spans="1:5" x14ac:dyDescent="0.25">
      <c r="B43" s="27" t="s">
        <v>83</v>
      </c>
      <c r="C43" s="226"/>
      <c r="D43" s="226"/>
      <c r="E43" s="60"/>
    </row>
    <row r="44" spans="1:5" x14ac:dyDescent="0.25">
      <c r="B44" s="11" t="s">
        <v>84</v>
      </c>
      <c r="C44" s="226"/>
      <c r="D44" s="226"/>
      <c r="E44" s="52"/>
    </row>
    <row r="45" spans="1:5" x14ac:dyDescent="0.25">
      <c r="A45" s="30" t="s">
        <v>85</v>
      </c>
      <c r="B45" s="30" t="s">
        <v>88</v>
      </c>
      <c r="C45" s="34">
        <v>4</v>
      </c>
      <c r="D45" s="34"/>
      <c r="E45" s="45">
        <v>4</v>
      </c>
    </row>
    <row r="46" spans="1:5" x14ac:dyDescent="0.25">
      <c r="A46" s="30" t="s">
        <v>86</v>
      </c>
      <c r="B46" s="30" t="s">
        <v>89</v>
      </c>
      <c r="C46" s="34">
        <v>4</v>
      </c>
      <c r="D46" s="34"/>
      <c r="E46" s="46">
        <v>4</v>
      </c>
    </row>
    <row r="47" spans="1:5" x14ac:dyDescent="0.25">
      <c r="A47" s="30" t="s">
        <v>87</v>
      </c>
      <c r="B47" s="30" t="s">
        <v>90</v>
      </c>
      <c r="C47" s="34">
        <v>4</v>
      </c>
      <c r="D47" s="34"/>
      <c r="E47" s="46">
        <v>4</v>
      </c>
    </row>
    <row r="48" spans="1:5" ht="15.75" thickBot="1" x14ac:dyDescent="0.3">
      <c r="A48" s="17" t="s">
        <v>4</v>
      </c>
      <c r="B48" s="18" t="s">
        <v>8</v>
      </c>
      <c r="C48" s="191">
        <v>4</v>
      </c>
      <c r="D48" s="191"/>
      <c r="E48" s="58">
        <v>4</v>
      </c>
    </row>
    <row r="49" spans="1:5" x14ac:dyDescent="0.25">
      <c r="A49" s="65"/>
      <c r="B49" s="81" t="s">
        <v>248</v>
      </c>
      <c r="C49" s="87"/>
      <c r="D49" s="227"/>
      <c r="E49" s="221"/>
    </row>
    <row r="50" spans="1:5" x14ac:dyDescent="0.25">
      <c r="A50" s="65">
        <v>1</v>
      </c>
      <c r="B50" s="75" t="s">
        <v>224</v>
      </c>
      <c r="C50" s="51">
        <v>4</v>
      </c>
      <c r="D50" s="51"/>
      <c r="E50" s="201">
        <v>4</v>
      </c>
    </row>
    <row r="51" spans="1:5" x14ac:dyDescent="0.25">
      <c r="A51" s="65">
        <v>2</v>
      </c>
      <c r="B51" s="76" t="s">
        <v>225</v>
      </c>
      <c r="C51" s="51">
        <v>4</v>
      </c>
      <c r="D51" s="51"/>
      <c r="E51" s="201">
        <v>4</v>
      </c>
    </row>
    <row r="52" spans="1:5" x14ac:dyDescent="0.25">
      <c r="A52" s="65" t="s">
        <v>250</v>
      </c>
      <c r="B52" s="75" t="s">
        <v>226</v>
      </c>
      <c r="C52" s="51">
        <v>4</v>
      </c>
      <c r="D52" s="51"/>
      <c r="E52" s="201">
        <v>4</v>
      </c>
    </row>
    <row r="53" spans="1:5" x14ac:dyDescent="0.25">
      <c r="A53" s="65"/>
      <c r="B53" s="76" t="s">
        <v>227</v>
      </c>
      <c r="C53" s="51">
        <v>4</v>
      </c>
      <c r="D53" s="51"/>
      <c r="E53" s="201">
        <v>4</v>
      </c>
    </row>
    <row r="54" spans="1:5" x14ac:dyDescent="0.25">
      <c r="A54" s="65">
        <v>4</v>
      </c>
      <c r="B54" s="75" t="s">
        <v>228</v>
      </c>
      <c r="C54" s="51">
        <v>4</v>
      </c>
      <c r="D54" s="51"/>
      <c r="E54" s="201">
        <v>4</v>
      </c>
    </row>
    <row r="55" spans="1:5" x14ac:dyDescent="0.25">
      <c r="A55" s="65"/>
      <c r="B55" s="76" t="s">
        <v>229</v>
      </c>
      <c r="C55" s="51">
        <v>4</v>
      </c>
      <c r="D55" s="51"/>
      <c r="E55" s="201">
        <v>4</v>
      </c>
    </row>
    <row r="56" spans="1:5" x14ac:dyDescent="0.25">
      <c r="A56" s="65">
        <v>5</v>
      </c>
      <c r="B56" s="75" t="s">
        <v>230</v>
      </c>
      <c r="C56" s="51">
        <v>4</v>
      </c>
      <c r="D56" s="51"/>
      <c r="E56" s="201">
        <v>4</v>
      </c>
    </row>
    <row r="57" spans="1:5" x14ac:dyDescent="0.25">
      <c r="A57" s="65">
        <v>6</v>
      </c>
      <c r="B57" s="76" t="s">
        <v>231</v>
      </c>
      <c r="C57" s="51">
        <v>4</v>
      </c>
      <c r="D57" s="51"/>
      <c r="E57" s="201">
        <v>4</v>
      </c>
    </row>
    <row r="58" spans="1:5" x14ac:dyDescent="0.25">
      <c r="A58" s="65">
        <v>7</v>
      </c>
      <c r="B58" s="75" t="s">
        <v>232</v>
      </c>
      <c r="C58" s="51">
        <v>4</v>
      </c>
      <c r="D58" s="51"/>
      <c r="E58" s="201">
        <v>4</v>
      </c>
    </row>
    <row r="59" spans="1:5" x14ac:dyDescent="0.25">
      <c r="A59" s="65"/>
      <c r="B59" s="75" t="s">
        <v>233</v>
      </c>
      <c r="C59" s="51">
        <v>4</v>
      </c>
      <c r="D59" s="51"/>
      <c r="E59" s="201">
        <v>4</v>
      </c>
    </row>
    <row r="60" spans="1:5" x14ac:dyDescent="0.25">
      <c r="A60" s="65">
        <v>8</v>
      </c>
      <c r="B60" s="75" t="s">
        <v>234</v>
      </c>
      <c r="C60" s="51">
        <v>4</v>
      </c>
      <c r="D60" s="51"/>
      <c r="E60" s="201">
        <v>4</v>
      </c>
    </row>
    <row r="61" spans="1:5" x14ac:dyDescent="0.25">
      <c r="A61" s="180"/>
      <c r="B61" s="190" t="s">
        <v>235</v>
      </c>
      <c r="C61" s="35">
        <v>4</v>
      </c>
      <c r="D61" s="35"/>
      <c r="E61" s="205">
        <v>4</v>
      </c>
    </row>
    <row r="62" spans="1:5" ht="15.75" thickBot="1" x14ac:dyDescent="0.3">
      <c r="A62" s="17" t="s">
        <v>4</v>
      </c>
      <c r="B62" s="18" t="s">
        <v>8</v>
      </c>
      <c r="C62" s="191">
        <v>4</v>
      </c>
      <c r="D62" s="191"/>
      <c r="E62" s="58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F63"/>
  <sheetViews>
    <sheetView zoomScale="80" zoomScaleNormal="80" workbookViewId="0">
      <selection activeCell="B70" sqref="B70"/>
    </sheetView>
  </sheetViews>
  <sheetFormatPr defaultRowHeight="15" x14ac:dyDescent="0.25"/>
  <cols>
    <col min="1" max="1" width="5.5703125" customWidth="1"/>
    <col min="2" max="2" width="130.140625" customWidth="1"/>
  </cols>
  <sheetData>
    <row r="1" spans="1:6" x14ac:dyDescent="0.25">
      <c r="B1" s="4" t="s">
        <v>50</v>
      </c>
      <c r="C1" s="3"/>
      <c r="D1" s="3"/>
    </row>
    <row r="2" spans="1:6" x14ac:dyDescent="0.25">
      <c r="B2" s="5" t="s">
        <v>1</v>
      </c>
      <c r="C2" s="6" t="s">
        <v>56</v>
      </c>
      <c r="D2" s="6" t="s">
        <v>55</v>
      </c>
      <c r="E2" s="6" t="s">
        <v>55</v>
      </c>
      <c r="F2" s="6" t="s">
        <v>56</v>
      </c>
    </row>
    <row r="3" spans="1:6" x14ac:dyDescent="0.25">
      <c r="B3" s="7" t="s">
        <v>2</v>
      </c>
      <c r="C3" s="8" t="s">
        <v>6</v>
      </c>
      <c r="D3" s="8" t="s">
        <v>92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8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3</v>
      </c>
      <c r="D7" s="45">
        <v>3.5</v>
      </c>
      <c r="E7" s="25">
        <v>3.8</v>
      </c>
      <c r="F7" s="45">
        <v>3.5</v>
      </c>
    </row>
    <row r="8" spans="1:6" x14ac:dyDescent="0.25">
      <c r="A8" s="39" t="s">
        <v>12</v>
      </c>
      <c r="B8" s="42" t="s">
        <v>32</v>
      </c>
      <c r="C8" s="34">
        <v>3.7</v>
      </c>
      <c r="D8" s="46">
        <v>3</v>
      </c>
      <c r="E8" s="34">
        <v>3.8</v>
      </c>
      <c r="F8" s="46">
        <v>3.6</v>
      </c>
    </row>
    <row r="9" spans="1:6" x14ac:dyDescent="0.25">
      <c r="A9" s="39" t="s">
        <v>14</v>
      </c>
      <c r="B9" s="42" t="s">
        <v>64</v>
      </c>
      <c r="C9" s="34">
        <v>3</v>
      </c>
      <c r="D9" s="46">
        <v>3.5</v>
      </c>
      <c r="E9" s="34">
        <v>3.8</v>
      </c>
      <c r="F9" s="46">
        <v>3.4</v>
      </c>
    </row>
    <row r="10" spans="1:6" x14ac:dyDescent="0.25">
      <c r="A10" s="39" t="s">
        <v>15</v>
      </c>
      <c r="B10" s="42" t="s">
        <v>65</v>
      </c>
      <c r="C10" s="34">
        <v>4</v>
      </c>
      <c r="D10" s="46">
        <v>3.5</v>
      </c>
      <c r="E10" s="34">
        <v>3.7</v>
      </c>
      <c r="F10" s="46">
        <v>3.5</v>
      </c>
    </row>
    <row r="11" spans="1:6" x14ac:dyDescent="0.25">
      <c r="A11" s="40"/>
      <c r="B11" s="33" t="s">
        <v>8</v>
      </c>
      <c r="C11" s="61">
        <v>3.4</v>
      </c>
      <c r="D11" s="47">
        <v>3.4</v>
      </c>
      <c r="E11" s="61">
        <v>3.8</v>
      </c>
      <c r="F11" s="47">
        <f>AVERAGE(F7:F10)</f>
        <v>3.5</v>
      </c>
    </row>
    <row r="12" spans="1:6" x14ac:dyDescent="0.25">
      <c r="A12" s="2"/>
      <c r="B12" s="22" t="s">
        <v>7</v>
      </c>
      <c r="C12" s="31" t="s">
        <v>4</v>
      </c>
      <c r="D12" s="59"/>
      <c r="E12" s="31"/>
      <c r="F12" s="48"/>
    </row>
    <row r="13" spans="1:6" x14ac:dyDescent="0.25">
      <c r="A13" s="2"/>
      <c r="B13" s="20" t="s">
        <v>16</v>
      </c>
      <c r="C13" s="12"/>
      <c r="D13" s="59"/>
      <c r="E13" s="12"/>
      <c r="F13" s="48"/>
    </row>
    <row r="14" spans="1:6" ht="18" customHeight="1" x14ac:dyDescent="0.25">
      <c r="A14" s="40" t="s">
        <v>17</v>
      </c>
      <c r="B14" s="29" t="s">
        <v>33</v>
      </c>
      <c r="C14" s="25">
        <v>3</v>
      </c>
      <c r="D14" s="46">
        <v>3.5</v>
      </c>
      <c r="E14" s="25">
        <v>3.8</v>
      </c>
      <c r="F14" s="46">
        <v>3.7</v>
      </c>
    </row>
    <row r="15" spans="1:6" x14ac:dyDescent="0.25">
      <c r="A15" s="40" t="s">
        <v>34</v>
      </c>
      <c r="B15" s="29" t="s">
        <v>67</v>
      </c>
      <c r="C15" s="34">
        <v>3.6</v>
      </c>
      <c r="D15" s="46">
        <v>3.5</v>
      </c>
      <c r="E15" s="34">
        <v>3.8</v>
      </c>
      <c r="F15" s="46">
        <v>3.4</v>
      </c>
    </row>
    <row r="16" spans="1:6" x14ac:dyDescent="0.25">
      <c r="A16" s="40" t="s">
        <v>35</v>
      </c>
      <c r="B16" s="29" t="s">
        <v>68</v>
      </c>
      <c r="C16" s="34">
        <v>3.6</v>
      </c>
      <c r="D16" s="46">
        <v>3.7</v>
      </c>
      <c r="E16" s="34">
        <v>4</v>
      </c>
      <c r="F16" s="46">
        <v>3.8</v>
      </c>
    </row>
    <row r="17" spans="1:6" x14ac:dyDescent="0.25">
      <c r="A17" s="41" t="s">
        <v>66</v>
      </c>
      <c r="B17" s="29" t="s">
        <v>69</v>
      </c>
      <c r="C17" s="34">
        <v>3</v>
      </c>
      <c r="D17" s="46">
        <v>3.2</v>
      </c>
      <c r="E17" s="34">
        <v>4</v>
      </c>
      <c r="F17" s="46">
        <v>3.6</v>
      </c>
    </row>
    <row r="18" spans="1:6" x14ac:dyDescent="0.25">
      <c r="A18" s="40"/>
      <c r="B18" s="14" t="s">
        <v>8</v>
      </c>
      <c r="C18" s="61">
        <v>3.3</v>
      </c>
      <c r="D18" s="49">
        <v>3.5</v>
      </c>
      <c r="E18" s="61">
        <f>AVERAGE(E14:E17)</f>
        <v>3.9</v>
      </c>
      <c r="F18" s="49">
        <v>3.6</v>
      </c>
    </row>
    <row r="19" spans="1:6" x14ac:dyDescent="0.25">
      <c r="A19" s="2"/>
      <c r="B19" s="22" t="s">
        <v>70</v>
      </c>
      <c r="C19" s="12" t="s">
        <v>4</v>
      </c>
      <c r="D19" s="59" t="s">
        <v>4</v>
      </c>
      <c r="E19" s="12"/>
      <c r="F19" s="48"/>
    </row>
    <row r="20" spans="1:6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3</v>
      </c>
      <c r="D21" s="50">
        <v>3</v>
      </c>
      <c r="E21" s="25">
        <v>4</v>
      </c>
      <c r="F21" s="50">
        <v>3.7</v>
      </c>
    </row>
    <row r="22" spans="1:6" x14ac:dyDescent="0.25">
      <c r="A22" s="40" t="s">
        <v>72</v>
      </c>
      <c r="B22" s="24" t="s">
        <v>76</v>
      </c>
      <c r="C22" s="36">
        <v>3</v>
      </c>
      <c r="D22" s="51">
        <v>3.3</v>
      </c>
      <c r="E22" s="36">
        <v>4</v>
      </c>
      <c r="F22" s="51">
        <v>3.7</v>
      </c>
    </row>
    <row r="23" spans="1:6" x14ac:dyDescent="0.25">
      <c r="A23" s="40" t="s">
        <v>73</v>
      </c>
      <c r="B23" s="24" t="s">
        <v>77</v>
      </c>
      <c r="C23" s="36">
        <v>3.6</v>
      </c>
      <c r="D23" s="51">
        <v>3.3</v>
      </c>
      <c r="E23" s="36">
        <v>3.7</v>
      </c>
      <c r="F23" s="51">
        <v>3.6</v>
      </c>
    </row>
    <row r="24" spans="1:6" x14ac:dyDescent="0.25">
      <c r="A24" s="3"/>
      <c r="B24" s="14" t="s">
        <v>8</v>
      </c>
      <c r="C24" s="62">
        <v>3.2</v>
      </c>
      <c r="D24" s="49">
        <v>3.2</v>
      </c>
      <c r="E24" s="62">
        <f>AVERAGE(E21:E23)</f>
        <v>3.9</v>
      </c>
      <c r="F24" s="49">
        <v>3.7</v>
      </c>
    </row>
    <row r="25" spans="1:6" x14ac:dyDescent="0.25">
      <c r="A25" s="2"/>
      <c r="B25" s="9" t="s">
        <v>9</v>
      </c>
      <c r="C25" s="13" t="s">
        <v>4</v>
      </c>
      <c r="D25" s="52" t="s">
        <v>4</v>
      </c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>
        <v>3</v>
      </c>
      <c r="E27" s="25">
        <v>3.8</v>
      </c>
      <c r="F27" s="45">
        <v>3.7</v>
      </c>
    </row>
    <row r="28" spans="1:6" x14ac:dyDescent="0.25">
      <c r="A28" s="1" t="s">
        <v>22</v>
      </c>
      <c r="B28" s="30" t="s">
        <v>37</v>
      </c>
      <c r="C28" s="34">
        <v>4</v>
      </c>
      <c r="D28" s="46">
        <v>3.3</v>
      </c>
      <c r="E28" s="34">
        <v>4</v>
      </c>
      <c r="F28" s="46">
        <v>3.5</v>
      </c>
    </row>
    <row r="29" spans="1:6" x14ac:dyDescent="0.25">
      <c r="A29" s="1" t="s">
        <v>23</v>
      </c>
      <c r="B29" s="30" t="s">
        <v>38</v>
      </c>
      <c r="C29" s="34">
        <v>4</v>
      </c>
      <c r="D29" s="46">
        <v>3</v>
      </c>
      <c r="E29" s="34">
        <v>4</v>
      </c>
      <c r="F29" s="46">
        <v>3.6</v>
      </c>
    </row>
    <row r="30" spans="1:6" x14ac:dyDescent="0.25">
      <c r="A30" s="1"/>
      <c r="B30" s="14" t="s">
        <v>8</v>
      </c>
      <c r="C30" s="62">
        <v>4</v>
      </c>
      <c r="D30" s="47">
        <v>3.1</v>
      </c>
      <c r="E30" s="62">
        <v>3.9</v>
      </c>
      <c r="F30" s="47">
        <f>AVERAGE(F27:F29)</f>
        <v>3.6</v>
      </c>
    </row>
    <row r="31" spans="1:6" x14ac:dyDescent="0.25">
      <c r="A31" s="1"/>
      <c r="B31" s="43" t="s">
        <v>18</v>
      </c>
      <c r="C31" s="13"/>
      <c r="D31" s="52" t="s">
        <v>4</v>
      </c>
      <c r="E31" s="13"/>
      <c r="F31" s="52"/>
    </row>
    <row r="32" spans="1:6" x14ac:dyDescent="0.25">
      <c r="A32" s="1" t="s">
        <v>20</v>
      </c>
      <c r="B32" s="30" t="s">
        <v>39</v>
      </c>
      <c r="C32" s="25">
        <v>4</v>
      </c>
      <c r="D32" s="46">
        <v>3</v>
      </c>
      <c r="E32" s="25">
        <v>4</v>
      </c>
      <c r="F32" s="46">
        <v>3.6</v>
      </c>
    </row>
    <row r="33" spans="1:6" x14ac:dyDescent="0.25">
      <c r="A33" s="1" t="s">
        <v>24</v>
      </c>
      <c r="B33" s="30" t="s">
        <v>40</v>
      </c>
      <c r="C33" s="34">
        <v>4</v>
      </c>
      <c r="D33" s="46">
        <v>3.3</v>
      </c>
      <c r="E33" s="34">
        <v>4</v>
      </c>
      <c r="F33" s="46">
        <v>3.7</v>
      </c>
    </row>
    <row r="34" spans="1:6" x14ac:dyDescent="0.25">
      <c r="A34" s="1" t="s">
        <v>25</v>
      </c>
      <c r="B34" s="30" t="s">
        <v>78</v>
      </c>
      <c r="C34" s="34">
        <v>3.6</v>
      </c>
      <c r="D34" s="46">
        <v>3.2</v>
      </c>
      <c r="E34" s="34">
        <v>4</v>
      </c>
      <c r="F34" s="46">
        <v>3.6</v>
      </c>
    </row>
    <row r="35" spans="1:6" ht="15" customHeight="1" x14ac:dyDescent="0.25">
      <c r="A35" s="1" t="s">
        <v>26</v>
      </c>
      <c r="B35" s="30" t="s">
        <v>79</v>
      </c>
      <c r="C35" s="34">
        <v>3</v>
      </c>
      <c r="D35" s="46">
        <v>3.5</v>
      </c>
      <c r="E35" s="34">
        <v>3.8</v>
      </c>
      <c r="F35" s="46">
        <v>3.8</v>
      </c>
    </row>
    <row r="36" spans="1:6" x14ac:dyDescent="0.25">
      <c r="A36" s="3"/>
      <c r="B36" s="14" t="s">
        <v>8</v>
      </c>
      <c r="C36" s="62">
        <v>3.6</v>
      </c>
      <c r="D36" s="47">
        <v>3.3</v>
      </c>
      <c r="E36" s="62">
        <v>3.9</v>
      </c>
      <c r="F36" s="47">
        <v>3.7</v>
      </c>
    </row>
    <row r="37" spans="1:6" x14ac:dyDescent="0.25">
      <c r="A37" s="1"/>
      <c r="B37" s="10" t="s">
        <v>27</v>
      </c>
      <c r="C37" s="15" t="s">
        <v>4</v>
      </c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3.6</v>
      </c>
      <c r="D38" s="45">
        <v>3.8</v>
      </c>
      <c r="E38" s="25">
        <v>3.8</v>
      </c>
      <c r="F38" s="45">
        <v>3.7</v>
      </c>
    </row>
    <row r="39" spans="1:6" x14ac:dyDescent="0.25">
      <c r="A39" s="1" t="s">
        <v>28</v>
      </c>
      <c r="B39" s="30" t="s">
        <v>80</v>
      </c>
      <c r="C39" s="34">
        <v>3.6</v>
      </c>
      <c r="D39" s="46">
        <v>3</v>
      </c>
      <c r="E39" s="34">
        <v>4</v>
      </c>
      <c r="F39" s="46">
        <v>3.5</v>
      </c>
    </row>
    <row r="40" spans="1:6" x14ac:dyDescent="0.25">
      <c r="A40" s="1" t="s">
        <v>29</v>
      </c>
      <c r="B40" s="30" t="s">
        <v>81</v>
      </c>
      <c r="C40" s="34">
        <v>4</v>
      </c>
      <c r="D40" s="46">
        <v>3</v>
      </c>
      <c r="E40" s="34">
        <v>4</v>
      </c>
      <c r="F40" s="46">
        <v>3.4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3</v>
      </c>
      <c r="E41" s="34">
        <v>4</v>
      </c>
      <c r="F41" s="46">
        <v>3.8</v>
      </c>
    </row>
    <row r="42" spans="1:6" x14ac:dyDescent="0.25">
      <c r="A42" s="26" t="s">
        <v>4</v>
      </c>
      <c r="B42" s="14" t="s">
        <v>8</v>
      </c>
      <c r="C42" s="63">
        <v>3.8</v>
      </c>
      <c r="D42" s="56">
        <v>3.2</v>
      </c>
      <c r="E42" s="63">
        <v>3.9</v>
      </c>
      <c r="F42" s="56">
        <f>AVERAGE(F38:F41)</f>
        <v>3.5999999999999996</v>
      </c>
    </row>
    <row r="43" spans="1:6" x14ac:dyDescent="0.25">
      <c r="B43" s="27" t="s">
        <v>83</v>
      </c>
      <c r="C43" s="15" t="s">
        <v>4</v>
      </c>
      <c r="D43" s="60" t="s">
        <v>4</v>
      </c>
      <c r="E43" s="15" t="s">
        <v>4</v>
      </c>
      <c r="F43" s="60"/>
    </row>
    <row r="44" spans="1:6" x14ac:dyDescent="0.25">
      <c r="B44" s="11" t="s">
        <v>84</v>
      </c>
      <c r="C44" s="69"/>
      <c r="D44" s="52"/>
      <c r="E44" s="70" t="s">
        <v>4</v>
      </c>
      <c r="F44" s="52"/>
    </row>
    <row r="45" spans="1:6" x14ac:dyDescent="0.25">
      <c r="A45" s="30" t="s">
        <v>85</v>
      </c>
      <c r="B45" s="30" t="s">
        <v>88</v>
      </c>
      <c r="C45" s="34">
        <v>3.6</v>
      </c>
      <c r="D45" s="46">
        <v>3.8</v>
      </c>
      <c r="E45" s="34">
        <v>3.8</v>
      </c>
      <c r="F45" s="46">
        <v>3.7</v>
      </c>
    </row>
    <row r="46" spans="1:6" x14ac:dyDescent="0.25">
      <c r="A46" s="30" t="s">
        <v>86</v>
      </c>
      <c r="B46" s="30" t="s">
        <v>89</v>
      </c>
      <c r="C46" s="34">
        <v>3</v>
      </c>
      <c r="D46" s="46">
        <v>3.5</v>
      </c>
      <c r="E46" s="34">
        <v>4</v>
      </c>
      <c r="F46" s="46">
        <v>3.6</v>
      </c>
    </row>
    <row r="47" spans="1:6" x14ac:dyDescent="0.25">
      <c r="A47" s="30" t="s">
        <v>87</v>
      </c>
      <c r="B47" s="30" t="s">
        <v>90</v>
      </c>
      <c r="C47" s="34">
        <v>3</v>
      </c>
      <c r="D47" s="46">
        <v>3.8</v>
      </c>
      <c r="E47" s="34">
        <v>4</v>
      </c>
      <c r="F47" s="46">
        <v>3.5</v>
      </c>
    </row>
    <row r="48" spans="1:6" ht="15.75" thickBot="1" x14ac:dyDescent="0.3">
      <c r="A48" s="17" t="s">
        <v>4</v>
      </c>
      <c r="B48" s="18" t="s">
        <v>8</v>
      </c>
      <c r="C48" s="56">
        <f>AVERAGE(C45:C47)</f>
        <v>3.1999999999999997</v>
      </c>
      <c r="D48" s="49">
        <f>AVERAGE(D45:D47)</f>
        <v>3.6999999999999997</v>
      </c>
      <c r="E48" s="56">
        <v>3.9</v>
      </c>
      <c r="F48" s="49">
        <v>3.6</v>
      </c>
    </row>
    <row r="49" spans="1:6" x14ac:dyDescent="0.25">
      <c r="A49" s="1"/>
      <c r="B49" s="81" t="s">
        <v>248</v>
      </c>
      <c r="C49" s="91"/>
      <c r="D49" s="82"/>
      <c r="E49" s="80" t="s">
        <v>4</v>
      </c>
      <c r="F49" s="227"/>
    </row>
    <row r="50" spans="1:6" x14ac:dyDescent="0.25">
      <c r="A50" s="1">
        <v>1</v>
      </c>
      <c r="B50" s="73" t="s">
        <v>236</v>
      </c>
      <c r="C50" s="198">
        <v>3.3</v>
      </c>
      <c r="D50" s="51">
        <v>3.8</v>
      </c>
      <c r="E50" s="51">
        <v>3.6</v>
      </c>
      <c r="F50" s="51">
        <v>3.5</v>
      </c>
    </row>
    <row r="51" spans="1:6" x14ac:dyDescent="0.25">
      <c r="A51" s="1">
        <v>2</v>
      </c>
      <c r="B51" s="73" t="s">
        <v>237</v>
      </c>
      <c r="C51" s="198">
        <v>3.3</v>
      </c>
      <c r="D51" s="51">
        <v>3.8</v>
      </c>
      <c r="E51" s="51">
        <v>3.5</v>
      </c>
      <c r="F51" s="51">
        <v>3.6</v>
      </c>
    </row>
    <row r="52" spans="1:6" x14ac:dyDescent="0.25">
      <c r="A52" s="1"/>
      <c r="B52" s="73" t="s">
        <v>238</v>
      </c>
      <c r="C52" s="198"/>
      <c r="D52" s="51" t="s">
        <v>4</v>
      </c>
      <c r="E52" s="51" t="s">
        <v>4</v>
      </c>
      <c r="F52" s="51"/>
    </row>
    <row r="53" spans="1:6" x14ac:dyDescent="0.25">
      <c r="A53" s="1">
        <v>4</v>
      </c>
      <c r="B53" s="73" t="s">
        <v>239</v>
      </c>
      <c r="C53" s="198">
        <v>3.5</v>
      </c>
      <c r="D53" s="51">
        <v>3.6</v>
      </c>
      <c r="E53" s="51">
        <v>3.7</v>
      </c>
      <c r="F53" s="51">
        <v>3.4</v>
      </c>
    </row>
    <row r="54" spans="1:6" x14ac:dyDescent="0.25">
      <c r="A54" s="1">
        <v>5</v>
      </c>
      <c r="B54" s="73" t="s">
        <v>240</v>
      </c>
      <c r="C54" s="198">
        <v>3.5</v>
      </c>
      <c r="D54" s="51">
        <v>3.6</v>
      </c>
      <c r="E54" s="51">
        <v>3.6</v>
      </c>
      <c r="F54" s="51">
        <v>3.5</v>
      </c>
    </row>
    <row r="55" spans="1:6" x14ac:dyDescent="0.25">
      <c r="A55" s="1">
        <v>6</v>
      </c>
      <c r="B55" s="73" t="s">
        <v>241</v>
      </c>
      <c r="C55" s="198">
        <v>3.5</v>
      </c>
      <c r="D55" s="51">
        <v>3.6</v>
      </c>
      <c r="E55" s="51">
        <v>3.7</v>
      </c>
      <c r="F55" s="51">
        <v>3.3</v>
      </c>
    </row>
    <row r="56" spans="1:6" x14ac:dyDescent="0.25">
      <c r="A56" s="1">
        <v>7</v>
      </c>
      <c r="B56" s="73" t="s">
        <v>242</v>
      </c>
      <c r="C56" s="198">
        <v>3.5</v>
      </c>
      <c r="D56" s="51">
        <v>3.7</v>
      </c>
      <c r="E56" s="51">
        <v>3.8</v>
      </c>
      <c r="F56" s="51">
        <v>3.4</v>
      </c>
    </row>
    <row r="57" spans="1:6" x14ac:dyDescent="0.25">
      <c r="A57" s="1">
        <v>8</v>
      </c>
      <c r="B57" s="73" t="s">
        <v>243</v>
      </c>
      <c r="C57" s="198">
        <v>3.6</v>
      </c>
      <c r="D57" s="51">
        <v>3.5</v>
      </c>
      <c r="E57" s="200">
        <v>3.6</v>
      </c>
      <c r="F57" s="51">
        <v>3.5</v>
      </c>
    </row>
    <row r="58" spans="1:6" x14ac:dyDescent="0.25">
      <c r="A58" s="1">
        <v>9</v>
      </c>
      <c r="B58" s="73" t="s">
        <v>244</v>
      </c>
      <c r="C58" s="36">
        <v>3.6</v>
      </c>
      <c r="D58" s="34">
        <v>3.5</v>
      </c>
      <c r="E58" s="51">
        <v>3.6</v>
      </c>
      <c r="F58" s="34">
        <v>3.7</v>
      </c>
    </row>
    <row r="59" spans="1:6" x14ac:dyDescent="0.25">
      <c r="A59" s="1"/>
      <c r="B59" s="73" t="s">
        <v>245</v>
      </c>
      <c r="C59" s="36"/>
      <c r="D59" s="34"/>
      <c r="E59" s="26"/>
      <c r="F59" s="34"/>
    </row>
    <row r="60" spans="1:6" x14ac:dyDescent="0.25">
      <c r="A60" s="1">
        <v>10</v>
      </c>
      <c r="B60" s="73" t="s">
        <v>246</v>
      </c>
      <c r="C60" s="36">
        <v>3.7</v>
      </c>
      <c r="D60" s="34">
        <v>3.8</v>
      </c>
      <c r="E60" s="51">
        <v>3.8</v>
      </c>
      <c r="F60" s="34">
        <v>3.6</v>
      </c>
    </row>
    <row r="61" spans="1:6" x14ac:dyDescent="0.25">
      <c r="A61" s="197">
        <v>11</v>
      </c>
      <c r="B61" s="195" t="s">
        <v>247</v>
      </c>
      <c r="C61" s="38">
        <v>3.8</v>
      </c>
      <c r="D61" s="35">
        <v>3.7</v>
      </c>
      <c r="E61" s="199">
        <v>3.7</v>
      </c>
      <c r="F61" s="35">
        <v>3.4</v>
      </c>
    </row>
    <row r="62" spans="1:6" ht="15.75" thickBot="1" x14ac:dyDescent="0.3">
      <c r="A62" s="17" t="s">
        <v>4</v>
      </c>
      <c r="B62" s="18" t="s">
        <v>8</v>
      </c>
      <c r="C62" s="56">
        <v>3.5</v>
      </c>
      <c r="D62" s="49">
        <v>3.7</v>
      </c>
      <c r="E62" s="56">
        <v>3.7</v>
      </c>
      <c r="F62" s="49">
        <v>3.5</v>
      </c>
    </row>
    <row r="63" spans="1:6" x14ac:dyDescent="0.25">
      <c r="D63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64"/>
  <sheetViews>
    <sheetView zoomScale="90" zoomScaleNormal="90" workbookViewId="0">
      <selection activeCell="C42" sqref="C42"/>
    </sheetView>
  </sheetViews>
  <sheetFormatPr defaultRowHeight="15" x14ac:dyDescent="0.25"/>
  <cols>
    <col min="1" max="1" width="5.28515625" customWidth="1"/>
    <col min="2" max="2" width="107.140625" customWidth="1"/>
  </cols>
  <sheetData>
    <row r="1" spans="1:6" x14ac:dyDescent="0.25">
      <c r="B1" s="4" t="s">
        <v>260</v>
      </c>
      <c r="C1" s="3"/>
      <c r="D1" s="3"/>
    </row>
    <row r="2" spans="1:6" x14ac:dyDescent="0.25">
      <c r="B2" s="5" t="s">
        <v>1</v>
      </c>
      <c r="C2" s="6" t="s">
        <v>54</v>
      </c>
      <c r="D2" s="6" t="s">
        <v>252</v>
      </c>
      <c r="E2" s="6" t="s">
        <v>252</v>
      </c>
      <c r="F2" s="6" t="s">
        <v>55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5.7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/>
      <c r="E7" s="25"/>
      <c r="F7" s="45">
        <v>4</v>
      </c>
    </row>
    <row r="8" spans="1:6" x14ac:dyDescent="0.25">
      <c r="A8" s="39" t="s">
        <v>12</v>
      </c>
      <c r="B8" s="42" t="s">
        <v>32</v>
      </c>
      <c r="C8" s="34">
        <v>4</v>
      </c>
      <c r="D8" s="46"/>
      <c r="E8" s="34"/>
      <c r="F8" s="46">
        <v>4</v>
      </c>
    </row>
    <row r="9" spans="1:6" x14ac:dyDescent="0.25">
      <c r="A9" s="39" t="s">
        <v>14</v>
      </c>
      <c r="B9" s="42" t="s">
        <v>64</v>
      </c>
      <c r="C9" s="34">
        <v>4</v>
      </c>
      <c r="D9" s="46"/>
      <c r="E9" s="34"/>
      <c r="F9" s="46">
        <v>4</v>
      </c>
    </row>
    <row r="10" spans="1:6" x14ac:dyDescent="0.25">
      <c r="A10" s="39" t="s">
        <v>15</v>
      </c>
      <c r="B10" s="42" t="s">
        <v>65</v>
      </c>
      <c r="C10" s="34">
        <v>4</v>
      </c>
      <c r="D10" s="46"/>
      <c r="E10" s="34"/>
      <c r="F10" s="46">
        <v>4</v>
      </c>
    </row>
    <row r="11" spans="1:6" x14ac:dyDescent="0.25">
      <c r="A11" s="40"/>
      <c r="B11" s="33" t="s">
        <v>8</v>
      </c>
      <c r="C11" s="61">
        <v>4</v>
      </c>
      <c r="D11" s="47"/>
      <c r="E11" s="61"/>
      <c r="F11" s="47">
        <v>4</v>
      </c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ht="16.5" customHeight="1" x14ac:dyDescent="0.25">
      <c r="A13" s="2"/>
      <c r="B13" s="20" t="s">
        <v>16</v>
      </c>
      <c r="C13" s="12"/>
      <c r="D13" s="59"/>
      <c r="E13" s="12"/>
      <c r="F13" s="48"/>
    </row>
    <row r="14" spans="1:6" x14ac:dyDescent="0.25">
      <c r="A14" s="40" t="s">
        <v>17</v>
      </c>
      <c r="B14" s="29" t="s">
        <v>33</v>
      </c>
      <c r="C14" s="25">
        <v>4</v>
      </c>
      <c r="D14" s="46"/>
      <c r="E14" s="25"/>
      <c r="F14" s="46">
        <v>4</v>
      </c>
    </row>
    <row r="15" spans="1:6" x14ac:dyDescent="0.25">
      <c r="A15" s="40" t="s">
        <v>34</v>
      </c>
      <c r="B15" s="29" t="s">
        <v>67</v>
      </c>
      <c r="C15" s="34">
        <v>4</v>
      </c>
      <c r="D15" s="46"/>
      <c r="E15" s="34"/>
      <c r="F15" s="46">
        <v>4</v>
      </c>
    </row>
    <row r="16" spans="1:6" x14ac:dyDescent="0.25">
      <c r="A16" s="40" t="s">
        <v>35</v>
      </c>
      <c r="B16" s="29" t="s">
        <v>68</v>
      </c>
      <c r="C16" s="34">
        <v>4</v>
      </c>
      <c r="D16" s="46"/>
      <c r="E16" s="34"/>
      <c r="F16" s="46">
        <v>4</v>
      </c>
    </row>
    <row r="17" spans="1:6" x14ac:dyDescent="0.25">
      <c r="A17" s="41" t="s">
        <v>66</v>
      </c>
      <c r="B17" s="29" t="s">
        <v>69</v>
      </c>
      <c r="C17" s="34">
        <v>4</v>
      </c>
      <c r="D17" s="46"/>
      <c r="E17" s="34"/>
      <c r="F17" s="46">
        <v>4</v>
      </c>
    </row>
    <row r="18" spans="1:6" x14ac:dyDescent="0.25">
      <c r="A18" s="40"/>
      <c r="B18" s="14" t="s">
        <v>8</v>
      </c>
      <c r="C18" s="61">
        <v>4</v>
      </c>
      <c r="D18" s="49"/>
      <c r="E18" s="61"/>
      <c r="F18" s="49">
        <v>4</v>
      </c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ht="15" customHeight="1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4</v>
      </c>
      <c r="D21" s="50"/>
      <c r="E21" s="25"/>
      <c r="F21" s="50">
        <v>4</v>
      </c>
    </row>
    <row r="22" spans="1:6" x14ac:dyDescent="0.25">
      <c r="A22" s="40" t="s">
        <v>72</v>
      </c>
      <c r="B22" s="24" t="s">
        <v>76</v>
      </c>
      <c r="C22" s="36">
        <v>4</v>
      </c>
      <c r="D22" s="51"/>
      <c r="E22" s="36"/>
      <c r="F22" s="51">
        <v>4</v>
      </c>
    </row>
    <row r="23" spans="1:6" x14ac:dyDescent="0.25">
      <c r="A23" s="40" t="s">
        <v>73</v>
      </c>
      <c r="B23" s="24" t="s">
        <v>77</v>
      </c>
      <c r="C23" s="36">
        <v>4</v>
      </c>
      <c r="D23" s="51"/>
      <c r="E23" s="36"/>
      <c r="F23" s="51">
        <v>4</v>
      </c>
    </row>
    <row r="24" spans="1:6" x14ac:dyDescent="0.25">
      <c r="A24" s="3"/>
      <c r="B24" s="14" t="s">
        <v>8</v>
      </c>
      <c r="C24" s="62">
        <v>4</v>
      </c>
      <c r="D24" s="49"/>
      <c r="E24" s="62"/>
      <c r="F24" s="49">
        <v>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/>
      <c r="E27" s="25"/>
      <c r="F27" s="53">
        <v>4</v>
      </c>
    </row>
    <row r="28" spans="1:6" x14ac:dyDescent="0.25">
      <c r="A28" s="1" t="s">
        <v>22</v>
      </c>
      <c r="B28" s="30" t="s">
        <v>37</v>
      </c>
      <c r="C28" s="34">
        <v>4</v>
      </c>
      <c r="D28" s="46"/>
      <c r="E28" s="34"/>
      <c r="F28" s="54">
        <v>4</v>
      </c>
    </row>
    <row r="29" spans="1:6" x14ac:dyDescent="0.25">
      <c r="A29" s="1" t="s">
        <v>23</v>
      </c>
      <c r="B29" s="30" t="s">
        <v>38</v>
      </c>
      <c r="C29" s="34">
        <v>4</v>
      </c>
      <c r="D29" s="46"/>
      <c r="E29" s="34"/>
      <c r="F29" s="54">
        <v>4</v>
      </c>
    </row>
    <row r="30" spans="1:6" x14ac:dyDescent="0.25">
      <c r="A30" s="1"/>
      <c r="B30" s="14" t="s">
        <v>8</v>
      </c>
      <c r="C30" s="62">
        <v>4</v>
      </c>
      <c r="D30" s="47"/>
      <c r="E30" s="62"/>
      <c r="F30" s="47">
        <v>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4</v>
      </c>
      <c r="D32" s="46"/>
      <c r="E32" s="25"/>
      <c r="F32" s="54">
        <v>4</v>
      </c>
    </row>
    <row r="33" spans="1:6" x14ac:dyDescent="0.25">
      <c r="A33" s="1" t="s">
        <v>24</v>
      </c>
      <c r="B33" s="30" t="s">
        <v>40</v>
      </c>
      <c r="C33" s="34">
        <v>4</v>
      </c>
      <c r="D33" s="46"/>
      <c r="E33" s="34"/>
      <c r="F33" s="54">
        <v>4</v>
      </c>
    </row>
    <row r="34" spans="1:6" x14ac:dyDescent="0.25">
      <c r="A34" s="1" t="s">
        <v>25</v>
      </c>
      <c r="B34" s="30" t="s">
        <v>78</v>
      </c>
      <c r="C34" s="34">
        <v>4</v>
      </c>
      <c r="D34" s="46"/>
      <c r="E34" s="34"/>
      <c r="F34" s="54">
        <v>4</v>
      </c>
    </row>
    <row r="35" spans="1:6" x14ac:dyDescent="0.25">
      <c r="A35" s="1" t="s">
        <v>26</v>
      </c>
      <c r="B35" s="30" t="s">
        <v>79</v>
      </c>
      <c r="C35" s="34">
        <v>4</v>
      </c>
      <c r="D35" s="46"/>
      <c r="E35" s="34"/>
      <c r="F35" s="54">
        <v>4</v>
      </c>
    </row>
    <row r="36" spans="1:6" x14ac:dyDescent="0.25">
      <c r="A36" s="3"/>
      <c r="B36" s="14" t="s">
        <v>8</v>
      </c>
      <c r="C36" s="62">
        <v>4</v>
      </c>
      <c r="D36" s="47"/>
      <c r="E36" s="62"/>
      <c r="F36" s="47">
        <v>4</v>
      </c>
    </row>
    <row r="37" spans="1:6" x14ac:dyDescent="0.25">
      <c r="A37" s="1"/>
      <c r="B37" s="10" t="s">
        <v>27</v>
      </c>
      <c r="C37" s="15"/>
      <c r="D37" s="52"/>
      <c r="E37" s="15"/>
      <c r="F37" s="55"/>
    </row>
    <row r="38" spans="1:6" x14ac:dyDescent="0.25">
      <c r="A38" s="1" t="s">
        <v>21</v>
      </c>
      <c r="B38" s="30" t="s">
        <v>41</v>
      </c>
      <c r="C38" s="25">
        <v>4</v>
      </c>
      <c r="D38" s="45"/>
      <c r="E38" s="25"/>
      <c r="F38" s="53">
        <v>4</v>
      </c>
    </row>
    <row r="39" spans="1:6" x14ac:dyDescent="0.25">
      <c r="A39" s="1" t="s">
        <v>28</v>
      </c>
      <c r="B39" s="30" t="s">
        <v>80</v>
      </c>
      <c r="C39" s="34">
        <v>4</v>
      </c>
      <c r="D39" s="46"/>
      <c r="E39" s="34"/>
      <c r="F39" s="54">
        <v>4</v>
      </c>
    </row>
    <row r="40" spans="1:6" x14ac:dyDescent="0.25">
      <c r="A40" s="1" t="s">
        <v>29</v>
      </c>
      <c r="B40" s="30" t="s">
        <v>81</v>
      </c>
      <c r="C40" s="34">
        <v>4</v>
      </c>
      <c r="D40" s="46"/>
      <c r="E40" s="34"/>
      <c r="F40" s="54">
        <v>4</v>
      </c>
    </row>
    <row r="41" spans="1:6" x14ac:dyDescent="0.25">
      <c r="A41" s="1" t="s">
        <v>30</v>
      </c>
      <c r="B41" s="30" t="s">
        <v>82</v>
      </c>
      <c r="C41" s="34">
        <v>4</v>
      </c>
      <c r="D41" s="46"/>
      <c r="E41" s="34"/>
      <c r="F41" s="54">
        <v>4</v>
      </c>
    </row>
    <row r="42" spans="1:6" x14ac:dyDescent="0.25">
      <c r="A42" s="26" t="s">
        <v>4</v>
      </c>
      <c r="B42" s="14" t="s">
        <v>8</v>
      </c>
      <c r="C42" s="63">
        <v>4</v>
      </c>
      <c r="D42" s="56"/>
      <c r="E42" s="63"/>
      <c r="F42" s="56">
        <v>4</v>
      </c>
    </row>
    <row r="43" spans="1:6" x14ac:dyDescent="0.25">
      <c r="B43" s="27" t="s">
        <v>83</v>
      </c>
      <c r="C43" s="15"/>
      <c r="D43" s="60"/>
      <c r="E43" s="15"/>
      <c r="F43" s="57"/>
    </row>
    <row r="44" spans="1:6" x14ac:dyDescent="0.25">
      <c r="B44" s="11" t="s">
        <v>84</v>
      </c>
      <c r="C44" s="15"/>
      <c r="D44" s="52"/>
      <c r="E44" s="15"/>
      <c r="F44" s="55"/>
    </row>
    <row r="45" spans="1:6" x14ac:dyDescent="0.25">
      <c r="A45" s="30" t="s">
        <v>85</v>
      </c>
      <c r="B45" s="30" t="s">
        <v>88</v>
      </c>
      <c r="C45" s="34">
        <v>4</v>
      </c>
      <c r="D45" s="46"/>
      <c r="E45" s="34"/>
      <c r="F45" s="53">
        <v>4</v>
      </c>
    </row>
    <row r="46" spans="1:6" x14ac:dyDescent="0.25">
      <c r="A46" s="30" t="s">
        <v>86</v>
      </c>
      <c r="B46" s="30" t="s">
        <v>89</v>
      </c>
      <c r="C46" s="34">
        <v>4</v>
      </c>
      <c r="D46" s="46"/>
      <c r="E46" s="34"/>
      <c r="F46" s="54">
        <v>4</v>
      </c>
    </row>
    <row r="47" spans="1:6" x14ac:dyDescent="0.25">
      <c r="A47" s="30" t="s">
        <v>87</v>
      </c>
      <c r="B47" s="30" t="s">
        <v>90</v>
      </c>
      <c r="C47" s="34">
        <v>4</v>
      </c>
      <c r="D47" s="46"/>
      <c r="E47" s="34"/>
      <c r="F47" s="54">
        <v>4</v>
      </c>
    </row>
    <row r="48" spans="1:6" ht="15.75" thickBot="1" x14ac:dyDescent="0.3">
      <c r="A48" s="17" t="s">
        <v>4</v>
      </c>
      <c r="B48" s="18" t="s">
        <v>8</v>
      </c>
      <c r="C48" s="170">
        <v>4</v>
      </c>
      <c r="D48" s="47"/>
      <c r="E48" s="170"/>
      <c r="F48" s="47">
        <v>4</v>
      </c>
    </row>
    <row r="49" spans="1:6" x14ac:dyDescent="0.25">
      <c r="A49" s="65"/>
      <c r="B49" s="230" t="s">
        <v>248</v>
      </c>
      <c r="C49" s="237" t="s">
        <v>4</v>
      </c>
      <c r="D49" s="226"/>
      <c r="E49" s="226"/>
      <c r="F49" s="52" t="s">
        <v>4</v>
      </c>
    </row>
    <row r="50" spans="1:6" x14ac:dyDescent="0.25">
      <c r="A50" s="65">
        <v>1</v>
      </c>
      <c r="B50" s="231" t="s">
        <v>181</v>
      </c>
      <c r="C50" s="235">
        <v>4</v>
      </c>
      <c r="D50" s="34"/>
      <c r="E50" s="34"/>
      <c r="F50" s="46">
        <v>4</v>
      </c>
    </row>
    <row r="51" spans="1:6" x14ac:dyDescent="0.25">
      <c r="A51" s="65"/>
      <c r="B51" s="231" t="s">
        <v>182</v>
      </c>
      <c r="C51" s="235">
        <v>4</v>
      </c>
      <c r="D51" s="34"/>
      <c r="E51" s="34"/>
      <c r="F51" s="46">
        <v>4</v>
      </c>
    </row>
    <row r="52" spans="1:6" x14ac:dyDescent="0.25">
      <c r="A52" s="65">
        <v>2</v>
      </c>
      <c r="B52" s="231" t="s">
        <v>183</v>
      </c>
      <c r="C52" s="235">
        <v>4</v>
      </c>
      <c r="D52" s="34"/>
      <c r="E52" s="34"/>
      <c r="F52" s="46">
        <v>4</v>
      </c>
    </row>
    <row r="53" spans="1:6" x14ac:dyDescent="0.25">
      <c r="A53" s="65">
        <v>3</v>
      </c>
      <c r="B53" s="231" t="s">
        <v>184</v>
      </c>
      <c r="C53" s="235">
        <v>4</v>
      </c>
      <c r="D53" s="34"/>
      <c r="E53" s="34"/>
      <c r="F53" s="46">
        <v>4</v>
      </c>
    </row>
    <row r="54" spans="1:6" x14ac:dyDescent="0.25">
      <c r="A54" s="65">
        <v>4</v>
      </c>
      <c r="B54" s="231" t="s">
        <v>185</v>
      </c>
      <c r="C54" s="235">
        <v>4</v>
      </c>
      <c r="D54" s="34"/>
      <c r="E54" s="34"/>
      <c r="F54" s="46">
        <v>4</v>
      </c>
    </row>
    <row r="55" spans="1:6" x14ac:dyDescent="0.25">
      <c r="A55" s="65"/>
      <c r="B55" s="231" t="s">
        <v>186</v>
      </c>
      <c r="C55" s="235">
        <v>4</v>
      </c>
      <c r="D55" s="34"/>
      <c r="E55" s="34"/>
      <c r="F55" s="46">
        <v>4</v>
      </c>
    </row>
    <row r="56" spans="1:6" x14ac:dyDescent="0.25">
      <c r="A56" s="65">
        <v>5</v>
      </c>
      <c r="B56" s="231" t="s">
        <v>187</v>
      </c>
      <c r="C56" s="235">
        <v>4</v>
      </c>
      <c r="D56" s="34"/>
      <c r="E56" s="34"/>
      <c r="F56" s="46">
        <v>4</v>
      </c>
    </row>
    <row r="57" spans="1:6" x14ac:dyDescent="0.25">
      <c r="A57" s="65">
        <v>6</v>
      </c>
      <c r="B57" s="231" t="s">
        <v>188</v>
      </c>
      <c r="C57" s="235">
        <v>4</v>
      </c>
      <c r="D57" s="34"/>
      <c r="E57" s="34"/>
      <c r="F57" s="46">
        <v>4</v>
      </c>
    </row>
    <row r="58" spans="1:6" x14ac:dyDescent="0.25">
      <c r="A58" s="65">
        <v>7</v>
      </c>
      <c r="B58" s="231" t="s">
        <v>189</v>
      </c>
      <c r="C58" s="235">
        <v>4</v>
      </c>
      <c r="D58" s="34"/>
      <c r="E58" s="34"/>
      <c r="F58" s="46">
        <v>4</v>
      </c>
    </row>
    <row r="59" spans="1:6" x14ac:dyDescent="0.25">
      <c r="A59" s="65"/>
      <c r="B59" s="231" t="s">
        <v>190</v>
      </c>
      <c r="C59" s="235">
        <v>4</v>
      </c>
      <c r="D59" s="34"/>
      <c r="E59" s="34"/>
      <c r="F59" s="46">
        <v>4</v>
      </c>
    </row>
    <row r="60" spans="1:6" x14ac:dyDescent="0.25">
      <c r="A60" s="65">
        <v>8</v>
      </c>
      <c r="B60" s="231" t="s">
        <v>191</v>
      </c>
      <c r="C60" s="235">
        <v>4</v>
      </c>
      <c r="D60" s="34"/>
      <c r="E60" s="34"/>
      <c r="F60" s="46">
        <v>4</v>
      </c>
    </row>
    <row r="61" spans="1:6" x14ac:dyDescent="0.25">
      <c r="A61" s="65"/>
      <c r="B61" s="231" t="s">
        <v>192</v>
      </c>
      <c r="C61" s="235">
        <v>4</v>
      </c>
      <c r="D61" s="34"/>
      <c r="E61" s="34"/>
      <c r="F61" s="46">
        <v>4</v>
      </c>
    </row>
    <row r="62" spans="1:6" x14ac:dyDescent="0.25">
      <c r="A62" s="65">
        <v>9</v>
      </c>
      <c r="B62" s="231" t="s">
        <v>193</v>
      </c>
      <c r="C62" s="235">
        <v>4</v>
      </c>
      <c r="D62" s="34"/>
      <c r="E62" s="34"/>
      <c r="F62" s="46">
        <v>4</v>
      </c>
    </row>
    <row r="63" spans="1:6" ht="15.75" thickBot="1" x14ac:dyDescent="0.3">
      <c r="A63" s="17" t="s">
        <v>4</v>
      </c>
      <c r="B63" s="232" t="s">
        <v>8</v>
      </c>
      <c r="C63" s="236">
        <v>4</v>
      </c>
      <c r="D63" s="61" t="s">
        <v>4</v>
      </c>
      <c r="E63" s="61"/>
      <c r="F63" s="220">
        <v>4</v>
      </c>
    </row>
    <row r="64" spans="1:6" x14ac:dyDescent="0.25">
      <c r="C64" s="234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63"/>
  <sheetViews>
    <sheetView zoomScale="80" zoomScaleNormal="80" workbookViewId="0">
      <selection activeCell="C65" sqref="C65"/>
    </sheetView>
  </sheetViews>
  <sheetFormatPr defaultRowHeight="15" x14ac:dyDescent="0.25"/>
  <cols>
    <col min="1" max="1" width="3.5703125" customWidth="1"/>
    <col min="2" max="2" width="125.7109375" customWidth="1"/>
  </cols>
  <sheetData>
    <row r="1" spans="1:6" x14ac:dyDescent="0.25">
      <c r="B1" s="4" t="s">
        <v>261</v>
      </c>
      <c r="C1" s="3"/>
      <c r="D1" s="3"/>
    </row>
    <row r="2" spans="1:6" x14ac:dyDescent="0.25">
      <c r="B2" s="5" t="s">
        <v>1</v>
      </c>
      <c r="C2" s="6" t="s">
        <v>56</v>
      </c>
      <c r="D2" s="6" t="s">
        <v>55</v>
      </c>
      <c r="E2" s="6" t="s">
        <v>252</v>
      </c>
      <c r="F2" s="6" t="s">
        <v>54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4.2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3.3</v>
      </c>
      <c r="D7" s="45">
        <v>3.5</v>
      </c>
      <c r="E7" s="25"/>
      <c r="F7" s="45">
        <v>4</v>
      </c>
    </row>
    <row r="8" spans="1:6" x14ac:dyDescent="0.25">
      <c r="A8" s="39" t="s">
        <v>12</v>
      </c>
      <c r="B8" s="42" t="s">
        <v>32</v>
      </c>
      <c r="C8" s="34">
        <v>3.3</v>
      </c>
      <c r="D8" s="46">
        <v>3.5</v>
      </c>
      <c r="E8" s="34"/>
      <c r="F8" s="46">
        <v>4</v>
      </c>
    </row>
    <row r="9" spans="1:6" x14ac:dyDescent="0.25">
      <c r="A9" s="39" t="s">
        <v>14</v>
      </c>
      <c r="B9" s="42" t="s">
        <v>64</v>
      </c>
      <c r="C9" s="34">
        <v>4</v>
      </c>
      <c r="D9" s="46">
        <v>3.5</v>
      </c>
      <c r="E9" s="34"/>
      <c r="F9" s="46">
        <v>4</v>
      </c>
    </row>
    <row r="10" spans="1:6" x14ac:dyDescent="0.25">
      <c r="A10" s="39" t="s">
        <v>15</v>
      </c>
      <c r="B10" s="42" t="s">
        <v>65</v>
      </c>
      <c r="C10" s="34">
        <v>3.3</v>
      </c>
      <c r="D10" s="46">
        <v>4</v>
      </c>
      <c r="E10" s="34"/>
      <c r="F10" s="46">
        <v>4</v>
      </c>
    </row>
    <row r="11" spans="1:6" x14ac:dyDescent="0.25">
      <c r="A11" s="40"/>
      <c r="B11" s="33" t="s">
        <v>8</v>
      </c>
      <c r="C11" s="61">
        <v>3.4</v>
      </c>
      <c r="D11" s="47">
        <v>3.6</v>
      </c>
      <c r="E11" s="61"/>
      <c r="F11" s="47">
        <v>4</v>
      </c>
    </row>
    <row r="12" spans="1:6" x14ac:dyDescent="0.25">
      <c r="A12" s="2"/>
      <c r="B12" s="22" t="s">
        <v>7</v>
      </c>
      <c r="C12" s="31"/>
      <c r="D12" s="59"/>
      <c r="E12" s="31"/>
      <c r="F12" s="59"/>
    </row>
    <row r="13" spans="1:6" ht="14.25" customHeight="1" x14ac:dyDescent="0.25">
      <c r="A13" s="2"/>
      <c r="B13" s="20" t="s">
        <v>16</v>
      </c>
      <c r="C13" s="12"/>
      <c r="D13" s="59"/>
      <c r="E13" s="12"/>
      <c r="F13" s="59"/>
    </row>
    <row r="14" spans="1:6" x14ac:dyDescent="0.25">
      <c r="A14" s="40" t="s">
        <v>17</v>
      </c>
      <c r="B14" s="29" t="s">
        <v>33</v>
      </c>
      <c r="C14" s="25">
        <v>3.7</v>
      </c>
      <c r="D14" s="46">
        <v>4</v>
      </c>
      <c r="E14" s="25"/>
      <c r="F14" s="46">
        <v>4</v>
      </c>
    </row>
    <row r="15" spans="1:6" x14ac:dyDescent="0.25">
      <c r="A15" s="40" t="s">
        <v>34</v>
      </c>
      <c r="B15" s="29" t="s">
        <v>67</v>
      </c>
      <c r="C15" s="34">
        <v>3.7</v>
      </c>
      <c r="D15" s="46">
        <v>4</v>
      </c>
      <c r="E15" s="34"/>
      <c r="F15" s="46">
        <v>4</v>
      </c>
    </row>
    <row r="16" spans="1:6" x14ac:dyDescent="0.25">
      <c r="A16" s="40" t="s">
        <v>35</v>
      </c>
      <c r="B16" s="29" t="s">
        <v>68</v>
      </c>
      <c r="C16" s="34">
        <v>4</v>
      </c>
      <c r="D16" s="46">
        <v>3.5</v>
      </c>
      <c r="E16" s="34"/>
      <c r="F16" s="46">
        <v>4</v>
      </c>
    </row>
    <row r="17" spans="1:6" x14ac:dyDescent="0.25">
      <c r="A17" s="41" t="s">
        <v>66</v>
      </c>
      <c r="B17" s="29" t="s">
        <v>69</v>
      </c>
      <c r="C17" s="34">
        <v>4</v>
      </c>
      <c r="D17" s="46">
        <v>3.5</v>
      </c>
      <c r="E17" s="34"/>
      <c r="F17" s="46">
        <v>4</v>
      </c>
    </row>
    <row r="18" spans="1:6" x14ac:dyDescent="0.25">
      <c r="A18" s="40"/>
      <c r="B18" s="14" t="s">
        <v>8</v>
      </c>
      <c r="C18" s="61">
        <v>3.8</v>
      </c>
      <c r="D18" s="49">
        <v>3.7</v>
      </c>
      <c r="E18" s="61"/>
      <c r="F18" s="49">
        <v>4</v>
      </c>
    </row>
    <row r="19" spans="1:6" x14ac:dyDescent="0.25">
      <c r="A19" s="2"/>
      <c r="B19" s="22" t="s">
        <v>70</v>
      </c>
      <c r="C19" s="12"/>
      <c r="D19" s="59" t="s">
        <v>4</v>
      </c>
      <c r="E19" s="12" t="s">
        <v>4</v>
      </c>
      <c r="F19" s="59"/>
    </row>
    <row r="20" spans="1:6" ht="14.25" customHeight="1" x14ac:dyDescent="0.25">
      <c r="A20" s="2"/>
      <c r="B20" s="20" t="s">
        <v>74</v>
      </c>
      <c r="C20" s="12"/>
      <c r="D20" s="59" t="s">
        <v>4</v>
      </c>
      <c r="E20" s="12"/>
      <c r="F20" s="59"/>
    </row>
    <row r="21" spans="1:6" x14ac:dyDescent="0.25">
      <c r="A21" s="40" t="s">
        <v>71</v>
      </c>
      <c r="B21" s="24" t="s">
        <v>75</v>
      </c>
      <c r="C21" s="25">
        <v>3.7</v>
      </c>
      <c r="D21" s="50">
        <v>4</v>
      </c>
      <c r="E21" s="25"/>
      <c r="F21" s="50">
        <v>4</v>
      </c>
    </row>
    <row r="22" spans="1:6" x14ac:dyDescent="0.25">
      <c r="A22" s="40" t="s">
        <v>72</v>
      </c>
      <c r="B22" s="24" t="s">
        <v>76</v>
      </c>
      <c r="C22" s="36">
        <v>3.3</v>
      </c>
      <c r="D22" s="51">
        <v>4</v>
      </c>
      <c r="E22" s="36"/>
      <c r="F22" s="51">
        <v>4</v>
      </c>
    </row>
    <row r="23" spans="1:6" x14ac:dyDescent="0.25">
      <c r="A23" s="40" t="s">
        <v>73</v>
      </c>
      <c r="B23" s="24" t="s">
        <v>77</v>
      </c>
      <c r="C23" s="36">
        <v>4</v>
      </c>
      <c r="D23" s="51">
        <v>3.5</v>
      </c>
      <c r="E23" s="36"/>
      <c r="F23" s="51">
        <v>4</v>
      </c>
    </row>
    <row r="24" spans="1:6" x14ac:dyDescent="0.25">
      <c r="A24" s="3"/>
      <c r="B24" s="14" t="s">
        <v>8</v>
      </c>
      <c r="C24" s="62">
        <v>3.6</v>
      </c>
      <c r="D24" s="49">
        <v>3.8</v>
      </c>
      <c r="E24" s="62"/>
      <c r="F24" s="49">
        <v>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3.7</v>
      </c>
      <c r="D27" s="45">
        <v>3.5</v>
      </c>
      <c r="E27" s="25"/>
      <c r="F27" s="45">
        <v>4</v>
      </c>
    </row>
    <row r="28" spans="1:6" x14ac:dyDescent="0.25">
      <c r="A28" s="1" t="s">
        <v>22</v>
      </c>
      <c r="B28" s="30" t="s">
        <v>37</v>
      </c>
      <c r="C28" s="34">
        <v>3.7</v>
      </c>
      <c r="D28" s="46">
        <v>4</v>
      </c>
      <c r="E28" s="34"/>
      <c r="F28" s="46">
        <v>4</v>
      </c>
    </row>
    <row r="29" spans="1:6" x14ac:dyDescent="0.25">
      <c r="A29" s="1" t="s">
        <v>23</v>
      </c>
      <c r="B29" s="30" t="s">
        <v>38</v>
      </c>
      <c r="C29" s="34">
        <v>4</v>
      </c>
      <c r="D29" s="46">
        <v>4</v>
      </c>
      <c r="E29" s="34"/>
      <c r="F29" s="46">
        <v>4</v>
      </c>
    </row>
    <row r="30" spans="1:6" x14ac:dyDescent="0.25">
      <c r="A30" s="1"/>
      <c r="B30" s="14" t="s">
        <v>8</v>
      </c>
      <c r="C30" s="62">
        <f>AVERAGE(C27:C29)</f>
        <v>3.8000000000000003</v>
      </c>
      <c r="D30" s="47">
        <v>3.8</v>
      </c>
      <c r="E30" s="62"/>
      <c r="F30" s="47">
        <v>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3.3</v>
      </c>
      <c r="D32" s="46">
        <v>3.5</v>
      </c>
      <c r="E32" s="25"/>
      <c r="F32" s="46">
        <v>4</v>
      </c>
    </row>
    <row r="33" spans="1:6" x14ac:dyDescent="0.25">
      <c r="A33" s="1" t="s">
        <v>24</v>
      </c>
      <c r="B33" s="30" t="s">
        <v>40</v>
      </c>
      <c r="C33" s="34">
        <v>3.3</v>
      </c>
      <c r="D33" s="46">
        <v>3.5</v>
      </c>
      <c r="E33" s="34"/>
      <c r="F33" s="46">
        <v>4</v>
      </c>
    </row>
    <row r="34" spans="1:6" x14ac:dyDescent="0.25">
      <c r="A34" s="1" t="s">
        <v>25</v>
      </c>
      <c r="B34" s="30" t="s">
        <v>78</v>
      </c>
      <c r="C34" s="34">
        <v>3.3</v>
      </c>
      <c r="D34" s="46">
        <v>4</v>
      </c>
      <c r="E34" s="34"/>
      <c r="F34" s="46">
        <v>4</v>
      </c>
    </row>
    <row r="35" spans="1:6" x14ac:dyDescent="0.25">
      <c r="A35" s="1" t="s">
        <v>26</v>
      </c>
      <c r="B35" s="30" t="s">
        <v>79</v>
      </c>
      <c r="C35" s="34">
        <v>3.3</v>
      </c>
      <c r="D35" s="46">
        <v>4</v>
      </c>
      <c r="E35" s="34"/>
      <c r="F35" s="46">
        <v>4</v>
      </c>
    </row>
    <row r="36" spans="1:6" x14ac:dyDescent="0.25">
      <c r="A36" s="3"/>
      <c r="B36" s="14" t="s">
        <v>8</v>
      </c>
      <c r="C36" s="62">
        <v>3.3</v>
      </c>
      <c r="D36" s="47">
        <v>3.7</v>
      </c>
      <c r="E36" s="62"/>
      <c r="F36" s="47">
        <v>4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4</v>
      </c>
      <c r="D38" s="45">
        <v>3.5</v>
      </c>
      <c r="E38" s="25"/>
      <c r="F38" s="45">
        <v>4</v>
      </c>
    </row>
    <row r="39" spans="1:6" x14ac:dyDescent="0.25">
      <c r="A39" s="1" t="s">
        <v>28</v>
      </c>
      <c r="B39" s="30" t="s">
        <v>80</v>
      </c>
      <c r="C39" s="34">
        <v>4</v>
      </c>
      <c r="D39" s="46">
        <v>3.5</v>
      </c>
      <c r="E39" s="34"/>
      <c r="F39" s="46">
        <v>4</v>
      </c>
    </row>
    <row r="40" spans="1:6" x14ac:dyDescent="0.25">
      <c r="A40" s="1" t="s">
        <v>29</v>
      </c>
      <c r="B40" s="30" t="s">
        <v>81</v>
      </c>
      <c r="C40" s="34">
        <v>3.6</v>
      </c>
      <c r="D40" s="46">
        <v>4</v>
      </c>
      <c r="E40" s="34"/>
      <c r="F40" s="46">
        <v>4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4</v>
      </c>
      <c r="E41" s="34"/>
      <c r="F41" s="46">
        <v>4</v>
      </c>
    </row>
    <row r="42" spans="1:6" x14ac:dyDescent="0.25">
      <c r="A42" s="26" t="s">
        <v>4</v>
      </c>
      <c r="B42" s="14" t="s">
        <v>8</v>
      </c>
      <c r="C42" s="63">
        <f>AVERAGE(C38:C41)</f>
        <v>3.9</v>
      </c>
      <c r="D42" s="56">
        <v>3.7</v>
      </c>
      <c r="E42" s="63"/>
      <c r="F42" s="56">
        <v>4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15"/>
      <c r="D44" s="52"/>
      <c r="E44" s="15"/>
      <c r="F44" s="52"/>
    </row>
    <row r="45" spans="1:6" x14ac:dyDescent="0.25">
      <c r="A45" s="30" t="s">
        <v>85</v>
      </c>
      <c r="B45" s="30" t="s">
        <v>88</v>
      </c>
      <c r="C45" s="34">
        <v>4</v>
      </c>
      <c r="D45" s="46">
        <v>4</v>
      </c>
      <c r="E45" s="34"/>
      <c r="F45" s="45">
        <v>4</v>
      </c>
    </row>
    <row r="46" spans="1:6" x14ac:dyDescent="0.25">
      <c r="A46" s="30" t="s">
        <v>86</v>
      </c>
      <c r="B46" s="30" t="s">
        <v>89</v>
      </c>
      <c r="C46" s="34">
        <v>4</v>
      </c>
      <c r="D46" s="46">
        <v>4</v>
      </c>
      <c r="E46" s="34"/>
      <c r="F46" s="46">
        <v>4</v>
      </c>
    </row>
    <row r="47" spans="1:6" x14ac:dyDescent="0.25">
      <c r="A47" s="30" t="s">
        <v>87</v>
      </c>
      <c r="B47" s="30" t="s">
        <v>90</v>
      </c>
      <c r="C47" s="34">
        <v>4</v>
      </c>
      <c r="D47" s="46">
        <v>4</v>
      </c>
      <c r="E47" s="34"/>
      <c r="F47" s="46">
        <v>4</v>
      </c>
    </row>
    <row r="48" spans="1:6" ht="15.75" thickBot="1" x14ac:dyDescent="0.3">
      <c r="A48" s="17" t="s">
        <v>4</v>
      </c>
      <c r="B48" s="18" t="s">
        <v>8</v>
      </c>
      <c r="C48" s="191">
        <v>4</v>
      </c>
      <c r="D48" s="58">
        <v>4</v>
      </c>
      <c r="E48" s="191"/>
      <c r="F48" s="58">
        <v>4</v>
      </c>
    </row>
    <row r="49" spans="1:6" x14ac:dyDescent="0.25">
      <c r="A49" s="1"/>
      <c r="B49" s="81" t="s">
        <v>248</v>
      </c>
      <c r="C49" s="240"/>
      <c r="D49" s="28"/>
      <c r="E49" s="28"/>
      <c r="F49" s="181"/>
    </row>
    <row r="50" spans="1:6" x14ac:dyDescent="0.25">
      <c r="A50" s="1">
        <v>1</v>
      </c>
      <c r="B50" s="90" t="s">
        <v>236</v>
      </c>
      <c r="C50" s="34">
        <v>3.3</v>
      </c>
      <c r="D50" s="34">
        <v>4</v>
      </c>
      <c r="E50" s="16"/>
      <c r="F50" s="46">
        <v>4</v>
      </c>
    </row>
    <row r="51" spans="1:6" x14ac:dyDescent="0.25">
      <c r="A51" s="1">
        <v>2</v>
      </c>
      <c r="B51" s="90" t="s">
        <v>237</v>
      </c>
      <c r="C51" s="34">
        <v>4</v>
      </c>
      <c r="D51" s="34">
        <v>4</v>
      </c>
      <c r="E51" s="16"/>
      <c r="F51" s="46">
        <v>4</v>
      </c>
    </row>
    <row r="52" spans="1:6" x14ac:dyDescent="0.25">
      <c r="A52" s="1"/>
      <c r="B52" s="90" t="s">
        <v>238</v>
      </c>
      <c r="C52" s="34">
        <v>4</v>
      </c>
      <c r="D52" s="34">
        <v>4</v>
      </c>
      <c r="E52" s="16"/>
      <c r="F52" s="46">
        <v>4</v>
      </c>
    </row>
    <row r="53" spans="1:6" x14ac:dyDescent="0.25">
      <c r="A53" s="1">
        <v>4</v>
      </c>
      <c r="B53" s="90" t="s">
        <v>239</v>
      </c>
      <c r="C53" s="34">
        <v>4</v>
      </c>
      <c r="D53" s="34">
        <v>4</v>
      </c>
      <c r="E53" s="16"/>
      <c r="F53" s="46">
        <v>4</v>
      </c>
    </row>
    <row r="54" spans="1:6" x14ac:dyDescent="0.25">
      <c r="A54" s="1">
        <v>5</v>
      </c>
      <c r="B54" s="90" t="s">
        <v>240</v>
      </c>
      <c r="C54" s="34">
        <v>3.3</v>
      </c>
      <c r="D54" s="34">
        <v>4</v>
      </c>
      <c r="E54" s="16"/>
      <c r="F54" s="46">
        <v>4</v>
      </c>
    </row>
    <row r="55" spans="1:6" x14ac:dyDescent="0.25">
      <c r="A55" s="1">
        <v>6</v>
      </c>
      <c r="B55" s="90" t="s">
        <v>241</v>
      </c>
      <c r="C55" s="34">
        <v>3.6</v>
      </c>
      <c r="D55" s="34">
        <v>4</v>
      </c>
      <c r="E55" s="16"/>
      <c r="F55" s="46">
        <v>4</v>
      </c>
    </row>
    <row r="56" spans="1:6" x14ac:dyDescent="0.25">
      <c r="A56" s="1">
        <v>7</v>
      </c>
      <c r="B56" s="90" t="s">
        <v>242</v>
      </c>
      <c r="C56" s="34">
        <v>4</v>
      </c>
      <c r="D56" s="34">
        <v>4</v>
      </c>
      <c r="E56" s="16"/>
      <c r="F56" s="46">
        <v>4</v>
      </c>
    </row>
    <row r="57" spans="1:6" x14ac:dyDescent="0.25">
      <c r="A57" s="1">
        <v>8</v>
      </c>
      <c r="B57" s="90" t="s">
        <v>243</v>
      </c>
      <c r="C57" s="34">
        <v>4</v>
      </c>
      <c r="D57" s="34">
        <v>4</v>
      </c>
      <c r="E57" s="16"/>
      <c r="F57" s="46">
        <v>4</v>
      </c>
    </row>
    <row r="58" spans="1:6" x14ac:dyDescent="0.25">
      <c r="A58" s="1">
        <v>9</v>
      </c>
      <c r="B58" s="90" t="s">
        <v>244</v>
      </c>
      <c r="C58" s="34">
        <v>3.3</v>
      </c>
      <c r="D58" s="34">
        <v>4</v>
      </c>
      <c r="E58" s="16"/>
      <c r="F58" s="46">
        <v>4</v>
      </c>
    </row>
    <row r="59" spans="1:6" x14ac:dyDescent="0.25">
      <c r="A59" s="1"/>
      <c r="B59" s="90" t="s">
        <v>245</v>
      </c>
      <c r="C59" s="34">
        <v>3.3</v>
      </c>
      <c r="D59" s="34">
        <v>4</v>
      </c>
      <c r="E59" s="16"/>
      <c r="F59" s="46">
        <v>4</v>
      </c>
    </row>
    <row r="60" spans="1:6" x14ac:dyDescent="0.25">
      <c r="A60" s="1">
        <v>10</v>
      </c>
      <c r="B60" s="90" t="s">
        <v>246</v>
      </c>
      <c r="C60" s="34">
        <v>4</v>
      </c>
      <c r="D60" s="34">
        <v>4</v>
      </c>
      <c r="E60" s="16"/>
      <c r="F60" s="46">
        <v>4</v>
      </c>
    </row>
    <row r="61" spans="1:6" x14ac:dyDescent="0.25">
      <c r="A61" s="197">
        <v>11</v>
      </c>
      <c r="B61" s="238" t="s">
        <v>247</v>
      </c>
      <c r="C61" s="34">
        <v>4</v>
      </c>
      <c r="D61" s="34">
        <v>4</v>
      </c>
      <c r="E61" s="16"/>
      <c r="F61" s="46">
        <v>4</v>
      </c>
    </row>
    <row r="62" spans="1:6" ht="15.75" thickBot="1" x14ac:dyDescent="0.3">
      <c r="A62" s="17" t="s">
        <v>4</v>
      </c>
      <c r="B62" s="239" t="s">
        <v>8</v>
      </c>
      <c r="C62" s="186">
        <v>3.7</v>
      </c>
      <c r="D62" s="61">
        <v>4</v>
      </c>
      <c r="E62" s="186"/>
      <c r="F62" s="220">
        <v>4</v>
      </c>
    </row>
    <row r="63" spans="1:6" x14ac:dyDescent="0.25">
      <c r="C63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8"/>
  <sheetViews>
    <sheetView zoomScale="80" zoomScaleNormal="80" workbookViewId="0">
      <selection activeCell="J30" sqref="J30"/>
    </sheetView>
  </sheetViews>
  <sheetFormatPr defaultRowHeight="15" x14ac:dyDescent="0.25"/>
  <cols>
    <col min="1" max="1" width="4.85546875" customWidth="1"/>
    <col min="2" max="2" width="99.42578125" customWidth="1"/>
  </cols>
  <sheetData>
    <row r="1" spans="1:6" x14ac:dyDescent="0.25">
      <c r="B1" s="4" t="s">
        <v>262</v>
      </c>
      <c r="C1" s="3"/>
      <c r="D1" s="3"/>
    </row>
    <row r="2" spans="1:6" x14ac:dyDescent="0.25">
      <c r="B2" s="5" t="s">
        <v>1</v>
      </c>
      <c r="C2" s="6" t="s">
        <v>252</v>
      </c>
      <c r="D2" s="6" t="s">
        <v>252</v>
      </c>
      <c r="E2" s="6" t="s">
        <v>252</v>
      </c>
      <c r="F2" s="6" t="s">
        <v>55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5.7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/>
      <c r="D7" s="45"/>
      <c r="E7" s="25"/>
      <c r="F7" s="45">
        <v>4</v>
      </c>
    </row>
    <row r="8" spans="1:6" x14ac:dyDescent="0.25">
      <c r="A8" s="39" t="s">
        <v>12</v>
      </c>
      <c r="B8" s="42" t="s">
        <v>32</v>
      </c>
      <c r="C8" s="34"/>
      <c r="D8" s="46"/>
      <c r="E8" s="34"/>
      <c r="F8" s="46">
        <v>4</v>
      </c>
    </row>
    <row r="9" spans="1:6" x14ac:dyDescent="0.25">
      <c r="A9" s="39" t="s">
        <v>14</v>
      </c>
      <c r="B9" s="42" t="s">
        <v>64</v>
      </c>
      <c r="C9" s="34"/>
      <c r="D9" s="46"/>
      <c r="E9" s="34"/>
      <c r="F9" s="46">
        <v>4</v>
      </c>
    </row>
    <row r="10" spans="1:6" x14ac:dyDescent="0.25">
      <c r="A10" s="39" t="s">
        <v>15</v>
      </c>
      <c r="B10" s="42" t="s">
        <v>65</v>
      </c>
      <c r="C10" s="34"/>
      <c r="D10" s="46"/>
      <c r="E10" s="34"/>
      <c r="F10" s="46">
        <v>4</v>
      </c>
    </row>
    <row r="11" spans="1:6" x14ac:dyDescent="0.25">
      <c r="A11" s="40"/>
      <c r="B11" s="33" t="s">
        <v>8</v>
      </c>
      <c r="C11" s="61"/>
      <c r="D11" s="47"/>
      <c r="E11" s="61"/>
      <c r="F11" s="47">
        <v>4</v>
      </c>
    </row>
    <row r="12" spans="1:6" x14ac:dyDescent="0.25">
      <c r="A12" s="2"/>
      <c r="B12" s="22" t="s">
        <v>7</v>
      </c>
      <c r="C12" s="31"/>
      <c r="D12" s="59"/>
      <c r="E12" s="31"/>
      <c r="F12" s="59"/>
    </row>
    <row r="13" spans="1:6" ht="12.75" customHeight="1" x14ac:dyDescent="0.25">
      <c r="A13" s="2"/>
      <c r="B13" s="20" t="s">
        <v>16</v>
      </c>
      <c r="C13" s="12"/>
      <c r="D13" s="59"/>
      <c r="E13" s="12"/>
      <c r="F13" s="59"/>
    </row>
    <row r="14" spans="1:6" x14ac:dyDescent="0.25">
      <c r="A14" s="40" t="s">
        <v>17</v>
      </c>
      <c r="B14" s="29" t="s">
        <v>33</v>
      </c>
      <c r="C14" s="25"/>
      <c r="D14" s="46"/>
      <c r="E14" s="25"/>
      <c r="F14" s="46">
        <v>4</v>
      </c>
    </row>
    <row r="15" spans="1:6" x14ac:dyDescent="0.25">
      <c r="A15" s="40" t="s">
        <v>34</v>
      </c>
      <c r="B15" s="29" t="s">
        <v>67</v>
      </c>
      <c r="C15" s="34"/>
      <c r="D15" s="46"/>
      <c r="E15" s="34"/>
      <c r="F15" s="46">
        <v>4</v>
      </c>
    </row>
    <row r="16" spans="1:6" x14ac:dyDescent="0.25">
      <c r="A16" s="40" t="s">
        <v>35</v>
      </c>
      <c r="B16" s="29" t="s">
        <v>68</v>
      </c>
      <c r="C16" s="34"/>
      <c r="D16" s="46"/>
      <c r="E16" s="34"/>
      <c r="F16" s="46">
        <v>4</v>
      </c>
    </row>
    <row r="17" spans="1:6" x14ac:dyDescent="0.25">
      <c r="A17" s="41" t="s">
        <v>66</v>
      </c>
      <c r="B17" s="29" t="s">
        <v>69</v>
      </c>
      <c r="C17" s="34"/>
      <c r="D17" s="46"/>
      <c r="E17" s="34"/>
      <c r="F17" s="46">
        <v>4</v>
      </c>
    </row>
    <row r="18" spans="1:6" x14ac:dyDescent="0.25">
      <c r="A18" s="40"/>
      <c r="B18" s="14" t="s">
        <v>8</v>
      </c>
      <c r="C18" s="61"/>
      <c r="D18" s="49"/>
      <c r="E18" s="61"/>
      <c r="F18" s="49">
        <v>4</v>
      </c>
    </row>
    <row r="19" spans="1:6" x14ac:dyDescent="0.25">
      <c r="A19" s="2"/>
      <c r="B19" s="22" t="s">
        <v>70</v>
      </c>
      <c r="C19" s="12"/>
      <c r="D19" s="59"/>
      <c r="E19" s="12"/>
      <c r="F19" s="59"/>
    </row>
    <row r="20" spans="1:6" ht="17.25" customHeight="1" x14ac:dyDescent="0.25">
      <c r="A20" s="2"/>
      <c r="B20" s="20" t="s">
        <v>74</v>
      </c>
      <c r="C20" s="12"/>
      <c r="D20" s="59"/>
      <c r="E20" s="12"/>
      <c r="F20" s="59"/>
    </row>
    <row r="21" spans="1:6" x14ac:dyDescent="0.25">
      <c r="A21" s="40" t="s">
        <v>71</v>
      </c>
      <c r="B21" s="24" t="s">
        <v>75</v>
      </c>
      <c r="C21" s="25"/>
      <c r="D21" s="50"/>
      <c r="E21" s="25"/>
      <c r="F21" s="50">
        <v>4</v>
      </c>
    </row>
    <row r="22" spans="1:6" x14ac:dyDescent="0.25">
      <c r="A22" s="40" t="s">
        <v>72</v>
      </c>
      <c r="B22" s="24" t="s">
        <v>76</v>
      </c>
      <c r="C22" s="36"/>
      <c r="D22" s="51"/>
      <c r="E22" s="36"/>
      <c r="F22" s="51">
        <v>4</v>
      </c>
    </row>
    <row r="23" spans="1:6" x14ac:dyDescent="0.25">
      <c r="A23" s="40" t="s">
        <v>73</v>
      </c>
      <c r="B23" s="24" t="s">
        <v>77</v>
      </c>
      <c r="C23" s="36"/>
      <c r="D23" s="51"/>
      <c r="E23" s="36"/>
      <c r="F23" s="51">
        <v>4</v>
      </c>
    </row>
    <row r="24" spans="1:6" x14ac:dyDescent="0.25">
      <c r="A24" s="3"/>
      <c r="B24" s="14" t="s">
        <v>8</v>
      </c>
      <c r="C24" s="62"/>
      <c r="D24" s="49"/>
      <c r="E24" s="62"/>
      <c r="F24" s="49">
        <v>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/>
      <c r="D27" s="45"/>
      <c r="E27" s="25"/>
      <c r="F27" s="45">
        <v>4</v>
      </c>
    </row>
    <row r="28" spans="1:6" x14ac:dyDescent="0.25">
      <c r="A28" s="1" t="s">
        <v>22</v>
      </c>
      <c r="B28" s="30" t="s">
        <v>37</v>
      </c>
      <c r="C28" s="34"/>
      <c r="D28" s="46"/>
      <c r="E28" s="34"/>
      <c r="F28" s="46">
        <v>4</v>
      </c>
    </row>
    <row r="29" spans="1:6" x14ac:dyDescent="0.25">
      <c r="A29" s="1" t="s">
        <v>23</v>
      </c>
      <c r="B29" s="30" t="s">
        <v>38</v>
      </c>
      <c r="C29" s="34"/>
      <c r="D29" s="46"/>
      <c r="E29" s="34"/>
      <c r="F29" s="46">
        <v>4</v>
      </c>
    </row>
    <row r="30" spans="1:6" x14ac:dyDescent="0.25">
      <c r="A30" s="1"/>
      <c r="B30" s="14" t="s">
        <v>8</v>
      </c>
      <c r="C30" s="62"/>
      <c r="D30" s="47"/>
      <c r="E30" s="62"/>
      <c r="F30" s="47">
        <v>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/>
      <c r="D32" s="46"/>
      <c r="E32" s="25"/>
      <c r="F32" s="46">
        <v>4</v>
      </c>
    </row>
    <row r="33" spans="1:6" x14ac:dyDescent="0.25">
      <c r="A33" s="1" t="s">
        <v>24</v>
      </c>
      <c r="B33" s="30" t="s">
        <v>40</v>
      </c>
      <c r="C33" s="34"/>
      <c r="D33" s="46"/>
      <c r="E33" s="34"/>
      <c r="F33" s="46">
        <v>4</v>
      </c>
    </row>
    <row r="34" spans="1:6" x14ac:dyDescent="0.25">
      <c r="A34" s="1" t="s">
        <v>25</v>
      </c>
      <c r="B34" s="30" t="s">
        <v>78</v>
      </c>
      <c r="C34" s="34"/>
      <c r="D34" s="46"/>
      <c r="E34" s="34"/>
      <c r="F34" s="46">
        <v>4</v>
      </c>
    </row>
    <row r="35" spans="1:6" x14ac:dyDescent="0.25">
      <c r="A35" s="1" t="s">
        <v>26</v>
      </c>
      <c r="B35" s="30" t="s">
        <v>79</v>
      </c>
      <c r="C35" s="34"/>
      <c r="D35" s="46"/>
      <c r="E35" s="34"/>
      <c r="F35" s="46">
        <v>4</v>
      </c>
    </row>
    <row r="36" spans="1:6" x14ac:dyDescent="0.25">
      <c r="A36" s="3"/>
      <c r="B36" s="14" t="s">
        <v>8</v>
      </c>
      <c r="C36" s="62"/>
      <c r="D36" s="47"/>
      <c r="E36" s="62"/>
      <c r="F36" s="47">
        <v>4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/>
      <c r="D38" s="45"/>
      <c r="E38" s="25"/>
      <c r="F38" s="45">
        <v>4</v>
      </c>
    </row>
    <row r="39" spans="1:6" x14ac:dyDescent="0.25">
      <c r="A39" s="1" t="s">
        <v>28</v>
      </c>
      <c r="B39" s="30" t="s">
        <v>80</v>
      </c>
      <c r="C39" s="34"/>
      <c r="D39" s="46"/>
      <c r="E39" s="34"/>
      <c r="F39" s="46">
        <v>4</v>
      </c>
    </row>
    <row r="40" spans="1:6" x14ac:dyDescent="0.25">
      <c r="A40" s="1" t="s">
        <v>29</v>
      </c>
      <c r="B40" s="30" t="s">
        <v>81</v>
      </c>
      <c r="C40" s="34"/>
      <c r="D40" s="46"/>
      <c r="E40" s="34"/>
      <c r="F40" s="46">
        <v>4</v>
      </c>
    </row>
    <row r="41" spans="1:6" x14ac:dyDescent="0.25">
      <c r="A41" s="1" t="s">
        <v>30</v>
      </c>
      <c r="B41" s="30" t="s">
        <v>82</v>
      </c>
      <c r="C41" s="34"/>
      <c r="D41" s="46"/>
      <c r="E41" s="34"/>
      <c r="F41" s="46">
        <v>4</v>
      </c>
    </row>
    <row r="42" spans="1:6" x14ac:dyDescent="0.25">
      <c r="A42" s="26" t="s">
        <v>4</v>
      </c>
      <c r="B42" s="14" t="s">
        <v>8</v>
      </c>
      <c r="C42" s="63"/>
      <c r="D42" s="56"/>
      <c r="E42" s="63"/>
      <c r="F42" s="56">
        <v>4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15"/>
      <c r="D44" s="52"/>
      <c r="E44" s="15"/>
      <c r="F44" s="52"/>
    </row>
    <row r="45" spans="1:6" x14ac:dyDescent="0.25">
      <c r="A45" s="30" t="s">
        <v>85</v>
      </c>
      <c r="B45" s="30" t="s">
        <v>88</v>
      </c>
      <c r="C45" s="34"/>
      <c r="D45" s="46"/>
      <c r="E45" s="34"/>
      <c r="F45" s="45">
        <v>4</v>
      </c>
    </row>
    <row r="46" spans="1:6" x14ac:dyDescent="0.25">
      <c r="A46" s="30" t="s">
        <v>86</v>
      </c>
      <c r="B46" s="30" t="s">
        <v>89</v>
      </c>
      <c r="C46" s="34"/>
      <c r="D46" s="46"/>
      <c r="E46" s="34"/>
      <c r="F46" s="46">
        <v>4</v>
      </c>
    </row>
    <row r="47" spans="1:6" x14ac:dyDescent="0.25">
      <c r="A47" s="30" t="s">
        <v>87</v>
      </c>
      <c r="B47" s="30" t="s">
        <v>90</v>
      </c>
      <c r="C47" s="34"/>
      <c r="D47" s="46"/>
      <c r="E47" s="34"/>
      <c r="F47" s="46">
        <v>4</v>
      </c>
    </row>
    <row r="48" spans="1:6" ht="15.75" thickBot="1" x14ac:dyDescent="0.3">
      <c r="A48" s="17" t="s">
        <v>4</v>
      </c>
      <c r="B48" s="18" t="s">
        <v>8</v>
      </c>
      <c r="C48" s="191"/>
      <c r="D48" s="58"/>
      <c r="E48" s="191"/>
      <c r="F48" s="58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62"/>
  <sheetViews>
    <sheetView zoomScale="80" zoomScaleNormal="80" workbookViewId="0">
      <selection activeCell="K38" sqref="K38"/>
    </sheetView>
  </sheetViews>
  <sheetFormatPr defaultRowHeight="15" x14ac:dyDescent="0.25"/>
  <cols>
    <col min="1" max="1" width="4.5703125" customWidth="1"/>
    <col min="2" max="2" width="113" customWidth="1"/>
  </cols>
  <sheetData>
    <row r="1" spans="1:6" x14ac:dyDescent="0.25">
      <c r="B1" s="4" t="s">
        <v>267</v>
      </c>
      <c r="C1" s="3"/>
      <c r="D1" s="3"/>
    </row>
    <row r="2" spans="1:6" x14ac:dyDescent="0.25">
      <c r="B2" s="5" t="s">
        <v>1</v>
      </c>
      <c r="C2" s="6" t="s">
        <v>54</v>
      </c>
      <c r="D2" s="6" t="s">
        <v>54</v>
      </c>
      <c r="E2" s="6" t="s">
        <v>54</v>
      </c>
      <c r="F2" s="6" t="s">
        <v>54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4.2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>
        <v>3</v>
      </c>
      <c r="E7" s="25">
        <v>3</v>
      </c>
      <c r="F7" s="45">
        <v>4</v>
      </c>
    </row>
    <row r="8" spans="1:6" x14ac:dyDescent="0.25">
      <c r="A8" s="39" t="s">
        <v>12</v>
      </c>
      <c r="B8" s="42" t="s">
        <v>32</v>
      </c>
      <c r="C8" s="34">
        <v>4</v>
      </c>
      <c r="D8" s="46">
        <v>4</v>
      </c>
      <c r="E8" s="34">
        <v>4</v>
      </c>
      <c r="F8" s="46">
        <v>4</v>
      </c>
    </row>
    <row r="9" spans="1:6" x14ac:dyDescent="0.25">
      <c r="A9" s="39" t="s">
        <v>14</v>
      </c>
      <c r="B9" s="42" t="s">
        <v>64</v>
      </c>
      <c r="C9" s="34">
        <v>4</v>
      </c>
      <c r="D9" s="46">
        <v>4</v>
      </c>
      <c r="E9" s="34">
        <v>4</v>
      </c>
      <c r="F9" s="46">
        <v>4</v>
      </c>
    </row>
    <row r="10" spans="1:6" x14ac:dyDescent="0.25">
      <c r="A10" s="39" t="s">
        <v>15</v>
      </c>
      <c r="B10" s="42" t="s">
        <v>65</v>
      </c>
      <c r="C10" s="34">
        <v>4</v>
      </c>
      <c r="D10" s="46">
        <v>4</v>
      </c>
      <c r="E10" s="34">
        <v>4</v>
      </c>
      <c r="F10" s="46">
        <v>4</v>
      </c>
    </row>
    <row r="11" spans="1:6" x14ac:dyDescent="0.25">
      <c r="A11" s="40"/>
      <c r="B11" s="33" t="s">
        <v>8</v>
      </c>
      <c r="C11" s="61">
        <v>4</v>
      </c>
      <c r="D11" s="47">
        <v>3.7</v>
      </c>
      <c r="E11" s="61">
        <v>3.7</v>
      </c>
      <c r="F11" s="47">
        <v>4</v>
      </c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ht="12" customHeight="1" x14ac:dyDescent="0.25">
      <c r="A13" s="2"/>
      <c r="B13" s="20" t="s">
        <v>16</v>
      </c>
      <c r="C13" s="12"/>
      <c r="D13" s="59"/>
      <c r="E13" s="12"/>
      <c r="F13" s="48"/>
    </row>
    <row r="14" spans="1:6" x14ac:dyDescent="0.25">
      <c r="A14" s="40" t="s">
        <v>17</v>
      </c>
      <c r="B14" s="29" t="s">
        <v>33</v>
      </c>
      <c r="C14" s="25">
        <v>4</v>
      </c>
      <c r="D14" s="46">
        <v>3</v>
      </c>
      <c r="E14" s="25">
        <v>4</v>
      </c>
      <c r="F14" s="46">
        <v>4</v>
      </c>
    </row>
    <row r="15" spans="1:6" x14ac:dyDescent="0.25">
      <c r="A15" s="40" t="s">
        <v>34</v>
      </c>
      <c r="B15" s="29" t="s">
        <v>67</v>
      </c>
      <c r="C15" s="34">
        <v>4</v>
      </c>
      <c r="D15" s="46">
        <v>3</v>
      </c>
      <c r="E15" s="34">
        <v>4</v>
      </c>
      <c r="F15" s="46">
        <v>4</v>
      </c>
    </row>
    <row r="16" spans="1:6" x14ac:dyDescent="0.25">
      <c r="A16" s="40" t="s">
        <v>35</v>
      </c>
      <c r="B16" s="29" t="s">
        <v>68</v>
      </c>
      <c r="C16" s="34">
        <v>4</v>
      </c>
      <c r="D16" s="46">
        <v>4</v>
      </c>
      <c r="E16" s="34">
        <v>4</v>
      </c>
      <c r="F16" s="46">
        <v>4</v>
      </c>
    </row>
    <row r="17" spans="1:6" x14ac:dyDescent="0.25">
      <c r="A17" s="41" t="s">
        <v>66</v>
      </c>
      <c r="B17" s="29" t="s">
        <v>69</v>
      </c>
      <c r="C17" s="34">
        <v>4</v>
      </c>
      <c r="D17" s="46">
        <v>4</v>
      </c>
      <c r="E17" s="34">
        <v>3</v>
      </c>
      <c r="F17" s="46">
        <v>4</v>
      </c>
    </row>
    <row r="18" spans="1:6" x14ac:dyDescent="0.25">
      <c r="A18" s="40"/>
      <c r="B18" s="14" t="s">
        <v>8</v>
      </c>
      <c r="C18" s="61">
        <v>4</v>
      </c>
      <c r="D18" s="49">
        <f>AVERAGE(D14:D17)</f>
        <v>3.5</v>
      </c>
      <c r="E18" s="61">
        <v>3.7</v>
      </c>
      <c r="F18" s="49">
        <v>4</v>
      </c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ht="17.25" customHeight="1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4</v>
      </c>
      <c r="D21" s="50">
        <v>4</v>
      </c>
      <c r="E21" s="25">
        <v>4</v>
      </c>
      <c r="F21" s="50">
        <v>4</v>
      </c>
    </row>
    <row r="22" spans="1:6" x14ac:dyDescent="0.25">
      <c r="A22" s="40" t="s">
        <v>72</v>
      </c>
      <c r="B22" s="24" t="s">
        <v>76</v>
      </c>
      <c r="C22" s="36">
        <v>4</v>
      </c>
      <c r="D22" s="51">
        <v>4</v>
      </c>
      <c r="E22" s="36">
        <v>4</v>
      </c>
      <c r="F22" s="51">
        <v>4</v>
      </c>
    </row>
    <row r="23" spans="1:6" x14ac:dyDescent="0.25">
      <c r="A23" s="40" t="s">
        <v>73</v>
      </c>
      <c r="B23" s="24" t="s">
        <v>77</v>
      </c>
      <c r="C23" s="36">
        <v>4</v>
      </c>
      <c r="D23" s="51">
        <v>4</v>
      </c>
      <c r="E23" s="36">
        <v>4</v>
      </c>
      <c r="F23" s="51">
        <v>4</v>
      </c>
    </row>
    <row r="24" spans="1:6" x14ac:dyDescent="0.25">
      <c r="A24" s="3"/>
      <c r="B24" s="14" t="s">
        <v>8</v>
      </c>
      <c r="C24" s="62">
        <v>4</v>
      </c>
      <c r="D24" s="49">
        <v>4</v>
      </c>
      <c r="E24" s="62">
        <v>4</v>
      </c>
      <c r="F24" s="49">
        <v>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>
        <v>3</v>
      </c>
      <c r="E27" s="25">
        <v>4</v>
      </c>
      <c r="F27" s="45">
        <v>4</v>
      </c>
    </row>
    <row r="28" spans="1:6" x14ac:dyDescent="0.25">
      <c r="A28" s="1" t="s">
        <v>22</v>
      </c>
      <c r="B28" s="30" t="s">
        <v>37</v>
      </c>
      <c r="C28" s="34">
        <v>3</v>
      </c>
      <c r="D28" s="46">
        <v>3</v>
      </c>
      <c r="E28" s="34">
        <v>3</v>
      </c>
      <c r="F28" s="46">
        <v>4</v>
      </c>
    </row>
    <row r="29" spans="1:6" x14ac:dyDescent="0.25">
      <c r="A29" s="1" t="s">
        <v>23</v>
      </c>
      <c r="B29" s="30" t="s">
        <v>38</v>
      </c>
      <c r="C29" s="34">
        <v>4</v>
      </c>
      <c r="D29" s="46">
        <v>4</v>
      </c>
      <c r="E29" s="34">
        <v>4</v>
      </c>
      <c r="F29" s="46">
        <v>4</v>
      </c>
    </row>
    <row r="30" spans="1:6" x14ac:dyDescent="0.25">
      <c r="A30" s="1"/>
      <c r="B30" s="14" t="s">
        <v>8</v>
      </c>
      <c r="C30" s="62">
        <v>3.6</v>
      </c>
      <c r="D30" s="47">
        <v>3.3</v>
      </c>
      <c r="E30" s="62">
        <v>3.6</v>
      </c>
      <c r="F30" s="47">
        <v>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4</v>
      </c>
      <c r="D32" s="46">
        <v>3</v>
      </c>
      <c r="E32" s="25">
        <v>4</v>
      </c>
      <c r="F32" s="46">
        <v>4</v>
      </c>
    </row>
    <row r="33" spans="1:6" x14ac:dyDescent="0.25">
      <c r="A33" s="1" t="s">
        <v>24</v>
      </c>
      <c r="B33" s="30" t="s">
        <v>40</v>
      </c>
      <c r="C33" s="34">
        <v>4</v>
      </c>
      <c r="D33" s="46">
        <v>3</v>
      </c>
      <c r="E33" s="34">
        <v>4</v>
      </c>
      <c r="F33" s="46">
        <v>4</v>
      </c>
    </row>
    <row r="34" spans="1:6" x14ac:dyDescent="0.25">
      <c r="A34" s="1" t="s">
        <v>25</v>
      </c>
      <c r="B34" s="30" t="s">
        <v>78</v>
      </c>
      <c r="C34" s="34">
        <v>4</v>
      </c>
      <c r="D34" s="46">
        <v>4</v>
      </c>
      <c r="E34" s="34">
        <v>4</v>
      </c>
      <c r="F34" s="46">
        <v>4</v>
      </c>
    </row>
    <row r="35" spans="1:6" x14ac:dyDescent="0.25">
      <c r="A35" s="1" t="s">
        <v>26</v>
      </c>
      <c r="B35" s="30" t="s">
        <v>79</v>
      </c>
      <c r="C35" s="34">
        <v>4</v>
      </c>
      <c r="D35" s="46">
        <v>4</v>
      </c>
      <c r="E35" s="34">
        <v>4</v>
      </c>
      <c r="F35" s="46">
        <v>4</v>
      </c>
    </row>
    <row r="36" spans="1:6" x14ac:dyDescent="0.25">
      <c r="A36" s="3"/>
      <c r="B36" s="14" t="s">
        <v>8</v>
      </c>
      <c r="C36" s="62">
        <v>4</v>
      </c>
      <c r="D36" s="47">
        <f>AVERAGE(D32:D35)</f>
        <v>3.5</v>
      </c>
      <c r="E36" s="62">
        <v>4</v>
      </c>
      <c r="F36" s="47">
        <v>4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4</v>
      </c>
      <c r="D38" s="45">
        <v>3</v>
      </c>
      <c r="E38" s="25">
        <v>4</v>
      </c>
      <c r="F38" s="45">
        <v>4</v>
      </c>
    </row>
    <row r="39" spans="1:6" x14ac:dyDescent="0.25">
      <c r="A39" s="1" t="s">
        <v>28</v>
      </c>
      <c r="B39" s="30" t="s">
        <v>80</v>
      </c>
      <c r="C39" s="34">
        <v>4</v>
      </c>
      <c r="D39" s="46">
        <v>3</v>
      </c>
      <c r="E39" s="34">
        <v>4</v>
      </c>
      <c r="F39" s="46">
        <v>4</v>
      </c>
    </row>
    <row r="40" spans="1:6" x14ac:dyDescent="0.25">
      <c r="A40" s="1" t="s">
        <v>29</v>
      </c>
      <c r="B40" s="30" t="s">
        <v>81</v>
      </c>
      <c r="C40" s="34">
        <v>4</v>
      </c>
      <c r="D40" s="46">
        <v>4</v>
      </c>
      <c r="E40" s="34">
        <v>4</v>
      </c>
      <c r="F40" s="46">
        <v>4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4</v>
      </c>
      <c r="E41" s="34">
        <v>4</v>
      </c>
      <c r="F41" s="46">
        <v>4</v>
      </c>
    </row>
    <row r="42" spans="1:6" x14ac:dyDescent="0.25">
      <c r="A42" s="26" t="s">
        <v>4</v>
      </c>
      <c r="B42" s="14" t="s">
        <v>8</v>
      </c>
      <c r="C42" s="63">
        <v>4</v>
      </c>
      <c r="D42" s="56">
        <f>AVERAGE(D38:D41)</f>
        <v>3.5</v>
      </c>
      <c r="E42" s="63">
        <v>4</v>
      </c>
      <c r="F42" s="56">
        <v>4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15"/>
      <c r="D44" s="52"/>
      <c r="E44" s="15"/>
      <c r="F44" s="52"/>
    </row>
    <row r="45" spans="1:6" x14ac:dyDescent="0.25">
      <c r="A45" s="30" t="s">
        <v>85</v>
      </c>
      <c r="B45" s="30" t="s">
        <v>88</v>
      </c>
      <c r="C45" s="34">
        <v>4</v>
      </c>
      <c r="D45" s="46">
        <v>3</v>
      </c>
      <c r="E45" s="34">
        <v>4</v>
      </c>
      <c r="F45" s="45">
        <v>4</v>
      </c>
    </row>
    <row r="46" spans="1:6" x14ac:dyDescent="0.25">
      <c r="A46" s="30" t="s">
        <v>86</v>
      </c>
      <c r="B46" s="30" t="s">
        <v>89</v>
      </c>
      <c r="C46" s="34">
        <v>3</v>
      </c>
      <c r="D46" s="46">
        <v>4</v>
      </c>
      <c r="E46" s="34">
        <v>4</v>
      </c>
      <c r="F46" s="46">
        <v>4</v>
      </c>
    </row>
    <row r="47" spans="1:6" x14ac:dyDescent="0.25">
      <c r="A47" s="30" t="s">
        <v>87</v>
      </c>
      <c r="B47" s="30" t="s">
        <v>90</v>
      </c>
      <c r="C47" s="34">
        <v>4</v>
      </c>
      <c r="D47" s="46">
        <v>4</v>
      </c>
      <c r="E47" s="34">
        <v>4</v>
      </c>
      <c r="F47" s="46">
        <v>4</v>
      </c>
    </row>
    <row r="48" spans="1:6" ht="15.75" thickBot="1" x14ac:dyDescent="0.3">
      <c r="A48" s="17" t="s">
        <v>4</v>
      </c>
      <c r="B48" s="18" t="s">
        <v>8</v>
      </c>
      <c r="C48" s="191">
        <v>3.6</v>
      </c>
      <c r="D48" s="58">
        <v>3.6</v>
      </c>
      <c r="E48" s="191">
        <v>4</v>
      </c>
      <c r="F48" s="58">
        <v>4</v>
      </c>
    </row>
    <row r="49" spans="1:6" x14ac:dyDescent="0.25">
      <c r="A49" s="65"/>
      <c r="B49" s="81" t="s">
        <v>248</v>
      </c>
      <c r="C49" s="182"/>
      <c r="D49" s="182"/>
      <c r="E49" s="182"/>
      <c r="F49" s="183"/>
    </row>
    <row r="50" spans="1:6" x14ac:dyDescent="0.25">
      <c r="A50" s="210">
        <v>1</v>
      </c>
      <c r="B50" s="75" t="s">
        <v>224</v>
      </c>
      <c r="C50" s="34">
        <v>4</v>
      </c>
      <c r="D50" s="34">
        <v>4</v>
      </c>
      <c r="E50" s="34">
        <v>4</v>
      </c>
      <c r="F50" s="46">
        <v>4</v>
      </c>
    </row>
    <row r="51" spans="1:6" x14ac:dyDescent="0.25">
      <c r="A51" s="210">
        <v>2</v>
      </c>
      <c r="B51" s="76" t="s">
        <v>225</v>
      </c>
      <c r="C51" s="34">
        <v>4</v>
      </c>
      <c r="D51" s="34">
        <v>4</v>
      </c>
      <c r="E51" s="34">
        <v>4</v>
      </c>
      <c r="F51" s="46">
        <v>4</v>
      </c>
    </row>
    <row r="52" spans="1:6" x14ac:dyDescent="0.25">
      <c r="A52" s="210">
        <v>3</v>
      </c>
      <c r="B52" s="75" t="s">
        <v>226</v>
      </c>
      <c r="C52" s="34">
        <v>4</v>
      </c>
      <c r="D52" s="34">
        <v>4</v>
      </c>
      <c r="E52" s="34">
        <v>4</v>
      </c>
      <c r="F52" s="46">
        <v>4</v>
      </c>
    </row>
    <row r="53" spans="1:6" x14ac:dyDescent="0.25">
      <c r="A53" s="210"/>
      <c r="B53" s="76" t="s">
        <v>227</v>
      </c>
      <c r="C53" s="34"/>
      <c r="D53" s="34"/>
      <c r="E53" s="34"/>
      <c r="F53" s="46"/>
    </row>
    <row r="54" spans="1:6" x14ac:dyDescent="0.25">
      <c r="A54" s="210">
        <v>4</v>
      </c>
      <c r="B54" s="75" t="s">
        <v>228</v>
      </c>
      <c r="C54" s="34">
        <v>4</v>
      </c>
      <c r="D54" s="34">
        <v>4</v>
      </c>
      <c r="E54" s="34">
        <v>4</v>
      </c>
      <c r="F54" s="46">
        <v>4</v>
      </c>
    </row>
    <row r="55" spans="1:6" x14ac:dyDescent="0.25">
      <c r="A55" s="210"/>
      <c r="B55" s="76" t="s">
        <v>229</v>
      </c>
      <c r="C55" s="34"/>
      <c r="D55" s="34"/>
      <c r="E55" s="34"/>
      <c r="F55" s="46"/>
    </row>
    <row r="56" spans="1:6" x14ac:dyDescent="0.25">
      <c r="A56" s="210">
        <v>5</v>
      </c>
      <c r="B56" s="75" t="s">
        <v>230</v>
      </c>
      <c r="C56" s="34">
        <v>4</v>
      </c>
      <c r="D56" s="34">
        <v>4</v>
      </c>
      <c r="E56" s="34">
        <v>4</v>
      </c>
      <c r="F56" s="46">
        <v>4</v>
      </c>
    </row>
    <row r="57" spans="1:6" x14ac:dyDescent="0.25">
      <c r="A57" s="210">
        <v>6</v>
      </c>
      <c r="B57" s="76" t="s">
        <v>231</v>
      </c>
      <c r="C57" s="34">
        <v>4</v>
      </c>
      <c r="D57" s="34">
        <v>4</v>
      </c>
      <c r="E57" s="34">
        <v>4</v>
      </c>
      <c r="F57" s="46">
        <v>4</v>
      </c>
    </row>
    <row r="58" spans="1:6" x14ac:dyDescent="0.25">
      <c r="A58" s="210">
        <v>7</v>
      </c>
      <c r="B58" s="75" t="s">
        <v>232</v>
      </c>
      <c r="C58" s="34">
        <v>4</v>
      </c>
      <c r="D58" s="34">
        <v>4</v>
      </c>
      <c r="E58" s="34">
        <v>4</v>
      </c>
      <c r="F58" s="46">
        <v>4</v>
      </c>
    </row>
    <row r="59" spans="1:6" x14ac:dyDescent="0.25">
      <c r="A59" s="210"/>
      <c r="B59" s="75" t="s">
        <v>233</v>
      </c>
      <c r="C59" s="34"/>
      <c r="D59" s="34"/>
      <c r="E59" s="34"/>
      <c r="F59" s="46"/>
    </row>
    <row r="60" spans="1:6" x14ac:dyDescent="0.25">
      <c r="A60" s="210">
        <v>8</v>
      </c>
      <c r="B60" s="75" t="s">
        <v>234</v>
      </c>
      <c r="C60" s="34">
        <v>4</v>
      </c>
      <c r="D60" s="34">
        <v>4</v>
      </c>
      <c r="E60" s="34">
        <v>4</v>
      </c>
      <c r="F60" s="46">
        <v>4</v>
      </c>
    </row>
    <row r="61" spans="1:6" x14ac:dyDescent="0.25">
      <c r="A61" s="180"/>
      <c r="B61" s="190" t="s">
        <v>235</v>
      </c>
      <c r="C61" s="34"/>
      <c r="D61" s="34"/>
      <c r="E61" s="34"/>
      <c r="F61" s="46"/>
    </row>
    <row r="62" spans="1:6" ht="15.75" thickBot="1" x14ac:dyDescent="0.3">
      <c r="A62" s="17" t="s">
        <v>4</v>
      </c>
      <c r="B62" s="250" t="s">
        <v>8</v>
      </c>
      <c r="C62" s="251">
        <v>4</v>
      </c>
      <c r="D62" s="251">
        <v>4</v>
      </c>
      <c r="E62" s="251">
        <v>4</v>
      </c>
      <c r="F62" s="252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62"/>
  <sheetViews>
    <sheetView workbookViewId="0">
      <selection activeCell="K51" sqref="K51"/>
    </sheetView>
  </sheetViews>
  <sheetFormatPr defaultRowHeight="15" x14ac:dyDescent="0.25"/>
  <cols>
    <col min="1" max="1" width="6" customWidth="1"/>
    <col min="2" max="2" width="111" customWidth="1"/>
  </cols>
  <sheetData>
    <row r="1" spans="1:6" x14ac:dyDescent="0.25">
      <c r="B1" s="4" t="s">
        <v>268</v>
      </c>
      <c r="C1" s="3"/>
      <c r="D1" s="3"/>
    </row>
    <row r="2" spans="1:6" x14ac:dyDescent="0.25">
      <c r="B2" s="5" t="s">
        <v>1</v>
      </c>
      <c r="C2" s="6" t="s">
        <v>54</v>
      </c>
      <c r="D2" s="6" t="s">
        <v>54</v>
      </c>
      <c r="E2" s="6" t="s">
        <v>54</v>
      </c>
      <c r="F2" s="6" t="s">
        <v>54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>
        <v>4</v>
      </c>
      <c r="E7" s="25">
        <v>3</v>
      </c>
      <c r="F7" s="45">
        <v>4</v>
      </c>
    </row>
    <row r="8" spans="1:6" x14ac:dyDescent="0.25">
      <c r="A8" s="39" t="s">
        <v>12</v>
      </c>
      <c r="B8" s="42" t="s">
        <v>32</v>
      </c>
      <c r="C8" s="34">
        <v>4</v>
      </c>
      <c r="D8" s="46">
        <v>4</v>
      </c>
      <c r="E8" s="34">
        <v>4</v>
      </c>
      <c r="F8" s="46">
        <v>4</v>
      </c>
    </row>
    <row r="9" spans="1:6" x14ac:dyDescent="0.25">
      <c r="A9" s="39" t="s">
        <v>14</v>
      </c>
      <c r="B9" s="42" t="s">
        <v>64</v>
      </c>
      <c r="C9" s="34">
        <v>4</v>
      </c>
      <c r="D9" s="46">
        <v>4</v>
      </c>
      <c r="E9" s="34">
        <v>4</v>
      </c>
      <c r="F9" s="46">
        <v>4</v>
      </c>
    </row>
    <row r="10" spans="1:6" x14ac:dyDescent="0.25">
      <c r="A10" s="39" t="s">
        <v>15</v>
      </c>
      <c r="B10" s="42" t="s">
        <v>65</v>
      </c>
      <c r="C10" s="34">
        <v>4</v>
      </c>
      <c r="D10" s="46">
        <v>3</v>
      </c>
      <c r="E10" s="34">
        <v>4</v>
      </c>
      <c r="F10" s="46">
        <v>4</v>
      </c>
    </row>
    <row r="11" spans="1:6" x14ac:dyDescent="0.25">
      <c r="A11" s="40"/>
      <c r="B11" s="33" t="s">
        <v>8</v>
      </c>
      <c r="C11" s="61">
        <v>4</v>
      </c>
      <c r="D11" s="47">
        <v>3.7</v>
      </c>
      <c r="E11" s="61">
        <v>3.7</v>
      </c>
      <c r="F11" s="47">
        <v>4</v>
      </c>
    </row>
    <row r="12" spans="1:6" x14ac:dyDescent="0.25">
      <c r="A12" s="2"/>
      <c r="B12" s="22" t="s">
        <v>7</v>
      </c>
      <c r="C12" s="31"/>
      <c r="D12" s="59"/>
      <c r="E12" s="31" t="s">
        <v>4</v>
      </c>
      <c r="F12" s="48"/>
    </row>
    <row r="13" spans="1:6" ht="15.75" customHeight="1" x14ac:dyDescent="0.25">
      <c r="A13" s="2"/>
      <c r="B13" s="20" t="s">
        <v>16</v>
      </c>
      <c r="C13" s="12"/>
      <c r="D13" s="59"/>
      <c r="E13" s="12"/>
      <c r="F13" s="48"/>
    </row>
    <row r="14" spans="1:6" x14ac:dyDescent="0.25">
      <c r="A14" s="40" t="s">
        <v>17</v>
      </c>
      <c r="B14" s="29" t="s">
        <v>33</v>
      </c>
      <c r="C14" s="25">
        <v>4</v>
      </c>
      <c r="D14" s="46">
        <v>3</v>
      </c>
      <c r="E14" s="25">
        <v>4</v>
      </c>
      <c r="F14" s="46">
        <v>4</v>
      </c>
    </row>
    <row r="15" spans="1:6" x14ac:dyDescent="0.25">
      <c r="A15" s="40" t="s">
        <v>34</v>
      </c>
      <c r="B15" s="29" t="s">
        <v>67</v>
      </c>
      <c r="C15" s="34">
        <v>4</v>
      </c>
      <c r="D15" s="46">
        <v>3</v>
      </c>
      <c r="E15" s="34">
        <v>4</v>
      </c>
      <c r="F15" s="46">
        <v>4</v>
      </c>
    </row>
    <row r="16" spans="1:6" x14ac:dyDescent="0.25">
      <c r="A16" s="40" t="s">
        <v>35</v>
      </c>
      <c r="B16" s="29" t="s">
        <v>68</v>
      </c>
      <c r="C16" s="34">
        <v>3</v>
      </c>
      <c r="D16" s="46">
        <v>4</v>
      </c>
      <c r="E16" s="34">
        <v>3</v>
      </c>
      <c r="F16" s="46">
        <v>4</v>
      </c>
    </row>
    <row r="17" spans="1:6" x14ac:dyDescent="0.25">
      <c r="A17" s="41" t="s">
        <v>66</v>
      </c>
      <c r="B17" s="29" t="s">
        <v>69</v>
      </c>
      <c r="C17" s="34">
        <v>4</v>
      </c>
      <c r="D17" s="46">
        <v>4</v>
      </c>
      <c r="E17" s="34">
        <v>3</v>
      </c>
      <c r="F17" s="46">
        <v>4</v>
      </c>
    </row>
    <row r="18" spans="1:6" x14ac:dyDescent="0.25">
      <c r="A18" s="40"/>
      <c r="B18" s="14" t="s">
        <v>8</v>
      </c>
      <c r="C18" s="61">
        <v>3.7</v>
      </c>
      <c r="D18" s="49">
        <f>AVERAGE(D14:D17)</f>
        <v>3.5</v>
      </c>
      <c r="E18" s="61">
        <f>AVERAGE(E14:E17)</f>
        <v>3.5</v>
      </c>
      <c r="F18" s="49">
        <v>4</v>
      </c>
    </row>
    <row r="19" spans="1:6" x14ac:dyDescent="0.25">
      <c r="A19" s="2"/>
      <c r="B19" s="22" t="s">
        <v>70</v>
      </c>
      <c r="C19" s="12" t="s">
        <v>4</v>
      </c>
      <c r="D19" s="59"/>
      <c r="E19" s="12"/>
      <c r="F19" s="48"/>
    </row>
    <row r="20" spans="1:6" ht="13.5" customHeight="1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4</v>
      </c>
      <c r="D21" s="50">
        <v>4</v>
      </c>
      <c r="E21" s="25">
        <v>4</v>
      </c>
      <c r="F21" s="50">
        <v>4</v>
      </c>
    </row>
    <row r="22" spans="1:6" x14ac:dyDescent="0.25">
      <c r="A22" s="40" t="s">
        <v>72</v>
      </c>
      <c r="B22" s="24" t="s">
        <v>76</v>
      </c>
      <c r="C22" s="36">
        <v>4</v>
      </c>
      <c r="D22" s="51">
        <v>4</v>
      </c>
      <c r="E22" s="36">
        <v>4</v>
      </c>
      <c r="F22" s="51">
        <v>4</v>
      </c>
    </row>
    <row r="23" spans="1:6" x14ac:dyDescent="0.25">
      <c r="A23" s="40" t="s">
        <v>73</v>
      </c>
      <c r="B23" s="24" t="s">
        <v>77</v>
      </c>
      <c r="C23" s="36">
        <v>3</v>
      </c>
      <c r="D23" s="51">
        <v>4</v>
      </c>
      <c r="E23" s="36">
        <v>3</v>
      </c>
      <c r="F23" s="51">
        <v>4</v>
      </c>
    </row>
    <row r="24" spans="1:6" x14ac:dyDescent="0.25">
      <c r="A24" s="3"/>
      <c r="B24" s="14" t="s">
        <v>8</v>
      </c>
      <c r="C24" s="62">
        <v>3.6</v>
      </c>
      <c r="D24" s="49">
        <v>4</v>
      </c>
      <c r="E24" s="62">
        <v>3.7</v>
      </c>
      <c r="F24" s="49">
        <v>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>
        <v>4</v>
      </c>
      <c r="E27" s="25">
        <v>4</v>
      </c>
      <c r="F27" s="45">
        <v>4</v>
      </c>
    </row>
    <row r="28" spans="1:6" x14ac:dyDescent="0.25">
      <c r="A28" s="1" t="s">
        <v>22</v>
      </c>
      <c r="B28" s="30" t="s">
        <v>37</v>
      </c>
      <c r="C28" s="34">
        <v>4</v>
      </c>
      <c r="D28" s="46">
        <v>4</v>
      </c>
      <c r="E28" s="34">
        <v>3</v>
      </c>
      <c r="F28" s="46">
        <v>4</v>
      </c>
    </row>
    <row r="29" spans="1:6" x14ac:dyDescent="0.25">
      <c r="A29" s="1" t="s">
        <v>23</v>
      </c>
      <c r="B29" s="30" t="s">
        <v>38</v>
      </c>
      <c r="C29" s="34">
        <v>3</v>
      </c>
      <c r="D29" s="46">
        <v>4</v>
      </c>
      <c r="E29" s="34">
        <v>3</v>
      </c>
      <c r="F29" s="46">
        <v>4</v>
      </c>
    </row>
    <row r="30" spans="1:6" x14ac:dyDescent="0.25">
      <c r="A30" s="1"/>
      <c r="B30" s="14" t="s">
        <v>8</v>
      </c>
      <c r="C30" s="62">
        <v>3.6</v>
      </c>
      <c r="D30" s="47">
        <v>4</v>
      </c>
      <c r="E30" s="62">
        <v>3.3</v>
      </c>
      <c r="F30" s="47">
        <v>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3</v>
      </c>
      <c r="D32" s="46">
        <v>3</v>
      </c>
      <c r="E32" s="25">
        <v>3</v>
      </c>
      <c r="F32" s="46">
        <v>4</v>
      </c>
    </row>
    <row r="33" spans="1:6" x14ac:dyDescent="0.25">
      <c r="A33" s="1" t="s">
        <v>24</v>
      </c>
      <c r="B33" s="30" t="s">
        <v>40</v>
      </c>
      <c r="C33" s="34">
        <v>3</v>
      </c>
      <c r="D33" s="46">
        <v>4</v>
      </c>
      <c r="E33" s="34">
        <v>3</v>
      </c>
      <c r="F33" s="46">
        <v>4</v>
      </c>
    </row>
    <row r="34" spans="1:6" x14ac:dyDescent="0.25">
      <c r="A34" s="1" t="s">
        <v>25</v>
      </c>
      <c r="B34" s="30" t="s">
        <v>78</v>
      </c>
      <c r="C34" s="34">
        <v>4</v>
      </c>
      <c r="D34" s="46">
        <v>4</v>
      </c>
      <c r="E34" s="34">
        <v>4</v>
      </c>
      <c r="F34" s="46">
        <v>4</v>
      </c>
    </row>
    <row r="35" spans="1:6" x14ac:dyDescent="0.25">
      <c r="A35" s="1" t="s">
        <v>26</v>
      </c>
      <c r="B35" s="30" t="s">
        <v>79</v>
      </c>
      <c r="C35" s="34">
        <v>4</v>
      </c>
      <c r="D35" s="46">
        <v>4</v>
      </c>
      <c r="E35" s="34">
        <v>4</v>
      </c>
      <c r="F35" s="46">
        <v>4</v>
      </c>
    </row>
    <row r="36" spans="1:6" x14ac:dyDescent="0.25">
      <c r="A36" s="3"/>
      <c r="B36" s="14" t="s">
        <v>8</v>
      </c>
      <c r="C36" s="62">
        <f>AVERAGE(C32:C35)</f>
        <v>3.5</v>
      </c>
      <c r="D36" s="47"/>
      <c r="E36" s="62"/>
      <c r="F36" s="47">
        <v>4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4</v>
      </c>
      <c r="D38" s="45">
        <v>4</v>
      </c>
      <c r="E38" s="25">
        <v>3</v>
      </c>
      <c r="F38" s="45">
        <v>4</v>
      </c>
    </row>
    <row r="39" spans="1:6" x14ac:dyDescent="0.25">
      <c r="A39" s="1" t="s">
        <v>28</v>
      </c>
      <c r="B39" s="30" t="s">
        <v>80</v>
      </c>
      <c r="C39" s="34">
        <v>4</v>
      </c>
      <c r="D39" s="46">
        <v>4</v>
      </c>
      <c r="E39" s="34">
        <v>3</v>
      </c>
      <c r="F39" s="46">
        <v>4</v>
      </c>
    </row>
    <row r="40" spans="1:6" x14ac:dyDescent="0.25">
      <c r="A40" s="1" t="s">
        <v>29</v>
      </c>
      <c r="B40" s="30" t="s">
        <v>81</v>
      </c>
      <c r="C40" s="34">
        <v>3</v>
      </c>
      <c r="D40" s="46">
        <v>4</v>
      </c>
      <c r="E40" s="34">
        <v>4</v>
      </c>
      <c r="F40" s="46">
        <v>4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3</v>
      </c>
      <c r="E41" s="34">
        <v>4</v>
      </c>
      <c r="F41" s="46">
        <v>4</v>
      </c>
    </row>
    <row r="42" spans="1:6" x14ac:dyDescent="0.25">
      <c r="A42" s="26" t="s">
        <v>4</v>
      </c>
      <c r="B42" s="14" t="s">
        <v>8</v>
      </c>
      <c r="C42" s="63">
        <v>3.7</v>
      </c>
      <c r="D42" s="56">
        <f>COUNT(D38:D41)</f>
        <v>4</v>
      </c>
      <c r="E42" s="63">
        <v>3.5</v>
      </c>
      <c r="F42" s="56">
        <v>4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15"/>
      <c r="D44" s="52"/>
      <c r="E44" s="15"/>
      <c r="F44" s="52"/>
    </row>
    <row r="45" spans="1:6" x14ac:dyDescent="0.25">
      <c r="A45" s="30" t="s">
        <v>85</v>
      </c>
      <c r="B45" s="30" t="s">
        <v>88</v>
      </c>
      <c r="C45" s="34">
        <v>4</v>
      </c>
      <c r="D45" s="46">
        <v>3</v>
      </c>
      <c r="E45" s="34">
        <v>4</v>
      </c>
      <c r="F45" s="45">
        <v>4</v>
      </c>
    </row>
    <row r="46" spans="1:6" x14ac:dyDescent="0.25">
      <c r="A46" s="30" t="s">
        <v>86</v>
      </c>
      <c r="B46" s="30" t="s">
        <v>89</v>
      </c>
      <c r="C46" s="34">
        <v>4</v>
      </c>
      <c r="D46" s="46">
        <v>4</v>
      </c>
      <c r="E46" s="34">
        <v>4</v>
      </c>
      <c r="F46" s="46">
        <v>4</v>
      </c>
    </row>
    <row r="47" spans="1:6" x14ac:dyDescent="0.25">
      <c r="A47" s="30" t="s">
        <v>87</v>
      </c>
      <c r="B47" s="30" t="s">
        <v>90</v>
      </c>
      <c r="C47" s="34">
        <v>4</v>
      </c>
      <c r="D47" s="46">
        <v>4</v>
      </c>
      <c r="E47" s="34">
        <v>4</v>
      </c>
      <c r="F47" s="46">
        <v>4</v>
      </c>
    </row>
    <row r="48" spans="1:6" ht="15.75" thickBot="1" x14ac:dyDescent="0.3">
      <c r="A48" s="17" t="s">
        <v>4</v>
      </c>
      <c r="B48" s="18" t="s">
        <v>8</v>
      </c>
      <c r="C48" s="191">
        <v>4</v>
      </c>
      <c r="D48" s="58">
        <v>4</v>
      </c>
      <c r="E48" s="191">
        <v>4</v>
      </c>
      <c r="F48" s="58">
        <v>4</v>
      </c>
    </row>
    <row r="49" spans="1:6" x14ac:dyDescent="0.25">
      <c r="A49" s="65"/>
      <c r="B49" s="81" t="s">
        <v>248</v>
      </c>
      <c r="C49" s="182"/>
      <c r="D49" s="182"/>
      <c r="E49" s="182"/>
      <c r="F49" s="183"/>
    </row>
    <row r="50" spans="1:6" x14ac:dyDescent="0.25">
      <c r="A50" s="210">
        <v>1</v>
      </c>
      <c r="B50" s="75" t="s">
        <v>224</v>
      </c>
      <c r="C50" s="34">
        <v>4</v>
      </c>
      <c r="D50" s="34">
        <v>4</v>
      </c>
      <c r="E50" s="34">
        <v>4</v>
      </c>
      <c r="F50" s="46">
        <v>4</v>
      </c>
    </row>
    <row r="51" spans="1:6" x14ac:dyDescent="0.25">
      <c r="A51" s="210">
        <v>2</v>
      </c>
      <c r="B51" s="76" t="s">
        <v>225</v>
      </c>
      <c r="C51" s="34">
        <v>4</v>
      </c>
      <c r="D51" s="34">
        <v>4</v>
      </c>
      <c r="E51" s="34">
        <v>4</v>
      </c>
      <c r="F51" s="46">
        <v>4</v>
      </c>
    </row>
    <row r="52" spans="1:6" x14ac:dyDescent="0.25">
      <c r="A52" s="210">
        <v>3</v>
      </c>
      <c r="B52" s="75" t="s">
        <v>226</v>
      </c>
      <c r="C52" s="34">
        <v>4</v>
      </c>
      <c r="D52" s="34">
        <v>4</v>
      </c>
      <c r="E52" s="34">
        <v>3</v>
      </c>
      <c r="F52" s="46">
        <v>4</v>
      </c>
    </row>
    <row r="53" spans="1:6" x14ac:dyDescent="0.25">
      <c r="A53" s="210"/>
      <c r="B53" s="76" t="s">
        <v>227</v>
      </c>
      <c r="C53" s="34"/>
      <c r="D53" s="34"/>
      <c r="E53" s="34"/>
      <c r="F53" s="46"/>
    </row>
    <row r="54" spans="1:6" x14ac:dyDescent="0.25">
      <c r="A54" s="210">
        <v>4</v>
      </c>
      <c r="B54" s="75" t="s">
        <v>228</v>
      </c>
      <c r="C54" s="34">
        <v>4</v>
      </c>
      <c r="D54" s="34">
        <v>4</v>
      </c>
      <c r="E54" s="34">
        <v>4</v>
      </c>
      <c r="F54" s="46">
        <v>4</v>
      </c>
    </row>
    <row r="55" spans="1:6" x14ac:dyDescent="0.25">
      <c r="A55" s="210"/>
      <c r="B55" s="76" t="s">
        <v>229</v>
      </c>
      <c r="C55" s="34"/>
      <c r="D55" s="34"/>
      <c r="E55" s="34"/>
      <c r="F55" s="46"/>
    </row>
    <row r="56" spans="1:6" x14ac:dyDescent="0.25">
      <c r="A56" s="210">
        <v>5</v>
      </c>
      <c r="B56" s="75" t="s">
        <v>230</v>
      </c>
      <c r="C56" s="34">
        <v>4</v>
      </c>
      <c r="D56" s="34">
        <v>4</v>
      </c>
      <c r="E56" s="34">
        <v>4</v>
      </c>
      <c r="F56" s="46">
        <v>4</v>
      </c>
    </row>
    <row r="57" spans="1:6" x14ac:dyDescent="0.25">
      <c r="A57" s="210">
        <v>6</v>
      </c>
      <c r="B57" s="76" t="s">
        <v>231</v>
      </c>
      <c r="C57" s="34">
        <v>4</v>
      </c>
      <c r="D57" s="34">
        <v>4</v>
      </c>
      <c r="E57" s="34">
        <v>4</v>
      </c>
      <c r="F57" s="46">
        <v>4</v>
      </c>
    </row>
    <row r="58" spans="1:6" x14ac:dyDescent="0.25">
      <c r="A58" s="210">
        <v>7</v>
      </c>
      <c r="B58" s="75" t="s">
        <v>232</v>
      </c>
      <c r="C58" s="34">
        <v>4</v>
      </c>
      <c r="D58" s="34">
        <v>4</v>
      </c>
      <c r="E58" s="34">
        <v>4</v>
      </c>
      <c r="F58" s="46">
        <v>4</v>
      </c>
    </row>
    <row r="59" spans="1:6" x14ac:dyDescent="0.25">
      <c r="A59" s="210"/>
      <c r="B59" s="75" t="s">
        <v>233</v>
      </c>
      <c r="C59" s="34"/>
      <c r="D59" s="34"/>
      <c r="E59" s="34"/>
      <c r="F59" s="46"/>
    </row>
    <row r="60" spans="1:6" x14ac:dyDescent="0.25">
      <c r="A60" s="210">
        <v>8</v>
      </c>
      <c r="B60" s="75" t="s">
        <v>234</v>
      </c>
      <c r="C60" s="34">
        <v>4</v>
      </c>
      <c r="D60" s="34">
        <v>4</v>
      </c>
      <c r="E60" s="34">
        <v>4</v>
      </c>
      <c r="F60" s="46">
        <v>4</v>
      </c>
    </row>
    <row r="61" spans="1:6" x14ac:dyDescent="0.25">
      <c r="A61" s="180"/>
      <c r="B61" s="190" t="s">
        <v>235</v>
      </c>
      <c r="C61" s="34"/>
      <c r="D61" s="34"/>
      <c r="E61" s="34"/>
      <c r="F61" s="46"/>
    </row>
    <row r="62" spans="1:6" ht="15.75" thickBot="1" x14ac:dyDescent="0.3">
      <c r="A62" s="17" t="s">
        <v>4</v>
      </c>
      <c r="B62" s="250" t="s">
        <v>8</v>
      </c>
      <c r="C62" s="251">
        <v>4</v>
      </c>
      <c r="D62" s="251">
        <v>4</v>
      </c>
      <c r="E62" s="251">
        <v>4</v>
      </c>
      <c r="F62" s="25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72"/>
  <sheetViews>
    <sheetView zoomScale="80" zoomScaleNormal="80" workbookViewId="0">
      <selection activeCell="I64" sqref="I64"/>
    </sheetView>
  </sheetViews>
  <sheetFormatPr defaultRowHeight="15" x14ac:dyDescent="0.25"/>
  <cols>
    <col min="1" max="1" width="5.42578125" customWidth="1"/>
    <col min="2" max="2" width="135.28515625" customWidth="1"/>
  </cols>
  <sheetData>
    <row r="1" spans="1:6" x14ac:dyDescent="0.25">
      <c r="B1" s="4" t="s">
        <v>264</v>
      </c>
      <c r="C1" s="3"/>
      <c r="D1" s="3"/>
    </row>
    <row r="2" spans="1:6" x14ac:dyDescent="0.25">
      <c r="B2" s="5" t="s">
        <v>1</v>
      </c>
      <c r="C2" s="6" t="s">
        <v>55</v>
      </c>
      <c r="D2" s="6" t="s">
        <v>54</v>
      </c>
      <c r="E2" s="6" t="s">
        <v>252</v>
      </c>
      <c r="F2" s="6" t="s">
        <v>54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7.2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>
        <v>4</v>
      </c>
      <c r="E7" s="25"/>
      <c r="F7" s="45">
        <v>4</v>
      </c>
    </row>
    <row r="8" spans="1:6" x14ac:dyDescent="0.25">
      <c r="A8" s="39" t="s">
        <v>12</v>
      </c>
      <c r="B8" s="42" t="s">
        <v>32</v>
      </c>
      <c r="C8" s="34">
        <v>4</v>
      </c>
      <c r="D8" s="46">
        <v>4</v>
      </c>
      <c r="E8" s="34"/>
      <c r="F8" s="46">
        <v>4</v>
      </c>
    </row>
    <row r="9" spans="1:6" x14ac:dyDescent="0.25">
      <c r="A9" s="39" t="s">
        <v>14</v>
      </c>
      <c r="B9" s="42" t="s">
        <v>64</v>
      </c>
      <c r="C9" s="34">
        <v>3.5</v>
      </c>
      <c r="D9" s="46">
        <v>4</v>
      </c>
      <c r="E9" s="34"/>
      <c r="F9" s="46">
        <v>4</v>
      </c>
    </row>
    <row r="10" spans="1:6" x14ac:dyDescent="0.25">
      <c r="A10" s="39" t="s">
        <v>15</v>
      </c>
      <c r="B10" s="42" t="s">
        <v>65</v>
      </c>
      <c r="C10" s="34">
        <v>4</v>
      </c>
      <c r="D10" s="46">
        <v>4</v>
      </c>
      <c r="E10" s="34"/>
      <c r="F10" s="46">
        <v>4</v>
      </c>
    </row>
    <row r="11" spans="1:6" x14ac:dyDescent="0.25">
      <c r="A11" s="40"/>
      <c r="B11" s="33" t="s">
        <v>8</v>
      </c>
      <c r="C11" s="61"/>
      <c r="D11" s="47">
        <v>4</v>
      </c>
      <c r="E11" s="61"/>
      <c r="F11" s="47">
        <v>4</v>
      </c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ht="15.75" customHeight="1" x14ac:dyDescent="0.25">
      <c r="A13" s="2"/>
      <c r="B13" s="20" t="s">
        <v>16</v>
      </c>
      <c r="C13" s="12"/>
      <c r="D13" s="59"/>
      <c r="E13" s="12"/>
      <c r="F13" s="48"/>
    </row>
    <row r="14" spans="1:6" x14ac:dyDescent="0.25">
      <c r="A14" s="40" t="s">
        <v>17</v>
      </c>
      <c r="B14" s="29" t="s">
        <v>33</v>
      </c>
      <c r="C14" s="25">
        <v>4</v>
      </c>
      <c r="D14" s="46">
        <v>4</v>
      </c>
      <c r="E14" s="25"/>
      <c r="F14" s="46">
        <v>4</v>
      </c>
    </row>
    <row r="15" spans="1:6" x14ac:dyDescent="0.25">
      <c r="A15" s="40" t="s">
        <v>34</v>
      </c>
      <c r="B15" s="29" t="s">
        <v>67</v>
      </c>
      <c r="C15" s="34">
        <v>4</v>
      </c>
      <c r="D15" s="46">
        <v>4</v>
      </c>
      <c r="E15" s="34"/>
      <c r="F15" s="46">
        <v>4</v>
      </c>
    </row>
    <row r="16" spans="1:6" x14ac:dyDescent="0.25">
      <c r="A16" s="40" t="s">
        <v>35</v>
      </c>
      <c r="B16" s="29" t="s">
        <v>68</v>
      </c>
      <c r="C16" s="34">
        <v>4</v>
      </c>
      <c r="D16" s="46">
        <v>4</v>
      </c>
      <c r="E16" s="34"/>
      <c r="F16" s="46">
        <v>4</v>
      </c>
    </row>
    <row r="17" spans="1:6" x14ac:dyDescent="0.25">
      <c r="A17" s="41" t="s">
        <v>66</v>
      </c>
      <c r="B17" s="29" t="s">
        <v>69</v>
      </c>
      <c r="C17" s="34">
        <v>4</v>
      </c>
      <c r="D17" s="46">
        <v>4</v>
      </c>
      <c r="E17" s="34"/>
      <c r="F17" s="46">
        <v>4</v>
      </c>
    </row>
    <row r="18" spans="1:6" x14ac:dyDescent="0.25">
      <c r="A18" s="40"/>
      <c r="B18" s="14" t="s">
        <v>8</v>
      </c>
      <c r="C18" s="61"/>
      <c r="D18" s="49">
        <v>4</v>
      </c>
      <c r="E18" s="61"/>
      <c r="F18" s="49">
        <v>4</v>
      </c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ht="13.5" customHeight="1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3.5</v>
      </c>
      <c r="D21" s="50">
        <v>4</v>
      </c>
      <c r="E21" s="25"/>
      <c r="F21" s="50">
        <v>4</v>
      </c>
    </row>
    <row r="22" spans="1:6" x14ac:dyDescent="0.25">
      <c r="A22" s="40" t="s">
        <v>72</v>
      </c>
      <c r="B22" s="24" t="s">
        <v>76</v>
      </c>
      <c r="C22" s="36">
        <v>3.5</v>
      </c>
      <c r="D22" s="51">
        <v>4</v>
      </c>
      <c r="E22" s="36"/>
      <c r="F22" s="51">
        <v>4</v>
      </c>
    </row>
    <row r="23" spans="1:6" x14ac:dyDescent="0.25">
      <c r="A23" s="40" t="s">
        <v>73</v>
      </c>
      <c r="B23" s="24" t="s">
        <v>77</v>
      </c>
      <c r="C23" s="36">
        <v>4</v>
      </c>
      <c r="D23" s="51">
        <v>4</v>
      </c>
      <c r="E23" s="36"/>
      <c r="F23" s="51">
        <v>4</v>
      </c>
    </row>
    <row r="24" spans="1:6" x14ac:dyDescent="0.25">
      <c r="A24" s="3"/>
      <c r="B24" s="14" t="s">
        <v>8</v>
      </c>
      <c r="C24" s="62"/>
      <c r="D24" s="49">
        <v>4</v>
      </c>
      <c r="E24" s="62"/>
      <c r="F24" s="49">
        <v>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>
        <v>4</v>
      </c>
      <c r="E27" s="25"/>
      <c r="F27" s="53">
        <v>4</v>
      </c>
    </row>
    <row r="28" spans="1:6" x14ac:dyDescent="0.25">
      <c r="A28" s="1" t="s">
        <v>22</v>
      </c>
      <c r="B28" s="30" t="s">
        <v>37</v>
      </c>
      <c r="C28" s="34">
        <v>4</v>
      </c>
      <c r="D28" s="46">
        <v>4</v>
      </c>
      <c r="E28" s="34"/>
      <c r="F28" s="54">
        <v>4</v>
      </c>
    </row>
    <row r="29" spans="1:6" x14ac:dyDescent="0.25">
      <c r="A29" s="1" t="s">
        <v>23</v>
      </c>
      <c r="B29" s="30" t="s">
        <v>38</v>
      </c>
      <c r="C29" s="34">
        <v>4</v>
      </c>
      <c r="D29" s="46">
        <v>4</v>
      </c>
      <c r="E29" s="34"/>
      <c r="F29" s="46">
        <v>4</v>
      </c>
    </row>
    <row r="30" spans="1:6" x14ac:dyDescent="0.25">
      <c r="A30" s="1"/>
      <c r="B30" s="14" t="s">
        <v>8</v>
      </c>
      <c r="C30" s="62">
        <v>4</v>
      </c>
      <c r="D30" s="47">
        <v>4</v>
      </c>
      <c r="E30" s="62"/>
      <c r="F30" s="47">
        <v>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3.5</v>
      </c>
      <c r="D32" s="46">
        <v>4</v>
      </c>
      <c r="E32" s="25"/>
      <c r="F32" s="46">
        <v>4</v>
      </c>
    </row>
    <row r="33" spans="1:6" x14ac:dyDescent="0.25">
      <c r="A33" s="1" t="s">
        <v>24</v>
      </c>
      <c r="B33" s="30" t="s">
        <v>40</v>
      </c>
      <c r="C33" s="34">
        <v>4</v>
      </c>
      <c r="D33" s="46">
        <v>4</v>
      </c>
      <c r="E33" s="34"/>
      <c r="F33" s="46">
        <v>4</v>
      </c>
    </row>
    <row r="34" spans="1:6" x14ac:dyDescent="0.25">
      <c r="A34" s="1" t="s">
        <v>25</v>
      </c>
      <c r="B34" s="30" t="s">
        <v>78</v>
      </c>
      <c r="C34" s="34">
        <v>4</v>
      </c>
      <c r="D34" s="46">
        <v>4</v>
      </c>
      <c r="E34" s="34"/>
      <c r="F34" s="46">
        <v>4</v>
      </c>
    </row>
    <row r="35" spans="1:6" x14ac:dyDescent="0.25">
      <c r="A35" s="1" t="s">
        <v>26</v>
      </c>
      <c r="B35" s="30" t="s">
        <v>79</v>
      </c>
      <c r="C35" s="34">
        <v>3.5</v>
      </c>
      <c r="D35" s="46">
        <v>4</v>
      </c>
      <c r="E35" s="34"/>
      <c r="F35" s="46">
        <v>4</v>
      </c>
    </row>
    <row r="36" spans="1:6" x14ac:dyDescent="0.25">
      <c r="A36" s="3"/>
      <c r="B36" s="14" t="s">
        <v>8</v>
      </c>
      <c r="C36" s="62"/>
      <c r="D36" s="47">
        <v>4</v>
      </c>
      <c r="E36" s="62"/>
      <c r="F36" s="47">
        <v>4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4</v>
      </c>
      <c r="D38" s="45">
        <v>4</v>
      </c>
      <c r="E38" s="25"/>
      <c r="F38" s="45">
        <v>4</v>
      </c>
    </row>
    <row r="39" spans="1:6" x14ac:dyDescent="0.25">
      <c r="A39" s="1" t="s">
        <v>28</v>
      </c>
      <c r="B39" s="30" t="s">
        <v>80</v>
      </c>
      <c r="C39" s="34">
        <v>4</v>
      </c>
      <c r="D39" s="46">
        <v>4</v>
      </c>
      <c r="E39" s="34"/>
      <c r="F39" s="46">
        <v>4</v>
      </c>
    </row>
    <row r="40" spans="1:6" x14ac:dyDescent="0.25">
      <c r="A40" s="1" t="s">
        <v>29</v>
      </c>
      <c r="B40" s="30" t="s">
        <v>81</v>
      </c>
      <c r="C40" s="34">
        <v>4</v>
      </c>
      <c r="D40" s="46">
        <v>4</v>
      </c>
      <c r="E40" s="34"/>
      <c r="F40" s="46">
        <v>4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4</v>
      </c>
      <c r="E41" s="34"/>
      <c r="F41" s="46">
        <v>4</v>
      </c>
    </row>
    <row r="42" spans="1:6" x14ac:dyDescent="0.25">
      <c r="A42" s="26" t="s">
        <v>4</v>
      </c>
      <c r="B42" s="14" t="s">
        <v>8</v>
      </c>
      <c r="C42" s="63">
        <v>4</v>
      </c>
      <c r="D42" s="56">
        <v>4</v>
      </c>
      <c r="E42" s="63"/>
      <c r="F42" s="56">
        <v>4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15"/>
      <c r="D44" s="52"/>
      <c r="E44" s="15"/>
      <c r="F44" s="52"/>
    </row>
    <row r="45" spans="1:6" x14ac:dyDescent="0.25">
      <c r="A45" s="30" t="s">
        <v>85</v>
      </c>
      <c r="B45" s="30" t="s">
        <v>88</v>
      </c>
      <c r="C45" s="34">
        <v>3.5</v>
      </c>
      <c r="D45" s="46">
        <v>4</v>
      </c>
      <c r="E45" s="34"/>
      <c r="F45" s="45">
        <v>4</v>
      </c>
    </row>
    <row r="46" spans="1:6" x14ac:dyDescent="0.25">
      <c r="A46" s="30" t="s">
        <v>86</v>
      </c>
      <c r="B46" s="30" t="s">
        <v>89</v>
      </c>
      <c r="C46" s="34">
        <v>3.5</v>
      </c>
      <c r="D46" s="46">
        <v>4</v>
      </c>
      <c r="E46" s="34"/>
      <c r="F46" s="46">
        <v>4</v>
      </c>
    </row>
    <row r="47" spans="1:6" x14ac:dyDescent="0.25">
      <c r="A47" s="30" t="s">
        <v>87</v>
      </c>
      <c r="B47" s="30" t="s">
        <v>90</v>
      </c>
      <c r="C47" s="34">
        <v>4</v>
      </c>
      <c r="D47" s="46">
        <v>4</v>
      </c>
      <c r="E47" s="34"/>
      <c r="F47" s="46">
        <v>4</v>
      </c>
    </row>
    <row r="48" spans="1:6" ht="15.75" thickBot="1" x14ac:dyDescent="0.3">
      <c r="A48" s="17" t="s">
        <v>4</v>
      </c>
      <c r="B48" s="18" t="s">
        <v>8</v>
      </c>
      <c r="C48" s="191"/>
      <c r="D48" s="58">
        <v>4</v>
      </c>
      <c r="E48" s="191"/>
      <c r="F48" s="58">
        <v>4</v>
      </c>
    </row>
    <row r="49" spans="1:6" x14ac:dyDescent="0.25">
      <c r="A49" s="65"/>
      <c r="B49" s="81" t="s">
        <v>248</v>
      </c>
      <c r="C49" s="181"/>
      <c r="D49" s="240"/>
      <c r="E49" s="240"/>
      <c r="F49" s="181"/>
    </row>
    <row r="50" spans="1:6" x14ac:dyDescent="0.25">
      <c r="A50" s="65">
        <v>1</v>
      </c>
      <c r="B50" s="90" t="s">
        <v>194</v>
      </c>
      <c r="C50" s="46">
        <v>4</v>
      </c>
      <c r="D50" s="34">
        <v>4</v>
      </c>
      <c r="E50" s="34"/>
      <c r="F50" s="46">
        <v>4</v>
      </c>
    </row>
    <row r="51" spans="1:6" x14ac:dyDescent="0.25">
      <c r="A51" s="65">
        <v>2</v>
      </c>
      <c r="B51" s="90" t="s">
        <v>195</v>
      </c>
      <c r="C51" s="46">
        <v>4</v>
      </c>
      <c r="D51" s="34">
        <v>4</v>
      </c>
      <c r="E51" s="34"/>
      <c r="F51" s="46">
        <v>4</v>
      </c>
    </row>
    <row r="52" spans="1:6" x14ac:dyDescent="0.25">
      <c r="A52" s="65">
        <v>3</v>
      </c>
      <c r="B52" s="90" t="s">
        <v>196</v>
      </c>
      <c r="C52" s="46">
        <v>4</v>
      </c>
      <c r="D52" s="34">
        <v>4</v>
      </c>
      <c r="E52" s="34"/>
      <c r="F52" s="46">
        <v>4</v>
      </c>
    </row>
    <row r="53" spans="1:6" x14ac:dyDescent="0.25">
      <c r="A53" s="65">
        <v>4</v>
      </c>
      <c r="B53" s="90" t="s">
        <v>197</v>
      </c>
      <c r="C53" s="46">
        <v>4</v>
      </c>
      <c r="D53" s="34">
        <v>4</v>
      </c>
      <c r="E53" s="34"/>
      <c r="F53" s="46">
        <v>4</v>
      </c>
    </row>
    <row r="54" spans="1:6" x14ac:dyDescent="0.25">
      <c r="A54" s="65">
        <v>5</v>
      </c>
      <c r="B54" s="90" t="s">
        <v>198</v>
      </c>
      <c r="C54" s="46">
        <v>3.5</v>
      </c>
      <c r="D54" s="34">
        <v>4</v>
      </c>
      <c r="E54" s="34"/>
      <c r="F54" s="46">
        <v>4</v>
      </c>
    </row>
    <row r="55" spans="1:6" x14ac:dyDescent="0.25">
      <c r="A55" s="65"/>
      <c r="B55" s="90" t="s">
        <v>199</v>
      </c>
      <c r="C55" s="46"/>
      <c r="D55" s="34"/>
      <c r="E55" s="34"/>
      <c r="F55" s="46"/>
    </row>
    <row r="56" spans="1:6" x14ac:dyDescent="0.25">
      <c r="A56" s="65"/>
      <c r="B56" s="90" t="s">
        <v>200</v>
      </c>
      <c r="C56" s="46"/>
      <c r="D56" s="34"/>
      <c r="E56" s="34"/>
      <c r="F56" s="46"/>
    </row>
    <row r="57" spans="1:6" x14ac:dyDescent="0.25">
      <c r="A57" s="65">
        <v>6</v>
      </c>
      <c r="B57" s="90" t="s">
        <v>201</v>
      </c>
      <c r="C57" s="46">
        <v>4</v>
      </c>
      <c r="D57" s="34">
        <v>4</v>
      </c>
      <c r="E57" s="34"/>
      <c r="F57" s="46">
        <v>4</v>
      </c>
    </row>
    <row r="58" spans="1:6" x14ac:dyDescent="0.25">
      <c r="A58" s="65">
        <v>7</v>
      </c>
      <c r="B58" s="90" t="s">
        <v>202</v>
      </c>
      <c r="C58" s="46">
        <v>4</v>
      </c>
      <c r="D58" s="34">
        <v>4</v>
      </c>
      <c r="E58" s="34"/>
      <c r="F58" s="46">
        <v>4</v>
      </c>
    </row>
    <row r="59" spans="1:6" x14ac:dyDescent="0.25">
      <c r="A59" s="65">
        <v>8</v>
      </c>
      <c r="B59" s="90" t="s">
        <v>203</v>
      </c>
      <c r="C59" s="46">
        <v>4</v>
      </c>
      <c r="D59" s="34">
        <v>4</v>
      </c>
      <c r="E59" s="34"/>
      <c r="F59" s="46">
        <v>4</v>
      </c>
    </row>
    <row r="60" spans="1:6" x14ac:dyDescent="0.25">
      <c r="A60" s="65"/>
      <c r="B60" s="90" t="s">
        <v>204</v>
      </c>
      <c r="C60" s="46"/>
      <c r="D60" s="34" t="s">
        <v>4</v>
      </c>
      <c r="E60" s="34"/>
      <c r="F60" s="46"/>
    </row>
    <row r="61" spans="1:6" x14ac:dyDescent="0.25">
      <c r="A61" s="65">
        <v>9</v>
      </c>
      <c r="B61" s="90" t="s">
        <v>205</v>
      </c>
      <c r="C61" s="46">
        <v>3.5</v>
      </c>
      <c r="D61" s="34">
        <v>4</v>
      </c>
      <c r="E61" s="34"/>
      <c r="F61" s="46">
        <v>4</v>
      </c>
    </row>
    <row r="62" spans="1:6" x14ac:dyDescent="0.25">
      <c r="A62" s="65"/>
      <c r="B62" s="75" t="s">
        <v>206</v>
      </c>
      <c r="C62" s="46"/>
      <c r="D62" s="34"/>
      <c r="E62" s="34"/>
      <c r="F62" s="46"/>
    </row>
    <row r="63" spans="1:6" x14ac:dyDescent="0.25">
      <c r="A63" s="65">
        <v>10</v>
      </c>
      <c r="B63" s="90" t="s">
        <v>207</v>
      </c>
      <c r="C63" s="46">
        <v>3.5</v>
      </c>
      <c r="D63" s="34">
        <v>4</v>
      </c>
      <c r="E63" s="34"/>
      <c r="F63" s="46">
        <v>4</v>
      </c>
    </row>
    <row r="64" spans="1:6" x14ac:dyDescent="0.25">
      <c r="A64" s="65"/>
      <c r="B64" s="90" t="s">
        <v>208</v>
      </c>
      <c r="C64" s="46"/>
      <c r="D64" s="34"/>
      <c r="E64" s="34"/>
      <c r="F64" s="46"/>
    </row>
    <row r="65" spans="1:6" x14ac:dyDescent="0.25">
      <c r="A65" s="65">
        <v>11</v>
      </c>
      <c r="B65" s="90" t="s">
        <v>209</v>
      </c>
      <c r="C65" s="46">
        <v>4</v>
      </c>
      <c r="D65" s="34">
        <v>4</v>
      </c>
      <c r="E65" s="34"/>
      <c r="F65" s="46">
        <v>4</v>
      </c>
    </row>
    <row r="66" spans="1:6" x14ac:dyDescent="0.25">
      <c r="A66" s="65">
        <v>12</v>
      </c>
      <c r="B66" s="90" t="s">
        <v>210</v>
      </c>
      <c r="C66" s="46">
        <v>4</v>
      </c>
      <c r="D66" s="34">
        <v>4</v>
      </c>
      <c r="E66" s="34"/>
      <c r="F66" s="46">
        <v>4</v>
      </c>
    </row>
    <row r="67" spans="1:6" x14ac:dyDescent="0.25">
      <c r="A67" s="65">
        <v>13</v>
      </c>
      <c r="B67" s="90" t="s">
        <v>211</v>
      </c>
      <c r="C67" s="46">
        <v>4</v>
      </c>
      <c r="D67" s="34">
        <v>4</v>
      </c>
      <c r="E67" s="34"/>
      <c r="F67" s="46">
        <v>4</v>
      </c>
    </row>
    <row r="68" spans="1:6" x14ac:dyDescent="0.25">
      <c r="A68" s="65"/>
      <c r="B68" s="90" t="s">
        <v>212</v>
      </c>
      <c r="C68" s="46"/>
      <c r="D68" s="34"/>
      <c r="E68" s="34"/>
      <c r="F68" s="46"/>
    </row>
    <row r="69" spans="1:6" x14ac:dyDescent="0.25">
      <c r="A69" s="65">
        <v>14</v>
      </c>
      <c r="B69" s="90" t="s">
        <v>213</v>
      </c>
      <c r="C69" s="46">
        <v>4</v>
      </c>
      <c r="D69" s="34">
        <v>4</v>
      </c>
      <c r="E69" s="34"/>
      <c r="F69" s="46">
        <v>4</v>
      </c>
    </row>
    <row r="70" spans="1:6" x14ac:dyDescent="0.25">
      <c r="A70" s="65">
        <v>15</v>
      </c>
      <c r="B70" s="90" t="s">
        <v>214</v>
      </c>
      <c r="C70" s="46">
        <v>4</v>
      </c>
      <c r="D70" s="34">
        <v>4</v>
      </c>
      <c r="E70" s="34"/>
      <c r="F70" s="46">
        <v>4</v>
      </c>
    </row>
    <row r="71" spans="1:6" x14ac:dyDescent="0.25">
      <c r="A71" s="65">
        <v>16</v>
      </c>
      <c r="B71" s="90" t="s">
        <v>215</v>
      </c>
      <c r="C71" s="46">
        <v>4</v>
      </c>
      <c r="D71" s="34">
        <v>4</v>
      </c>
      <c r="E71" s="34"/>
      <c r="F71" s="46">
        <v>4</v>
      </c>
    </row>
    <row r="72" spans="1:6" ht="15.75" thickBot="1" x14ac:dyDescent="0.3">
      <c r="A72" s="17" t="s">
        <v>4</v>
      </c>
      <c r="B72" s="232" t="s">
        <v>8</v>
      </c>
      <c r="C72" s="236">
        <v>4</v>
      </c>
      <c r="D72" s="61">
        <v>4</v>
      </c>
      <c r="E72" s="61"/>
      <c r="F72" s="220">
        <v>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59"/>
  <sheetViews>
    <sheetView topLeftCell="A20" zoomScale="90" zoomScaleNormal="90" workbookViewId="0">
      <selection activeCell="B61" sqref="B61"/>
    </sheetView>
  </sheetViews>
  <sheetFormatPr defaultRowHeight="15" x14ac:dyDescent="0.25"/>
  <cols>
    <col min="1" max="1" width="4.85546875" customWidth="1"/>
    <col min="2" max="2" width="97.85546875" customWidth="1"/>
  </cols>
  <sheetData>
    <row r="1" spans="1:6" x14ac:dyDescent="0.25">
      <c r="B1" s="4" t="s">
        <v>265</v>
      </c>
      <c r="C1" s="3"/>
      <c r="D1" s="3"/>
    </row>
    <row r="2" spans="1:6" x14ac:dyDescent="0.25">
      <c r="B2" s="5" t="s">
        <v>1</v>
      </c>
      <c r="C2" s="6" t="s">
        <v>54</v>
      </c>
      <c r="D2" s="6" t="s">
        <v>93</v>
      </c>
      <c r="E2" s="6" t="s">
        <v>252</v>
      </c>
      <c r="F2" s="6" t="s">
        <v>252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7.2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/>
      <c r="E7" s="25"/>
      <c r="F7" s="45"/>
    </row>
    <row r="8" spans="1:6" x14ac:dyDescent="0.25">
      <c r="A8" s="39" t="s">
        <v>12</v>
      </c>
      <c r="B8" s="42" t="s">
        <v>32</v>
      </c>
      <c r="C8" s="34">
        <v>4</v>
      </c>
      <c r="D8" s="46"/>
      <c r="E8" s="34"/>
      <c r="F8" s="46"/>
    </row>
    <row r="9" spans="1:6" x14ac:dyDescent="0.25">
      <c r="A9" s="39" t="s">
        <v>14</v>
      </c>
      <c r="B9" s="42" t="s">
        <v>64</v>
      </c>
      <c r="C9" s="34">
        <v>4</v>
      </c>
      <c r="D9" s="46"/>
      <c r="E9" s="34"/>
      <c r="F9" s="46"/>
    </row>
    <row r="10" spans="1:6" x14ac:dyDescent="0.25">
      <c r="A10" s="39" t="s">
        <v>15</v>
      </c>
      <c r="B10" s="42" t="s">
        <v>65</v>
      </c>
      <c r="C10" s="34">
        <v>4</v>
      </c>
      <c r="D10" s="46"/>
      <c r="E10" s="34"/>
      <c r="F10" s="46"/>
    </row>
    <row r="11" spans="1:6" x14ac:dyDescent="0.25">
      <c r="A11" s="40"/>
      <c r="B11" s="33" t="s">
        <v>8</v>
      </c>
      <c r="C11" s="61">
        <v>4</v>
      </c>
      <c r="D11" s="47"/>
      <c r="E11" s="61"/>
      <c r="F11" s="47"/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ht="12.75" customHeight="1" x14ac:dyDescent="0.25">
      <c r="A13" s="2"/>
      <c r="B13" s="20" t="s">
        <v>16</v>
      </c>
      <c r="C13" s="12"/>
      <c r="D13" s="59"/>
      <c r="E13" s="12"/>
      <c r="F13" s="48"/>
    </row>
    <row r="14" spans="1:6" x14ac:dyDescent="0.25">
      <c r="A14" s="40" t="s">
        <v>17</v>
      </c>
      <c r="B14" s="29" t="s">
        <v>33</v>
      </c>
      <c r="C14" s="25">
        <v>4</v>
      </c>
      <c r="D14" s="46"/>
      <c r="E14" s="25"/>
      <c r="F14" s="46"/>
    </row>
    <row r="15" spans="1:6" x14ac:dyDescent="0.25">
      <c r="A15" s="40" t="s">
        <v>34</v>
      </c>
      <c r="B15" s="29" t="s">
        <v>67</v>
      </c>
      <c r="C15" s="34">
        <v>4</v>
      </c>
      <c r="D15" s="46"/>
      <c r="E15" s="34"/>
      <c r="F15" s="46"/>
    </row>
    <row r="16" spans="1:6" x14ac:dyDescent="0.25">
      <c r="A16" s="40" t="s">
        <v>35</v>
      </c>
      <c r="B16" s="29" t="s">
        <v>68</v>
      </c>
      <c r="C16" s="34">
        <v>4</v>
      </c>
      <c r="D16" s="46"/>
      <c r="E16" s="34"/>
      <c r="F16" s="46"/>
    </row>
    <row r="17" spans="1:6" x14ac:dyDescent="0.25">
      <c r="A17" s="41" t="s">
        <v>66</v>
      </c>
      <c r="B17" s="29" t="s">
        <v>69</v>
      </c>
      <c r="C17" s="34">
        <v>4</v>
      </c>
      <c r="D17" s="46"/>
      <c r="E17" s="34"/>
      <c r="F17" s="46"/>
    </row>
    <row r="18" spans="1:6" x14ac:dyDescent="0.25">
      <c r="A18" s="40"/>
      <c r="B18" s="14" t="s">
        <v>8</v>
      </c>
      <c r="C18" s="61">
        <v>4</v>
      </c>
      <c r="D18" s="49"/>
      <c r="E18" s="61"/>
      <c r="F18" s="49"/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ht="14.25" customHeight="1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4</v>
      </c>
      <c r="D21" s="50"/>
      <c r="E21" s="25"/>
      <c r="F21" s="50"/>
    </row>
    <row r="22" spans="1:6" x14ac:dyDescent="0.25">
      <c r="A22" s="40" t="s">
        <v>72</v>
      </c>
      <c r="B22" s="24" t="s">
        <v>76</v>
      </c>
      <c r="C22" s="36">
        <v>4</v>
      </c>
      <c r="D22" s="51"/>
      <c r="E22" s="36"/>
      <c r="F22" s="51"/>
    </row>
    <row r="23" spans="1:6" x14ac:dyDescent="0.25">
      <c r="A23" s="40" t="s">
        <v>73</v>
      </c>
      <c r="B23" s="24" t="s">
        <v>77</v>
      </c>
      <c r="C23" s="36">
        <v>4</v>
      </c>
      <c r="D23" s="51"/>
      <c r="E23" s="36"/>
      <c r="F23" s="51"/>
    </row>
    <row r="24" spans="1:6" x14ac:dyDescent="0.25">
      <c r="A24" s="3"/>
      <c r="B24" s="14" t="s">
        <v>8</v>
      </c>
      <c r="C24" s="62">
        <v>4</v>
      </c>
      <c r="D24" s="49"/>
      <c r="E24" s="62"/>
      <c r="F24" s="49"/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/>
      <c r="E27" s="25"/>
      <c r="F27" s="53"/>
    </row>
    <row r="28" spans="1:6" x14ac:dyDescent="0.25">
      <c r="A28" s="1" t="s">
        <v>22</v>
      </c>
      <c r="B28" s="30" t="s">
        <v>37</v>
      </c>
      <c r="C28" s="34">
        <v>4</v>
      </c>
      <c r="D28" s="46"/>
      <c r="E28" s="34"/>
      <c r="F28" s="54"/>
    </row>
    <row r="29" spans="1:6" x14ac:dyDescent="0.25">
      <c r="A29" s="1" t="s">
        <v>23</v>
      </c>
      <c r="B29" s="30" t="s">
        <v>38</v>
      </c>
      <c r="C29" s="34">
        <v>4</v>
      </c>
      <c r="D29" s="46"/>
      <c r="E29" s="34"/>
      <c r="F29" s="54"/>
    </row>
    <row r="30" spans="1:6" x14ac:dyDescent="0.25">
      <c r="A30" s="1"/>
      <c r="B30" s="14" t="s">
        <v>8</v>
      </c>
      <c r="C30" s="62">
        <v>4</v>
      </c>
      <c r="D30" s="47"/>
      <c r="E30" s="62"/>
      <c r="F30" s="47"/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4</v>
      </c>
      <c r="D32" s="46"/>
      <c r="E32" s="25"/>
      <c r="F32" s="54"/>
    </row>
    <row r="33" spans="1:6" x14ac:dyDescent="0.25">
      <c r="A33" s="1" t="s">
        <v>24</v>
      </c>
      <c r="B33" s="30" t="s">
        <v>40</v>
      </c>
      <c r="C33" s="34">
        <v>4</v>
      </c>
      <c r="D33" s="46"/>
      <c r="E33" s="34"/>
      <c r="F33" s="54"/>
    </row>
    <row r="34" spans="1:6" x14ac:dyDescent="0.25">
      <c r="A34" s="1" t="s">
        <v>25</v>
      </c>
      <c r="B34" s="30" t="s">
        <v>78</v>
      </c>
      <c r="C34" s="34">
        <v>4</v>
      </c>
      <c r="D34" s="46"/>
      <c r="E34" s="34"/>
      <c r="F34" s="54"/>
    </row>
    <row r="35" spans="1:6" x14ac:dyDescent="0.25">
      <c r="A35" s="1" t="s">
        <v>26</v>
      </c>
      <c r="B35" s="30" t="s">
        <v>79</v>
      </c>
      <c r="C35" s="34">
        <v>4</v>
      </c>
      <c r="D35" s="46"/>
      <c r="E35" s="34"/>
      <c r="F35" s="54"/>
    </row>
    <row r="36" spans="1:6" x14ac:dyDescent="0.25">
      <c r="A36" s="3"/>
      <c r="B36" s="14" t="s">
        <v>8</v>
      </c>
      <c r="C36" s="62">
        <v>4</v>
      </c>
      <c r="D36" s="47"/>
      <c r="E36" s="62"/>
      <c r="F36" s="47"/>
    </row>
    <row r="37" spans="1:6" x14ac:dyDescent="0.25">
      <c r="A37" s="1"/>
      <c r="B37" s="10" t="s">
        <v>27</v>
      </c>
      <c r="C37" s="15"/>
      <c r="D37" s="52"/>
      <c r="E37" s="15"/>
      <c r="F37" s="55"/>
    </row>
    <row r="38" spans="1:6" x14ac:dyDescent="0.25">
      <c r="A38" s="1" t="s">
        <v>21</v>
      </c>
      <c r="B38" s="30" t="s">
        <v>41</v>
      </c>
      <c r="C38" s="25">
        <v>4</v>
      </c>
      <c r="D38" s="45"/>
      <c r="E38" s="25"/>
      <c r="F38" s="53"/>
    </row>
    <row r="39" spans="1:6" x14ac:dyDescent="0.25">
      <c r="A39" s="1" t="s">
        <v>28</v>
      </c>
      <c r="B39" s="30" t="s">
        <v>80</v>
      </c>
      <c r="C39" s="34">
        <v>4</v>
      </c>
      <c r="D39" s="46"/>
      <c r="E39" s="34"/>
      <c r="F39" s="54"/>
    </row>
    <row r="40" spans="1:6" x14ac:dyDescent="0.25">
      <c r="A40" s="1" t="s">
        <v>29</v>
      </c>
      <c r="B40" s="30" t="s">
        <v>81</v>
      </c>
      <c r="C40" s="34">
        <v>4</v>
      </c>
      <c r="D40" s="46"/>
      <c r="E40" s="34"/>
      <c r="F40" s="54"/>
    </row>
    <row r="41" spans="1:6" x14ac:dyDescent="0.25">
      <c r="A41" s="1" t="s">
        <v>30</v>
      </c>
      <c r="B41" s="30" t="s">
        <v>82</v>
      </c>
      <c r="C41" s="34">
        <v>4</v>
      </c>
      <c r="D41" s="46"/>
      <c r="E41" s="34"/>
      <c r="F41" s="54"/>
    </row>
    <row r="42" spans="1:6" x14ac:dyDescent="0.25">
      <c r="A42" s="26" t="s">
        <v>4</v>
      </c>
      <c r="B42" s="14" t="s">
        <v>8</v>
      </c>
      <c r="C42" s="63">
        <v>4</v>
      </c>
      <c r="D42" s="56"/>
      <c r="E42" s="63"/>
      <c r="F42" s="56"/>
    </row>
    <row r="43" spans="1:6" x14ac:dyDescent="0.25">
      <c r="B43" s="27" t="s">
        <v>83</v>
      </c>
      <c r="C43" s="15"/>
      <c r="D43" s="60"/>
      <c r="E43" s="15"/>
      <c r="F43" s="57"/>
    </row>
    <row r="44" spans="1:6" x14ac:dyDescent="0.25">
      <c r="B44" s="11" t="s">
        <v>84</v>
      </c>
      <c r="C44" s="15"/>
      <c r="D44" s="52"/>
      <c r="E44" s="15"/>
      <c r="F44" s="55"/>
    </row>
    <row r="45" spans="1:6" x14ac:dyDescent="0.25">
      <c r="A45" s="30" t="s">
        <v>85</v>
      </c>
      <c r="B45" s="30" t="s">
        <v>88</v>
      </c>
      <c r="C45" s="34">
        <v>4</v>
      </c>
      <c r="D45" s="46"/>
      <c r="E45" s="34"/>
      <c r="F45" s="53"/>
    </row>
    <row r="46" spans="1:6" x14ac:dyDescent="0.25">
      <c r="A46" s="30" t="s">
        <v>86</v>
      </c>
      <c r="B46" s="30" t="s">
        <v>89</v>
      </c>
      <c r="C46" s="34">
        <v>4</v>
      </c>
      <c r="D46" s="46"/>
      <c r="E46" s="34"/>
      <c r="F46" s="54"/>
    </row>
    <row r="47" spans="1:6" x14ac:dyDescent="0.25">
      <c r="A47" s="30" t="s">
        <v>87</v>
      </c>
      <c r="B47" s="30" t="s">
        <v>90</v>
      </c>
      <c r="C47" s="34">
        <v>4</v>
      </c>
      <c r="D47" s="46"/>
      <c r="E47" s="34"/>
      <c r="F47" s="54"/>
    </row>
    <row r="48" spans="1:6" ht="15.75" thickBot="1" x14ac:dyDescent="0.3">
      <c r="A48" s="17" t="s">
        <v>4</v>
      </c>
      <c r="B48" s="18" t="s">
        <v>8</v>
      </c>
      <c r="C48" s="191">
        <v>4</v>
      </c>
      <c r="D48" s="58"/>
      <c r="E48" s="191"/>
      <c r="F48" s="58"/>
    </row>
    <row r="49" spans="1:6" x14ac:dyDescent="0.25">
      <c r="A49" s="65">
        <v>1</v>
      </c>
      <c r="B49" s="75" t="s">
        <v>171</v>
      </c>
      <c r="C49" s="51">
        <v>4</v>
      </c>
      <c r="D49" s="244"/>
      <c r="E49" s="241"/>
      <c r="F49" s="241"/>
    </row>
    <row r="50" spans="1:6" x14ac:dyDescent="0.25">
      <c r="A50" s="65">
        <v>2</v>
      </c>
      <c r="B50" s="75" t="s">
        <v>172</v>
      </c>
      <c r="C50" s="51">
        <v>4</v>
      </c>
      <c r="D50" s="16"/>
      <c r="E50" s="21"/>
      <c r="F50" s="21"/>
    </row>
    <row r="51" spans="1:6" x14ac:dyDescent="0.25">
      <c r="A51" s="65">
        <v>3</v>
      </c>
      <c r="B51" s="75" t="s">
        <v>173</v>
      </c>
      <c r="C51" s="51">
        <v>4</v>
      </c>
      <c r="D51" s="16"/>
      <c r="E51" s="21"/>
      <c r="F51" s="21"/>
    </row>
    <row r="52" spans="1:6" x14ac:dyDescent="0.25">
      <c r="A52" s="65">
        <v>4</v>
      </c>
      <c r="B52" s="75" t="s">
        <v>174</v>
      </c>
      <c r="C52" s="51">
        <v>4</v>
      </c>
      <c r="D52" s="16"/>
      <c r="E52" s="21"/>
      <c r="F52" s="21"/>
    </row>
    <row r="53" spans="1:6" x14ac:dyDescent="0.25">
      <c r="A53" s="65">
        <v>5</v>
      </c>
      <c r="B53" s="75" t="s">
        <v>175</v>
      </c>
      <c r="C53" s="51">
        <v>4</v>
      </c>
      <c r="D53" s="16"/>
      <c r="E53" s="21"/>
      <c r="F53" s="21"/>
    </row>
    <row r="54" spans="1:6" x14ac:dyDescent="0.25">
      <c r="A54" s="65">
        <v>6</v>
      </c>
      <c r="B54" s="75" t="s">
        <v>176</v>
      </c>
      <c r="C54" s="51">
        <v>4</v>
      </c>
      <c r="D54" s="16"/>
      <c r="E54" s="21"/>
      <c r="F54" s="21"/>
    </row>
    <row r="55" spans="1:6" x14ac:dyDescent="0.25">
      <c r="A55" s="65">
        <v>7</v>
      </c>
      <c r="B55" s="75" t="s">
        <v>177</v>
      </c>
      <c r="C55" s="51">
        <v>4</v>
      </c>
      <c r="D55" s="16"/>
      <c r="E55" s="21"/>
      <c r="F55" s="21"/>
    </row>
    <row r="56" spans="1:6" x14ac:dyDescent="0.25">
      <c r="A56" s="65">
        <v>8</v>
      </c>
      <c r="B56" s="75" t="s">
        <v>178</v>
      </c>
      <c r="C56" s="51">
        <v>4</v>
      </c>
      <c r="D56" s="16"/>
      <c r="E56" s="21"/>
      <c r="F56" s="21"/>
    </row>
    <row r="57" spans="1:6" x14ac:dyDescent="0.25">
      <c r="A57" s="65">
        <v>9</v>
      </c>
      <c r="B57" s="75" t="s">
        <v>179</v>
      </c>
      <c r="C57" s="51">
        <v>4</v>
      </c>
      <c r="D57" s="16"/>
      <c r="E57" s="21"/>
      <c r="F57" s="21"/>
    </row>
    <row r="58" spans="1:6" x14ac:dyDescent="0.25">
      <c r="A58" s="65">
        <v>10</v>
      </c>
      <c r="B58" s="75" t="s">
        <v>180</v>
      </c>
      <c r="C58" s="51">
        <v>4</v>
      </c>
      <c r="D58" s="169"/>
      <c r="E58" s="242"/>
      <c r="F58" s="21"/>
    </row>
    <row r="59" spans="1:6" ht="15.75" thickBot="1" x14ac:dyDescent="0.3">
      <c r="A59" s="247"/>
      <c r="B59" s="245" t="s">
        <v>8</v>
      </c>
      <c r="C59" s="206">
        <v>4</v>
      </c>
      <c r="D59" s="243"/>
      <c r="E59" s="206"/>
      <c r="F59" s="2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60"/>
  <sheetViews>
    <sheetView zoomScale="80" zoomScaleNormal="80" workbookViewId="0">
      <selection activeCell="I43" sqref="I43:I44"/>
    </sheetView>
  </sheetViews>
  <sheetFormatPr defaultRowHeight="15" x14ac:dyDescent="0.25"/>
  <cols>
    <col min="1" max="1" width="5" customWidth="1"/>
    <col min="2" max="2" width="108.42578125" customWidth="1"/>
  </cols>
  <sheetData>
    <row r="1" spans="1:6" x14ac:dyDescent="0.25">
      <c r="B1" s="4" t="s">
        <v>263</v>
      </c>
      <c r="C1" s="3"/>
      <c r="D1" s="3"/>
    </row>
    <row r="2" spans="1:6" x14ac:dyDescent="0.25">
      <c r="B2" s="5" t="s">
        <v>1</v>
      </c>
      <c r="C2" s="6" t="s">
        <v>56</v>
      </c>
      <c r="D2" s="6" t="s">
        <v>93</v>
      </c>
      <c r="E2" s="6" t="s">
        <v>252</v>
      </c>
      <c r="F2" s="6" t="s">
        <v>55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5.7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/>
      <c r="E7" s="25"/>
      <c r="F7" s="45">
        <v>3.5</v>
      </c>
    </row>
    <row r="8" spans="1:6" x14ac:dyDescent="0.25">
      <c r="A8" s="39" t="s">
        <v>12</v>
      </c>
      <c r="B8" s="42" t="s">
        <v>32</v>
      </c>
      <c r="C8" s="34">
        <v>4</v>
      </c>
      <c r="D8" s="46"/>
      <c r="E8" s="34"/>
      <c r="F8" s="46">
        <v>3.5</v>
      </c>
    </row>
    <row r="9" spans="1:6" x14ac:dyDescent="0.25">
      <c r="A9" s="39" t="s">
        <v>14</v>
      </c>
      <c r="B9" s="42" t="s">
        <v>64</v>
      </c>
      <c r="C9" s="34">
        <v>3.6</v>
      </c>
      <c r="D9" s="46"/>
      <c r="E9" s="34"/>
      <c r="F9" s="46">
        <v>4</v>
      </c>
    </row>
    <row r="10" spans="1:6" x14ac:dyDescent="0.25">
      <c r="A10" s="39" t="s">
        <v>15</v>
      </c>
      <c r="B10" s="42" t="s">
        <v>65</v>
      </c>
      <c r="C10" s="34">
        <v>4</v>
      </c>
      <c r="D10" s="46"/>
      <c r="E10" s="34"/>
      <c r="F10" s="46">
        <v>4</v>
      </c>
    </row>
    <row r="11" spans="1:6" x14ac:dyDescent="0.25">
      <c r="A11" s="40"/>
      <c r="B11" s="33" t="s">
        <v>8</v>
      </c>
      <c r="C11" s="61">
        <f>AVERAGE(C7:C10)</f>
        <v>3.9</v>
      </c>
      <c r="D11" s="47"/>
      <c r="E11" s="61"/>
      <c r="F11" s="47">
        <v>3.7</v>
      </c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ht="14.25" customHeight="1" x14ac:dyDescent="0.25">
      <c r="A13" s="2"/>
      <c r="B13" s="20" t="s">
        <v>16</v>
      </c>
      <c r="C13" s="12"/>
      <c r="D13" s="59"/>
      <c r="E13" s="12"/>
      <c r="F13" s="48"/>
    </row>
    <row r="14" spans="1:6" x14ac:dyDescent="0.25">
      <c r="A14" s="40" t="s">
        <v>17</v>
      </c>
      <c r="B14" s="29" t="s">
        <v>33</v>
      </c>
      <c r="C14" s="25">
        <v>4</v>
      </c>
      <c r="D14" s="46"/>
      <c r="E14" s="25"/>
      <c r="F14" s="46">
        <v>4</v>
      </c>
    </row>
    <row r="15" spans="1:6" x14ac:dyDescent="0.25">
      <c r="A15" s="40" t="s">
        <v>34</v>
      </c>
      <c r="B15" s="29" t="s">
        <v>67</v>
      </c>
      <c r="C15" s="34">
        <v>3.3</v>
      </c>
      <c r="D15" s="46"/>
      <c r="E15" s="34"/>
      <c r="F15" s="46">
        <v>4</v>
      </c>
    </row>
    <row r="16" spans="1:6" x14ac:dyDescent="0.25">
      <c r="A16" s="40" t="s">
        <v>35</v>
      </c>
      <c r="B16" s="29" t="s">
        <v>68</v>
      </c>
      <c r="C16" s="34">
        <v>4</v>
      </c>
      <c r="D16" s="46"/>
      <c r="E16" s="34"/>
      <c r="F16" s="46">
        <v>3.5</v>
      </c>
    </row>
    <row r="17" spans="1:6" x14ac:dyDescent="0.25">
      <c r="A17" s="41" t="s">
        <v>66</v>
      </c>
      <c r="B17" s="29" t="s">
        <v>69</v>
      </c>
      <c r="C17" s="34">
        <v>4</v>
      </c>
      <c r="D17" s="46"/>
      <c r="E17" s="34"/>
      <c r="F17" s="46">
        <v>4</v>
      </c>
    </row>
    <row r="18" spans="1:6" x14ac:dyDescent="0.25">
      <c r="A18" s="40"/>
      <c r="B18" s="14" t="s">
        <v>8</v>
      </c>
      <c r="C18" s="61">
        <v>3.8</v>
      </c>
      <c r="D18" s="49"/>
      <c r="E18" s="61"/>
      <c r="F18" s="49">
        <v>3.8</v>
      </c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ht="15.75" customHeight="1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3</v>
      </c>
      <c r="D21" s="50"/>
      <c r="E21" s="25"/>
      <c r="F21" s="50">
        <v>4</v>
      </c>
    </row>
    <row r="22" spans="1:6" x14ac:dyDescent="0.25">
      <c r="A22" s="40" t="s">
        <v>72</v>
      </c>
      <c r="B22" s="24" t="s">
        <v>76</v>
      </c>
      <c r="C22" s="36">
        <v>4</v>
      </c>
      <c r="D22" s="51"/>
      <c r="E22" s="36"/>
      <c r="F22" s="51">
        <v>4</v>
      </c>
    </row>
    <row r="23" spans="1:6" x14ac:dyDescent="0.25">
      <c r="A23" s="40" t="s">
        <v>73</v>
      </c>
      <c r="B23" s="24" t="s">
        <v>77</v>
      </c>
      <c r="C23" s="36">
        <v>4</v>
      </c>
      <c r="D23" s="51"/>
      <c r="E23" s="36"/>
      <c r="F23" s="51">
        <v>4</v>
      </c>
    </row>
    <row r="24" spans="1:6" x14ac:dyDescent="0.25">
      <c r="A24" s="3"/>
      <c r="B24" s="14" t="s">
        <v>8</v>
      </c>
      <c r="C24" s="62">
        <v>3.7</v>
      </c>
      <c r="D24" s="49"/>
      <c r="E24" s="62"/>
      <c r="F24" s="49">
        <v>4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/>
      <c r="E27" s="25"/>
      <c r="F27" s="45">
        <v>3.5</v>
      </c>
    </row>
    <row r="28" spans="1:6" x14ac:dyDescent="0.25">
      <c r="A28" s="1" t="s">
        <v>22</v>
      </c>
      <c r="B28" s="30" t="s">
        <v>37</v>
      </c>
      <c r="C28" s="34">
        <v>4</v>
      </c>
      <c r="D28" s="46"/>
      <c r="E28" s="34"/>
      <c r="F28" s="46">
        <v>4</v>
      </c>
    </row>
    <row r="29" spans="1:6" x14ac:dyDescent="0.25">
      <c r="A29" s="1" t="s">
        <v>23</v>
      </c>
      <c r="B29" s="30" t="s">
        <v>38</v>
      </c>
      <c r="C29" s="34">
        <v>4</v>
      </c>
      <c r="D29" s="46"/>
      <c r="E29" s="34"/>
      <c r="F29" s="46">
        <v>4</v>
      </c>
    </row>
    <row r="30" spans="1:6" x14ac:dyDescent="0.25">
      <c r="A30" s="1"/>
      <c r="B30" s="14" t="s">
        <v>8</v>
      </c>
      <c r="C30" s="62">
        <v>4</v>
      </c>
      <c r="D30" s="47"/>
      <c r="E30" s="62"/>
      <c r="F30" s="47">
        <v>3.8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4</v>
      </c>
      <c r="D32" s="46"/>
      <c r="E32" s="25"/>
      <c r="F32" s="46">
        <v>3.5</v>
      </c>
    </row>
    <row r="33" spans="1:6" x14ac:dyDescent="0.25">
      <c r="A33" s="1" t="s">
        <v>24</v>
      </c>
      <c r="B33" s="30" t="s">
        <v>40</v>
      </c>
      <c r="C33" s="34">
        <v>4</v>
      </c>
      <c r="D33" s="46"/>
      <c r="E33" s="34"/>
      <c r="F33" s="46">
        <v>3.5</v>
      </c>
    </row>
    <row r="34" spans="1:6" x14ac:dyDescent="0.25">
      <c r="A34" s="1" t="s">
        <v>25</v>
      </c>
      <c r="B34" s="30" t="s">
        <v>78</v>
      </c>
      <c r="C34" s="34">
        <v>3.3</v>
      </c>
      <c r="D34" s="46"/>
      <c r="E34" s="34"/>
      <c r="F34" s="46">
        <v>4</v>
      </c>
    </row>
    <row r="35" spans="1:6" x14ac:dyDescent="0.25">
      <c r="A35" s="1" t="s">
        <v>26</v>
      </c>
      <c r="B35" s="30" t="s">
        <v>79</v>
      </c>
      <c r="C35" s="34">
        <v>4</v>
      </c>
      <c r="D35" s="46"/>
      <c r="E35" s="34"/>
      <c r="F35" s="46">
        <v>3.5</v>
      </c>
    </row>
    <row r="36" spans="1:6" x14ac:dyDescent="0.25">
      <c r="A36" s="3"/>
      <c r="B36" s="14" t="s">
        <v>8</v>
      </c>
      <c r="C36" s="62">
        <v>3.8</v>
      </c>
      <c r="D36" s="47"/>
      <c r="E36" s="62"/>
      <c r="F36" s="47">
        <v>3.6</v>
      </c>
    </row>
    <row r="37" spans="1:6" x14ac:dyDescent="0.25">
      <c r="A37" s="1"/>
      <c r="B37" s="10" t="s">
        <v>27</v>
      </c>
      <c r="C37" s="15" t="s">
        <v>4</v>
      </c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3.3</v>
      </c>
      <c r="D38" s="45"/>
      <c r="E38" s="25"/>
      <c r="F38" s="45">
        <v>4</v>
      </c>
    </row>
    <row r="39" spans="1:6" x14ac:dyDescent="0.25">
      <c r="A39" s="1" t="s">
        <v>28</v>
      </c>
      <c r="B39" s="30" t="s">
        <v>80</v>
      </c>
      <c r="C39" s="34">
        <v>4</v>
      </c>
      <c r="D39" s="46"/>
      <c r="E39" s="34"/>
      <c r="F39" s="46">
        <v>4</v>
      </c>
    </row>
    <row r="40" spans="1:6" x14ac:dyDescent="0.25">
      <c r="A40" s="1" t="s">
        <v>29</v>
      </c>
      <c r="B40" s="30" t="s">
        <v>81</v>
      </c>
      <c r="C40" s="34">
        <v>3.6</v>
      </c>
      <c r="D40" s="46"/>
      <c r="E40" s="34"/>
      <c r="F40" s="46">
        <v>4</v>
      </c>
    </row>
    <row r="41" spans="1:6" x14ac:dyDescent="0.25">
      <c r="A41" s="1" t="s">
        <v>30</v>
      </c>
      <c r="B41" s="30" t="s">
        <v>82</v>
      </c>
      <c r="C41" s="34">
        <v>4</v>
      </c>
      <c r="D41" s="46"/>
      <c r="E41" s="34"/>
      <c r="F41" s="46">
        <v>4</v>
      </c>
    </row>
    <row r="42" spans="1:6" x14ac:dyDescent="0.25">
      <c r="A42" s="26" t="s">
        <v>4</v>
      </c>
      <c r="B42" s="14" t="s">
        <v>8</v>
      </c>
      <c r="C42" s="63">
        <v>3.7</v>
      </c>
      <c r="D42" s="56"/>
      <c r="E42" s="63"/>
      <c r="F42" s="56">
        <v>4</v>
      </c>
    </row>
    <row r="43" spans="1:6" x14ac:dyDescent="0.25">
      <c r="B43" s="27" t="s">
        <v>83</v>
      </c>
      <c r="C43" s="15"/>
      <c r="D43" s="60"/>
      <c r="E43" s="15"/>
      <c r="F43" s="60"/>
    </row>
    <row r="44" spans="1:6" x14ac:dyDescent="0.25">
      <c r="B44" s="11" t="s">
        <v>84</v>
      </c>
      <c r="C44" s="15"/>
      <c r="D44" s="52"/>
      <c r="E44" s="15"/>
      <c r="F44" s="52"/>
    </row>
    <row r="45" spans="1:6" x14ac:dyDescent="0.25">
      <c r="A45" s="30" t="s">
        <v>85</v>
      </c>
      <c r="B45" s="30" t="s">
        <v>88</v>
      </c>
      <c r="C45" s="34">
        <v>3.6</v>
      </c>
      <c r="D45" s="46"/>
      <c r="E45" s="34"/>
      <c r="F45" s="45">
        <v>4</v>
      </c>
    </row>
    <row r="46" spans="1:6" x14ac:dyDescent="0.25">
      <c r="A46" s="30" t="s">
        <v>86</v>
      </c>
      <c r="B46" s="30" t="s">
        <v>89</v>
      </c>
      <c r="C46" s="34">
        <v>4</v>
      </c>
      <c r="D46" s="46"/>
      <c r="E46" s="34"/>
      <c r="F46" s="46">
        <v>4</v>
      </c>
    </row>
    <row r="47" spans="1:6" x14ac:dyDescent="0.25">
      <c r="A47" s="30" t="s">
        <v>87</v>
      </c>
      <c r="B47" s="30" t="s">
        <v>90</v>
      </c>
      <c r="C47" s="34">
        <v>4</v>
      </c>
      <c r="D47" s="46"/>
      <c r="E47" s="34"/>
      <c r="F47" s="46">
        <v>3.5</v>
      </c>
    </row>
    <row r="48" spans="1:6" ht="15.75" thickBot="1" x14ac:dyDescent="0.3">
      <c r="A48" s="17" t="s">
        <v>4</v>
      </c>
      <c r="B48" s="18" t="s">
        <v>8</v>
      </c>
      <c r="C48" s="191">
        <v>3.9</v>
      </c>
      <c r="D48" s="58"/>
      <c r="E48" s="191"/>
      <c r="F48" s="58">
        <v>3.8</v>
      </c>
    </row>
    <row r="49" spans="1:6" x14ac:dyDescent="0.25">
      <c r="A49" s="65"/>
      <c r="B49" s="81" t="s">
        <v>248</v>
      </c>
      <c r="C49" s="28"/>
      <c r="D49" s="28"/>
      <c r="E49" s="28"/>
      <c r="F49" s="221"/>
    </row>
    <row r="50" spans="1:6" x14ac:dyDescent="0.25">
      <c r="A50" s="65">
        <v>1</v>
      </c>
      <c r="B50" s="72" t="s">
        <v>216</v>
      </c>
      <c r="C50" s="25">
        <v>4</v>
      </c>
      <c r="D50" s="249"/>
      <c r="E50" s="246"/>
      <c r="F50" s="45">
        <v>4</v>
      </c>
    </row>
    <row r="51" spans="1:6" x14ac:dyDescent="0.25">
      <c r="A51" s="65">
        <v>2</v>
      </c>
      <c r="B51" s="72" t="s">
        <v>217</v>
      </c>
      <c r="C51" s="34">
        <v>4</v>
      </c>
      <c r="D51" s="16"/>
      <c r="E51" s="21"/>
      <c r="F51" s="46">
        <v>4</v>
      </c>
    </row>
    <row r="52" spans="1:6" x14ac:dyDescent="0.25">
      <c r="A52" s="65">
        <v>3</v>
      </c>
      <c r="B52" s="72" t="s">
        <v>218</v>
      </c>
      <c r="C52" s="34">
        <v>4</v>
      </c>
      <c r="D52" s="16"/>
      <c r="E52" s="21"/>
      <c r="F52" s="46">
        <v>4</v>
      </c>
    </row>
    <row r="53" spans="1:6" x14ac:dyDescent="0.25">
      <c r="A53" s="65">
        <v>4</v>
      </c>
      <c r="B53" s="72" t="s">
        <v>219</v>
      </c>
      <c r="C53" s="34">
        <v>4</v>
      </c>
      <c r="D53" s="16"/>
      <c r="E53" s="21"/>
      <c r="F53" s="46">
        <v>4</v>
      </c>
    </row>
    <row r="54" spans="1:6" x14ac:dyDescent="0.25">
      <c r="A54" s="65">
        <v>5</v>
      </c>
      <c r="B54" s="72" t="s">
        <v>220</v>
      </c>
      <c r="C54" s="34">
        <v>4</v>
      </c>
      <c r="D54" s="16"/>
      <c r="E54" s="21"/>
      <c r="F54" s="46">
        <v>4</v>
      </c>
    </row>
    <row r="55" spans="1:6" x14ac:dyDescent="0.25">
      <c r="A55" s="65">
        <v>6</v>
      </c>
      <c r="B55" s="72" t="s">
        <v>221</v>
      </c>
      <c r="C55" s="34">
        <v>4</v>
      </c>
      <c r="D55" s="16"/>
      <c r="E55" s="21"/>
      <c r="F55" s="46">
        <v>4</v>
      </c>
    </row>
    <row r="56" spans="1:6" x14ac:dyDescent="0.25">
      <c r="A56" s="65">
        <v>7</v>
      </c>
      <c r="B56" s="72" t="s">
        <v>222</v>
      </c>
      <c r="C56" s="34">
        <v>4</v>
      </c>
      <c r="D56" s="16"/>
      <c r="E56" s="21"/>
      <c r="F56" s="46">
        <v>4</v>
      </c>
    </row>
    <row r="57" spans="1:6" x14ac:dyDescent="0.25">
      <c r="A57" s="194">
        <v>8</v>
      </c>
      <c r="B57" s="72" t="s">
        <v>223</v>
      </c>
      <c r="C57" s="35">
        <v>4</v>
      </c>
      <c r="D57" s="16"/>
      <c r="E57" s="242"/>
      <c r="F57" s="205">
        <v>4</v>
      </c>
    </row>
    <row r="58" spans="1:6" ht="15.75" thickBot="1" x14ac:dyDescent="0.3">
      <c r="A58" s="17" t="s">
        <v>4</v>
      </c>
      <c r="B58" s="18" t="s">
        <v>8</v>
      </c>
      <c r="C58" s="61">
        <v>4</v>
      </c>
      <c r="D58" s="248"/>
      <c r="E58" s="233"/>
      <c r="F58" s="220">
        <v>4</v>
      </c>
    </row>
    <row r="59" spans="1:6" x14ac:dyDescent="0.25">
      <c r="D59" s="66"/>
    </row>
    <row r="60" spans="1:6" x14ac:dyDescent="0.25">
      <c r="D60" s="6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60"/>
  <sheetViews>
    <sheetView zoomScale="80" zoomScaleNormal="80" workbookViewId="0">
      <selection activeCell="K31" sqref="K31"/>
    </sheetView>
  </sheetViews>
  <sheetFormatPr defaultRowHeight="15" x14ac:dyDescent="0.25"/>
  <cols>
    <col min="1" max="1" width="5.28515625" customWidth="1"/>
    <col min="2" max="2" width="117" customWidth="1"/>
  </cols>
  <sheetData>
    <row r="1" spans="1:6" x14ac:dyDescent="0.25">
      <c r="B1" s="4" t="s">
        <v>96</v>
      </c>
      <c r="C1" s="3"/>
      <c r="D1" s="3"/>
    </row>
    <row r="2" spans="1:6" x14ac:dyDescent="0.25">
      <c r="B2" s="5" t="s">
        <v>1</v>
      </c>
      <c r="C2" s="6" t="s">
        <v>63</v>
      </c>
      <c r="D2" s="6" t="s">
        <v>53</v>
      </c>
      <c r="E2" s="6" t="s">
        <v>56</v>
      </c>
      <c r="F2" s="6" t="s">
        <v>59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3.4</v>
      </c>
      <c r="D7" s="45">
        <v>3.4</v>
      </c>
      <c r="E7" s="25">
        <v>3.5</v>
      </c>
      <c r="F7" s="45">
        <v>3.4</v>
      </c>
    </row>
    <row r="8" spans="1:6" x14ac:dyDescent="0.25">
      <c r="A8" s="39" t="s">
        <v>12</v>
      </c>
      <c r="B8" s="42" t="s">
        <v>32</v>
      </c>
      <c r="C8" s="34">
        <v>3.4</v>
      </c>
      <c r="D8" s="46">
        <v>3.5</v>
      </c>
      <c r="E8" s="34">
        <v>3.4</v>
      </c>
      <c r="F8" s="46">
        <v>3.5</v>
      </c>
    </row>
    <row r="9" spans="1:6" x14ac:dyDescent="0.25">
      <c r="A9" s="39" t="s">
        <v>14</v>
      </c>
      <c r="B9" s="42" t="s">
        <v>64</v>
      </c>
      <c r="C9" s="34">
        <v>3.5</v>
      </c>
      <c r="D9" s="46">
        <v>3.4</v>
      </c>
      <c r="E9" s="34">
        <v>3.5</v>
      </c>
      <c r="F9" s="46">
        <v>3.4</v>
      </c>
    </row>
    <row r="10" spans="1:6" x14ac:dyDescent="0.25">
      <c r="A10" s="39" t="s">
        <v>15</v>
      </c>
      <c r="B10" s="42" t="s">
        <v>65</v>
      </c>
      <c r="C10" s="34">
        <v>3.7</v>
      </c>
      <c r="D10" s="46">
        <v>3.6</v>
      </c>
      <c r="E10" s="34">
        <v>3.6</v>
      </c>
      <c r="F10" s="46">
        <v>3.6</v>
      </c>
    </row>
    <row r="11" spans="1:6" x14ac:dyDescent="0.25">
      <c r="A11" s="40"/>
      <c r="B11" s="33" t="s">
        <v>8</v>
      </c>
      <c r="C11" s="61">
        <f>AVERAGE(C7:C10)</f>
        <v>3.5</v>
      </c>
      <c r="D11" s="47">
        <v>3.5</v>
      </c>
      <c r="E11" s="61">
        <f>AVERAGE(E7:E10)</f>
        <v>3.5</v>
      </c>
      <c r="F11" s="47">
        <v>3.5</v>
      </c>
    </row>
    <row r="12" spans="1:6" x14ac:dyDescent="0.25">
      <c r="A12" s="2"/>
      <c r="B12" s="22" t="s">
        <v>7</v>
      </c>
      <c r="C12" s="31"/>
      <c r="D12" s="59"/>
      <c r="E12" s="31"/>
      <c r="F12" s="48"/>
    </row>
    <row r="13" spans="1:6" x14ac:dyDescent="0.25">
      <c r="A13" s="2"/>
      <c r="B13" s="20" t="s">
        <v>16</v>
      </c>
      <c r="C13" s="12"/>
      <c r="D13" s="59"/>
      <c r="E13" s="12"/>
      <c r="F13" s="48"/>
    </row>
    <row r="14" spans="1:6" ht="13.5" customHeight="1" x14ac:dyDescent="0.25">
      <c r="A14" s="40" t="s">
        <v>17</v>
      </c>
      <c r="B14" s="29" t="s">
        <v>33</v>
      </c>
      <c r="C14" s="25">
        <v>3.3</v>
      </c>
      <c r="D14" s="46">
        <v>3.4</v>
      </c>
      <c r="E14" s="25">
        <v>3.5</v>
      </c>
      <c r="F14" s="46">
        <v>3.5</v>
      </c>
    </row>
    <row r="15" spans="1:6" x14ac:dyDescent="0.25">
      <c r="A15" s="40" t="s">
        <v>34</v>
      </c>
      <c r="B15" s="29" t="s">
        <v>67</v>
      </c>
      <c r="C15" s="34">
        <v>3.4</v>
      </c>
      <c r="D15" s="46">
        <v>3.5</v>
      </c>
      <c r="E15" s="34">
        <v>3.5</v>
      </c>
      <c r="F15" s="46">
        <v>3.4</v>
      </c>
    </row>
    <row r="16" spans="1:6" x14ac:dyDescent="0.25">
      <c r="A16" s="40" t="s">
        <v>35</v>
      </c>
      <c r="B16" s="29" t="s">
        <v>68</v>
      </c>
      <c r="C16" s="34">
        <v>3.5</v>
      </c>
      <c r="D16" s="46">
        <v>3.8</v>
      </c>
      <c r="E16" s="34">
        <v>3.4</v>
      </c>
      <c r="F16" s="46">
        <v>3.3</v>
      </c>
    </row>
    <row r="17" spans="1:6" x14ac:dyDescent="0.25">
      <c r="A17" s="41" t="s">
        <v>66</v>
      </c>
      <c r="B17" s="29" t="s">
        <v>69</v>
      </c>
      <c r="C17" s="34">
        <v>3.6</v>
      </c>
      <c r="D17" s="46">
        <v>3.7</v>
      </c>
      <c r="E17" s="34">
        <v>3.6</v>
      </c>
      <c r="F17" s="46">
        <v>3.4</v>
      </c>
    </row>
    <row r="18" spans="1:6" x14ac:dyDescent="0.25">
      <c r="A18" s="40"/>
      <c r="B18" s="14" t="s">
        <v>8</v>
      </c>
      <c r="C18" s="61">
        <v>3.4</v>
      </c>
      <c r="D18" s="49">
        <f>AVERAGE(D14:D17)</f>
        <v>3.5999999999999996</v>
      </c>
      <c r="E18" s="61">
        <f>AVERAGE(E14:E17)</f>
        <v>3.5</v>
      </c>
      <c r="F18" s="49">
        <f>AVERAGE(F14:F17)</f>
        <v>3.4</v>
      </c>
    </row>
    <row r="19" spans="1:6" x14ac:dyDescent="0.25">
      <c r="A19" s="2"/>
      <c r="B19" s="22" t="s">
        <v>70</v>
      </c>
      <c r="C19" s="12"/>
      <c r="D19" s="59"/>
      <c r="E19" s="12"/>
      <c r="F19" s="48"/>
    </row>
    <row r="20" spans="1:6" x14ac:dyDescent="0.25">
      <c r="A20" s="2"/>
      <c r="B20" s="20" t="s">
        <v>74</v>
      </c>
      <c r="C20" s="12"/>
      <c r="D20" s="59"/>
      <c r="E20" s="12"/>
      <c r="F20" s="48"/>
    </row>
    <row r="21" spans="1:6" x14ac:dyDescent="0.25">
      <c r="A21" s="40" t="s">
        <v>71</v>
      </c>
      <c r="B21" s="24" t="s">
        <v>75</v>
      </c>
      <c r="C21" s="25">
        <v>3.4</v>
      </c>
      <c r="D21" s="50">
        <v>3.5</v>
      </c>
      <c r="E21" s="25">
        <v>3.6</v>
      </c>
      <c r="F21" s="50">
        <v>3.5</v>
      </c>
    </row>
    <row r="22" spans="1:6" x14ac:dyDescent="0.25">
      <c r="A22" s="40" t="s">
        <v>72</v>
      </c>
      <c r="B22" s="24" t="s">
        <v>76</v>
      </c>
      <c r="C22" s="36">
        <v>3.6</v>
      </c>
      <c r="D22" s="51">
        <v>3.4</v>
      </c>
      <c r="E22" s="36">
        <v>3.5</v>
      </c>
      <c r="F22" s="51">
        <v>3.6</v>
      </c>
    </row>
    <row r="23" spans="1:6" x14ac:dyDescent="0.25">
      <c r="A23" s="40" t="s">
        <v>73</v>
      </c>
      <c r="B23" s="24" t="s">
        <v>77</v>
      </c>
      <c r="C23" s="36">
        <v>3.5</v>
      </c>
      <c r="D23" s="51">
        <v>3.6</v>
      </c>
      <c r="E23" s="36">
        <v>3.5</v>
      </c>
      <c r="F23" s="51">
        <v>3.4</v>
      </c>
    </row>
    <row r="24" spans="1:6" x14ac:dyDescent="0.25">
      <c r="A24" s="3"/>
      <c r="B24" s="14" t="s">
        <v>8</v>
      </c>
      <c r="C24" s="62">
        <f>AVERAGE(C21:C23)</f>
        <v>3.5</v>
      </c>
      <c r="D24" s="49">
        <f>AVERAGE(D21:D23)</f>
        <v>3.5</v>
      </c>
      <c r="E24" s="62">
        <v>3.5</v>
      </c>
      <c r="F24" s="49">
        <v>3.5</v>
      </c>
    </row>
    <row r="25" spans="1:6" x14ac:dyDescent="0.25">
      <c r="A25" s="2"/>
      <c r="B25" s="9" t="s">
        <v>9</v>
      </c>
      <c r="C25" s="13"/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3.7</v>
      </c>
      <c r="D27" s="45">
        <v>3.8</v>
      </c>
      <c r="E27" s="25">
        <v>3.4</v>
      </c>
      <c r="F27" s="45">
        <v>3.5</v>
      </c>
    </row>
    <row r="28" spans="1:6" x14ac:dyDescent="0.25">
      <c r="A28" s="1" t="s">
        <v>22</v>
      </c>
      <c r="B28" s="30" t="s">
        <v>37</v>
      </c>
      <c r="C28" s="34">
        <v>3.5</v>
      </c>
      <c r="D28" s="46">
        <v>3.7</v>
      </c>
      <c r="E28" s="34">
        <v>3.6</v>
      </c>
      <c r="F28" s="46">
        <v>3.4</v>
      </c>
    </row>
    <row r="29" spans="1:6" x14ac:dyDescent="0.25">
      <c r="A29" s="1" t="s">
        <v>23</v>
      </c>
      <c r="B29" s="30" t="s">
        <v>38</v>
      </c>
      <c r="C29" s="34">
        <v>3.5</v>
      </c>
      <c r="D29" s="46">
        <v>3.6</v>
      </c>
      <c r="E29" s="34">
        <v>3.5</v>
      </c>
      <c r="F29" s="46">
        <v>3.6</v>
      </c>
    </row>
    <row r="30" spans="1:6" x14ac:dyDescent="0.25">
      <c r="A30" s="1"/>
      <c r="B30" s="14" t="s">
        <v>8</v>
      </c>
      <c r="C30" s="62">
        <v>3.5</v>
      </c>
      <c r="D30" s="47">
        <f>AVERAGE(D27:D29)</f>
        <v>3.6999999999999997</v>
      </c>
      <c r="E30" s="62">
        <f>AVERAGE(E27:E29)</f>
        <v>3.5</v>
      </c>
      <c r="F30" s="47">
        <v>3.5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3.4</v>
      </c>
      <c r="D32" s="46">
        <v>3.5</v>
      </c>
      <c r="E32" s="25">
        <v>3.5</v>
      </c>
      <c r="F32" s="46">
        <v>3.4</v>
      </c>
    </row>
    <row r="33" spans="1:6" x14ac:dyDescent="0.25">
      <c r="A33" s="1" t="s">
        <v>24</v>
      </c>
      <c r="B33" s="30" t="s">
        <v>40</v>
      </c>
      <c r="C33" s="34">
        <v>3.4</v>
      </c>
      <c r="D33" s="46">
        <v>3.6</v>
      </c>
      <c r="E33" s="34">
        <v>3.6</v>
      </c>
      <c r="F33" s="46">
        <v>3.5</v>
      </c>
    </row>
    <row r="34" spans="1:6" x14ac:dyDescent="0.25">
      <c r="A34" s="1" t="s">
        <v>25</v>
      </c>
      <c r="B34" s="30" t="s">
        <v>78</v>
      </c>
      <c r="C34" s="34">
        <v>3.5</v>
      </c>
      <c r="D34" s="46">
        <v>3.7</v>
      </c>
      <c r="E34" s="34">
        <v>3.5</v>
      </c>
      <c r="F34" s="46">
        <v>3.4</v>
      </c>
    </row>
    <row r="35" spans="1:6" ht="15" customHeight="1" x14ac:dyDescent="0.25">
      <c r="A35" s="1" t="s">
        <v>26</v>
      </c>
      <c r="B35" s="30" t="s">
        <v>79</v>
      </c>
      <c r="C35" s="34">
        <v>3.7</v>
      </c>
      <c r="D35" s="46">
        <v>3.8</v>
      </c>
      <c r="E35" s="34">
        <v>3.6</v>
      </c>
      <c r="F35" s="46">
        <v>3.5</v>
      </c>
    </row>
    <row r="36" spans="1:6" x14ac:dyDescent="0.25">
      <c r="A36" s="3"/>
      <c r="B36" s="14" t="s">
        <v>8</v>
      </c>
      <c r="C36" s="62">
        <f>AVERAGE(C32:C35)</f>
        <v>3.5</v>
      </c>
      <c r="D36" s="47">
        <v>3.7</v>
      </c>
      <c r="E36" s="62">
        <v>3.6</v>
      </c>
      <c r="F36" s="47">
        <v>3.5</v>
      </c>
    </row>
    <row r="37" spans="1:6" x14ac:dyDescent="0.25">
      <c r="A37" s="1"/>
      <c r="B37" s="10" t="s">
        <v>27</v>
      </c>
      <c r="C37" s="15"/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3.5</v>
      </c>
      <c r="D38" s="45">
        <v>3.6</v>
      </c>
      <c r="E38" s="25">
        <v>3.5</v>
      </c>
      <c r="F38" s="45">
        <v>3.5</v>
      </c>
    </row>
    <row r="39" spans="1:6" x14ac:dyDescent="0.25">
      <c r="A39" s="1" t="s">
        <v>28</v>
      </c>
      <c r="B39" s="30" t="s">
        <v>80</v>
      </c>
      <c r="C39" s="34">
        <v>3.5</v>
      </c>
      <c r="D39" s="46">
        <v>3.7</v>
      </c>
      <c r="E39" s="34">
        <v>3.6</v>
      </c>
      <c r="F39" s="46">
        <v>3.4</v>
      </c>
    </row>
    <row r="40" spans="1:6" x14ac:dyDescent="0.25">
      <c r="A40" s="1" t="s">
        <v>29</v>
      </c>
      <c r="B40" s="30" t="s">
        <v>81</v>
      </c>
      <c r="C40" s="34">
        <v>3.7</v>
      </c>
      <c r="D40" s="46">
        <v>3.8</v>
      </c>
      <c r="E40" s="34">
        <v>3.5</v>
      </c>
      <c r="F40" s="46">
        <v>3.6</v>
      </c>
    </row>
    <row r="41" spans="1:6" x14ac:dyDescent="0.25">
      <c r="A41" s="1" t="s">
        <v>30</v>
      </c>
      <c r="B41" s="30" t="s">
        <v>82</v>
      </c>
      <c r="C41" s="34">
        <v>3.5</v>
      </c>
      <c r="D41" s="46">
        <v>3.6</v>
      </c>
      <c r="E41" s="34">
        <v>3.8</v>
      </c>
      <c r="F41" s="46">
        <v>3.5</v>
      </c>
    </row>
    <row r="42" spans="1:6" x14ac:dyDescent="0.25">
      <c r="A42" s="26" t="s">
        <v>4</v>
      </c>
      <c r="B42" s="14" t="s">
        <v>8</v>
      </c>
      <c r="C42" s="63">
        <v>3.5</v>
      </c>
      <c r="D42" s="56">
        <v>3.7</v>
      </c>
      <c r="E42" s="63">
        <f>AVERAGE(E38:E41)</f>
        <v>3.5999999999999996</v>
      </c>
      <c r="F42" s="56">
        <f>AVERAGE(F38:F41)</f>
        <v>3.5</v>
      </c>
    </row>
    <row r="43" spans="1:6" x14ac:dyDescent="0.25">
      <c r="B43" s="27" t="s">
        <v>83</v>
      </c>
      <c r="C43" s="15" t="s">
        <v>4</v>
      </c>
      <c r="D43" s="60"/>
      <c r="E43" s="15"/>
      <c r="F43" s="60" t="s">
        <v>4</v>
      </c>
    </row>
    <row r="44" spans="1:6" x14ac:dyDescent="0.25">
      <c r="B44" s="11" t="s">
        <v>84</v>
      </c>
      <c r="C44" s="15"/>
      <c r="D44" s="52"/>
      <c r="E44" s="15"/>
      <c r="F44" s="52"/>
    </row>
    <row r="45" spans="1:6" x14ac:dyDescent="0.25">
      <c r="A45" s="30" t="s">
        <v>85</v>
      </c>
      <c r="B45" s="30" t="s">
        <v>88</v>
      </c>
      <c r="C45" s="34">
        <v>3.6</v>
      </c>
      <c r="D45" s="46">
        <v>3.9</v>
      </c>
      <c r="E45" s="34">
        <v>3.6</v>
      </c>
      <c r="F45" s="45">
        <v>3.4</v>
      </c>
    </row>
    <row r="46" spans="1:6" x14ac:dyDescent="0.25">
      <c r="A46" s="30" t="s">
        <v>86</v>
      </c>
      <c r="B46" s="30" t="s">
        <v>89</v>
      </c>
      <c r="C46" s="34">
        <v>3.8</v>
      </c>
      <c r="D46" s="46">
        <v>3.8</v>
      </c>
      <c r="E46" s="34">
        <v>3.5</v>
      </c>
      <c r="F46" s="46">
        <v>3.5</v>
      </c>
    </row>
    <row r="47" spans="1:6" x14ac:dyDescent="0.25">
      <c r="A47" s="30" t="s">
        <v>87</v>
      </c>
      <c r="B47" s="30" t="s">
        <v>90</v>
      </c>
      <c r="C47" s="34">
        <v>3.7</v>
      </c>
      <c r="D47" s="46">
        <v>3.8</v>
      </c>
      <c r="E47" s="34">
        <v>3.7</v>
      </c>
      <c r="F47" s="46">
        <v>3.6</v>
      </c>
    </row>
    <row r="48" spans="1:6" ht="15.75" thickBot="1" x14ac:dyDescent="0.3">
      <c r="A48" s="17" t="s">
        <v>4</v>
      </c>
      <c r="B48" s="18" t="s">
        <v>8</v>
      </c>
      <c r="C48" s="191">
        <f>AVERAGE(C45:C47)</f>
        <v>3.7000000000000006</v>
      </c>
      <c r="D48" s="58">
        <v>3.8</v>
      </c>
      <c r="E48" s="191">
        <f>AVERAGE(E45:E47)</f>
        <v>3.6</v>
      </c>
      <c r="F48" s="58">
        <v>3.5</v>
      </c>
    </row>
    <row r="49" spans="1:7" x14ac:dyDescent="0.25">
      <c r="A49" s="65" t="s">
        <v>4</v>
      </c>
      <c r="B49" s="74" t="s">
        <v>248</v>
      </c>
      <c r="C49" s="80"/>
      <c r="D49" s="80"/>
      <c r="E49" s="80"/>
      <c r="F49" s="228"/>
    </row>
    <row r="50" spans="1:7" x14ac:dyDescent="0.25">
      <c r="A50" s="65">
        <v>1</v>
      </c>
      <c r="B50" s="75" t="s">
        <v>111</v>
      </c>
      <c r="C50" s="51">
        <v>3.4</v>
      </c>
      <c r="D50" s="34">
        <v>3.5</v>
      </c>
      <c r="E50" s="34">
        <v>3.6</v>
      </c>
      <c r="F50" s="46">
        <v>3.5</v>
      </c>
    </row>
    <row r="51" spans="1:7" x14ac:dyDescent="0.25">
      <c r="A51" s="65">
        <v>2</v>
      </c>
      <c r="B51" s="76" t="s">
        <v>112</v>
      </c>
      <c r="C51" s="51">
        <v>3.5</v>
      </c>
      <c r="D51" s="34">
        <v>3.3</v>
      </c>
      <c r="E51" s="34">
        <v>3.5</v>
      </c>
      <c r="F51" s="46">
        <v>3.4</v>
      </c>
    </row>
    <row r="52" spans="1:7" x14ac:dyDescent="0.25">
      <c r="A52" s="65">
        <v>3</v>
      </c>
      <c r="B52" s="75" t="s">
        <v>113</v>
      </c>
      <c r="C52" s="51">
        <v>3.5</v>
      </c>
      <c r="D52" s="34">
        <v>3.4</v>
      </c>
      <c r="E52" s="34">
        <v>3.4</v>
      </c>
      <c r="F52" s="46">
        <v>3.3</v>
      </c>
    </row>
    <row r="53" spans="1:7" x14ac:dyDescent="0.25">
      <c r="A53" s="65"/>
      <c r="B53" s="77" t="s">
        <v>114</v>
      </c>
      <c r="C53" s="34"/>
      <c r="D53" s="34"/>
      <c r="E53" s="34"/>
      <c r="F53" s="46"/>
    </row>
    <row r="54" spans="1:7" x14ac:dyDescent="0.25">
      <c r="A54" s="65" t="s">
        <v>4</v>
      </c>
      <c r="B54" s="76" t="s">
        <v>115</v>
      </c>
      <c r="C54" s="34"/>
      <c r="D54" s="34"/>
      <c r="E54" s="34"/>
      <c r="F54" s="46"/>
      <c r="G54" s="66"/>
    </row>
    <row r="55" spans="1:7" x14ac:dyDescent="0.25">
      <c r="A55" s="65" t="s">
        <v>4</v>
      </c>
      <c r="B55" s="75" t="s">
        <v>116</v>
      </c>
      <c r="C55" s="34"/>
      <c r="D55" s="34"/>
      <c r="E55" s="34"/>
      <c r="F55" s="46"/>
      <c r="G55" s="66"/>
    </row>
    <row r="56" spans="1:7" x14ac:dyDescent="0.25">
      <c r="A56" s="65" t="s">
        <v>4</v>
      </c>
      <c r="B56" s="76" t="s">
        <v>117</v>
      </c>
      <c r="C56" s="34"/>
      <c r="D56" s="34"/>
      <c r="E56" s="34"/>
      <c r="F56" s="46"/>
      <c r="G56" s="66"/>
    </row>
    <row r="57" spans="1:7" x14ac:dyDescent="0.25">
      <c r="A57" s="216">
        <v>4</v>
      </c>
      <c r="B57" s="75" t="s">
        <v>118</v>
      </c>
      <c r="C57" s="51">
        <v>3.6</v>
      </c>
      <c r="D57" s="51">
        <v>3.5</v>
      </c>
      <c r="E57" s="51">
        <v>3.5</v>
      </c>
      <c r="F57" s="201">
        <v>3.4</v>
      </c>
      <c r="G57" s="66"/>
    </row>
    <row r="58" spans="1:7" x14ac:dyDescent="0.25">
      <c r="B58" s="77" t="s">
        <v>119</v>
      </c>
      <c r="C58" s="51" t="s">
        <v>91</v>
      </c>
      <c r="D58" s="51" t="s">
        <v>4</v>
      </c>
      <c r="E58" s="51" t="s">
        <v>4</v>
      </c>
      <c r="F58" s="201" t="s">
        <v>4</v>
      </c>
    </row>
    <row r="59" spans="1:7" x14ac:dyDescent="0.25">
      <c r="B59" s="78" t="s">
        <v>120</v>
      </c>
      <c r="C59" s="34" t="s">
        <v>4</v>
      </c>
      <c r="D59" s="34" t="s">
        <v>4</v>
      </c>
      <c r="E59" s="34"/>
      <c r="F59" s="46"/>
    </row>
    <row r="60" spans="1:7" ht="15.75" thickBot="1" x14ac:dyDescent="0.3">
      <c r="B60" s="18" t="s">
        <v>8</v>
      </c>
      <c r="C60" s="56">
        <v>3.5</v>
      </c>
      <c r="D60" s="49">
        <v>3.4</v>
      </c>
      <c r="E60" s="56">
        <v>3.5</v>
      </c>
      <c r="F60" s="49">
        <v>3.4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F65"/>
  <sheetViews>
    <sheetView zoomScale="80" zoomScaleNormal="80" workbookViewId="0">
      <selection activeCell="M41" sqref="M41"/>
    </sheetView>
  </sheetViews>
  <sheetFormatPr defaultRowHeight="15" x14ac:dyDescent="0.25"/>
  <cols>
    <col min="1" max="1" width="5.42578125" customWidth="1"/>
    <col min="2" max="2" width="110.42578125" customWidth="1"/>
  </cols>
  <sheetData>
    <row r="1" spans="1:6" x14ac:dyDescent="0.25">
      <c r="A1" s="92"/>
      <c r="B1" s="93" t="s">
        <v>258</v>
      </c>
      <c r="C1" s="94"/>
      <c r="D1" s="94"/>
      <c r="E1" s="92"/>
      <c r="F1" s="92"/>
    </row>
    <row r="2" spans="1:6" x14ac:dyDescent="0.25">
      <c r="A2" s="92"/>
      <c r="B2" s="95" t="s">
        <v>1</v>
      </c>
      <c r="C2" s="96" t="s">
        <v>55</v>
      </c>
      <c r="D2" s="96" t="s">
        <v>56</v>
      </c>
      <c r="E2" s="96" t="s">
        <v>54</v>
      </c>
      <c r="F2" s="96" t="s">
        <v>54</v>
      </c>
    </row>
    <row r="3" spans="1:6" x14ac:dyDescent="0.25">
      <c r="A3" s="92"/>
      <c r="B3" s="97" t="s">
        <v>2</v>
      </c>
      <c r="C3" s="98" t="s">
        <v>6</v>
      </c>
      <c r="D3" s="98" t="s">
        <v>57</v>
      </c>
      <c r="E3" s="98" t="s">
        <v>94</v>
      </c>
      <c r="F3" s="98" t="s">
        <v>95</v>
      </c>
    </row>
    <row r="4" spans="1:6" x14ac:dyDescent="0.25">
      <c r="A4" s="99"/>
      <c r="B4" s="97"/>
      <c r="C4" s="96" t="s">
        <v>3</v>
      </c>
      <c r="D4" s="96" t="s">
        <v>3</v>
      </c>
      <c r="E4" s="96" t="s">
        <v>3</v>
      </c>
      <c r="F4" s="96" t="s">
        <v>3</v>
      </c>
    </row>
    <row r="5" spans="1:6" ht="21" customHeight="1" x14ac:dyDescent="0.25">
      <c r="A5" s="99"/>
      <c r="B5" s="100" t="s">
        <v>5</v>
      </c>
      <c r="C5" s="101"/>
      <c r="D5" s="101"/>
      <c r="E5" s="101"/>
      <c r="F5" s="101"/>
    </row>
    <row r="6" spans="1:6" x14ac:dyDescent="0.25">
      <c r="A6" s="99"/>
      <c r="B6" s="102" t="s">
        <v>13</v>
      </c>
      <c r="C6" s="103"/>
      <c r="D6" s="101"/>
      <c r="E6" s="103"/>
      <c r="F6" s="101"/>
    </row>
    <row r="7" spans="1:6" x14ac:dyDescent="0.25">
      <c r="A7" s="104" t="s">
        <v>11</v>
      </c>
      <c r="B7" s="105" t="s">
        <v>31</v>
      </c>
      <c r="C7" s="106">
        <v>3.4</v>
      </c>
      <c r="D7" s="107">
        <v>3.5</v>
      </c>
      <c r="E7" s="106">
        <v>4</v>
      </c>
      <c r="F7" s="107">
        <v>4</v>
      </c>
    </row>
    <row r="8" spans="1:6" x14ac:dyDescent="0.25">
      <c r="A8" s="104" t="s">
        <v>12</v>
      </c>
      <c r="B8" s="105" t="s">
        <v>32</v>
      </c>
      <c r="C8" s="108">
        <v>3.5</v>
      </c>
      <c r="D8" s="109">
        <v>3.6</v>
      </c>
      <c r="E8" s="108">
        <v>4</v>
      </c>
      <c r="F8" s="109">
        <v>4</v>
      </c>
    </row>
    <row r="9" spans="1:6" x14ac:dyDescent="0.25">
      <c r="A9" s="104" t="s">
        <v>14</v>
      </c>
      <c r="B9" s="105" t="s">
        <v>64</v>
      </c>
      <c r="C9" s="108">
        <v>3.5</v>
      </c>
      <c r="D9" s="109">
        <v>3.5</v>
      </c>
      <c r="E9" s="108">
        <v>4</v>
      </c>
      <c r="F9" s="109">
        <v>4</v>
      </c>
    </row>
    <row r="10" spans="1:6" x14ac:dyDescent="0.25">
      <c r="A10" s="104" t="s">
        <v>15</v>
      </c>
      <c r="B10" s="105" t="s">
        <v>65</v>
      </c>
      <c r="C10" s="108">
        <v>3.5</v>
      </c>
      <c r="D10" s="109">
        <v>3.4</v>
      </c>
      <c r="E10" s="108">
        <v>4</v>
      </c>
      <c r="F10" s="109">
        <v>4</v>
      </c>
    </row>
    <row r="11" spans="1:6" x14ac:dyDescent="0.25">
      <c r="A11" s="110"/>
      <c r="B11" s="111" t="s">
        <v>8</v>
      </c>
      <c r="C11" s="140">
        <v>3.5</v>
      </c>
      <c r="D11" s="112">
        <f>AVERAGE(D7:D10)</f>
        <v>3.5</v>
      </c>
      <c r="E11" s="113">
        <v>4</v>
      </c>
      <c r="F11" s="112">
        <v>4</v>
      </c>
    </row>
    <row r="12" spans="1:6" x14ac:dyDescent="0.25">
      <c r="A12" s="114"/>
      <c r="B12" s="115" t="s">
        <v>7</v>
      </c>
      <c r="C12" s="116"/>
      <c r="D12" s="117"/>
      <c r="E12" s="116"/>
      <c r="F12" s="117"/>
    </row>
    <row r="13" spans="1:6" ht="15.75" customHeight="1" x14ac:dyDescent="0.25">
      <c r="A13" s="114"/>
      <c r="B13" s="118" t="s">
        <v>16</v>
      </c>
      <c r="C13" s="101"/>
      <c r="D13" s="117"/>
      <c r="E13" s="101"/>
      <c r="F13" s="117"/>
    </row>
    <row r="14" spans="1:6" x14ac:dyDescent="0.25">
      <c r="A14" s="110" t="s">
        <v>17</v>
      </c>
      <c r="B14" s="119" t="s">
        <v>33</v>
      </c>
      <c r="C14" s="106">
        <v>3.5</v>
      </c>
      <c r="D14" s="109">
        <v>3.5</v>
      </c>
      <c r="E14" s="106">
        <v>4</v>
      </c>
      <c r="F14" s="109">
        <v>4</v>
      </c>
    </row>
    <row r="15" spans="1:6" x14ac:dyDescent="0.25">
      <c r="A15" s="110" t="s">
        <v>34</v>
      </c>
      <c r="B15" s="119" t="s">
        <v>67</v>
      </c>
      <c r="C15" s="108">
        <v>3.4</v>
      </c>
      <c r="D15" s="109">
        <v>3.6</v>
      </c>
      <c r="E15" s="108">
        <v>4</v>
      </c>
      <c r="F15" s="109">
        <v>4</v>
      </c>
    </row>
    <row r="16" spans="1:6" x14ac:dyDescent="0.25">
      <c r="A16" s="110" t="s">
        <v>35</v>
      </c>
      <c r="B16" s="119" t="s">
        <v>68</v>
      </c>
      <c r="C16" s="108">
        <v>3.5</v>
      </c>
      <c r="D16" s="109">
        <v>3.5</v>
      </c>
      <c r="E16" s="108">
        <v>4</v>
      </c>
      <c r="F16" s="109">
        <v>4</v>
      </c>
    </row>
    <row r="17" spans="1:6" x14ac:dyDescent="0.25">
      <c r="A17" s="120" t="s">
        <v>66</v>
      </c>
      <c r="B17" s="119" t="s">
        <v>69</v>
      </c>
      <c r="C17" s="108">
        <v>3.6</v>
      </c>
      <c r="D17" s="109">
        <v>3.6</v>
      </c>
      <c r="E17" s="108">
        <v>4</v>
      </c>
      <c r="F17" s="109">
        <v>4</v>
      </c>
    </row>
    <row r="18" spans="1:6" x14ac:dyDescent="0.25">
      <c r="A18" s="110"/>
      <c r="B18" s="121" t="s">
        <v>8</v>
      </c>
      <c r="C18" s="140">
        <f>AVERAGE(C14:C17)</f>
        <v>3.5</v>
      </c>
      <c r="D18" s="122">
        <v>3.6</v>
      </c>
      <c r="E18" s="113">
        <v>4</v>
      </c>
      <c r="F18" s="122">
        <v>4</v>
      </c>
    </row>
    <row r="19" spans="1:6" x14ac:dyDescent="0.25">
      <c r="A19" s="114"/>
      <c r="B19" s="115" t="s">
        <v>70</v>
      </c>
      <c r="C19" s="101"/>
      <c r="D19" s="123"/>
      <c r="E19" s="101"/>
      <c r="F19" s="117"/>
    </row>
    <row r="20" spans="1:6" x14ac:dyDescent="0.25">
      <c r="A20" s="114"/>
      <c r="B20" s="118" t="s">
        <v>74</v>
      </c>
      <c r="C20" s="101"/>
      <c r="D20" s="123"/>
      <c r="E20" s="101"/>
      <c r="F20" s="117"/>
    </row>
    <row r="21" spans="1:6" x14ac:dyDescent="0.25">
      <c r="A21" s="110" t="s">
        <v>71</v>
      </c>
      <c r="B21" s="124" t="s">
        <v>75</v>
      </c>
      <c r="C21" s="106">
        <v>3.5</v>
      </c>
      <c r="D21" s="125">
        <v>3.5</v>
      </c>
      <c r="E21" s="106">
        <v>4</v>
      </c>
      <c r="F21" s="125">
        <v>4</v>
      </c>
    </row>
    <row r="22" spans="1:6" x14ac:dyDescent="0.25">
      <c r="A22" s="110" t="s">
        <v>72</v>
      </c>
      <c r="B22" s="124" t="s">
        <v>76</v>
      </c>
      <c r="C22" s="126">
        <v>3.5</v>
      </c>
      <c r="D22" s="127">
        <v>3.5</v>
      </c>
      <c r="E22" s="126">
        <v>4</v>
      </c>
      <c r="F22" s="127">
        <v>4</v>
      </c>
    </row>
    <row r="23" spans="1:6" x14ac:dyDescent="0.25">
      <c r="A23" s="110" t="s">
        <v>73</v>
      </c>
      <c r="B23" s="124" t="s">
        <v>77</v>
      </c>
      <c r="C23" s="126">
        <v>3.6</v>
      </c>
      <c r="D23" s="127">
        <v>3.6</v>
      </c>
      <c r="E23" s="126">
        <v>4</v>
      </c>
      <c r="F23" s="127">
        <v>4</v>
      </c>
    </row>
    <row r="24" spans="1:6" x14ac:dyDescent="0.25">
      <c r="A24" s="94"/>
      <c r="B24" s="121" t="s">
        <v>8</v>
      </c>
      <c r="C24" s="140">
        <v>3.5</v>
      </c>
      <c r="D24" s="122">
        <v>3.5</v>
      </c>
      <c r="E24" s="128">
        <v>4</v>
      </c>
      <c r="F24" s="122">
        <v>4</v>
      </c>
    </row>
    <row r="25" spans="1:6" x14ac:dyDescent="0.25">
      <c r="A25" s="114"/>
      <c r="B25" s="129" t="s">
        <v>9</v>
      </c>
      <c r="C25" s="130"/>
      <c r="D25" s="131"/>
      <c r="E25" s="130"/>
      <c r="F25" s="131"/>
    </row>
    <row r="26" spans="1:6" x14ac:dyDescent="0.25">
      <c r="A26" s="114"/>
      <c r="B26" s="102" t="s">
        <v>10</v>
      </c>
      <c r="C26" s="130"/>
      <c r="D26" s="131"/>
      <c r="E26" s="130"/>
      <c r="F26" s="131"/>
    </row>
    <row r="27" spans="1:6" x14ac:dyDescent="0.25">
      <c r="A27" s="99" t="s">
        <v>19</v>
      </c>
      <c r="B27" s="132" t="s">
        <v>36</v>
      </c>
      <c r="C27" s="106">
        <v>3.5</v>
      </c>
      <c r="D27" s="107">
        <v>3.5</v>
      </c>
      <c r="E27" s="106">
        <v>4</v>
      </c>
      <c r="F27" s="107">
        <v>4</v>
      </c>
    </row>
    <row r="28" spans="1:6" x14ac:dyDescent="0.25">
      <c r="A28" s="99" t="s">
        <v>22</v>
      </c>
      <c r="B28" s="132" t="s">
        <v>37</v>
      </c>
      <c r="C28" s="108">
        <v>3.4</v>
      </c>
      <c r="D28" s="109">
        <v>3.4</v>
      </c>
      <c r="E28" s="108">
        <v>4</v>
      </c>
      <c r="F28" s="109">
        <v>4</v>
      </c>
    </row>
    <row r="29" spans="1:6" x14ac:dyDescent="0.25">
      <c r="A29" s="99" t="s">
        <v>23</v>
      </c>
      <c r="B29" s="132" t="s">
        <v>38</v>
      </c>
      <c r="C29" s="108">
        <v>3.6</v>
      </c>
      <c r="D29" s="109">
        <v>3.5</v>
      </c>
      <c r="E29" s="108">
        <v>4</v>
      </c>
      <c r="F29" s="109">
        <v>4</v>
      </c>
    </row>
    <row r="30" spans="1:6" x14ac:dyDescent="0.25">
      <c r="A30" s="99"/>
      <c r="B30" s="121" t="s">
        <v>8</v>
      </c>
      <c r="C30" s="140">
        <f>AVERAGE(C27:C29)</f>
        <v>3.5</v>
      </c>
      <c r="D30" s="112">
        <v>3.5</v>
      </c>
      <c r="E30" s="128">
        <v>4</v>
      </c>
      <c r="F30" s="112">
        <v>4</v>
      </c>
    </row>
    <row r="31" spans="1:6" x14ac:dyDescent="0.25">
      <c r="A31" s="99"/>
      <c r="B31" s="135" t="s">
        <v>18</v>
      </c>
      <c r="C31" s="130"/>
      <c r="D31" s="131"/>
      <c r="E31" s="130"/>
      <c r="F31" s="131"/>
    </row>
    <row r="32" spans="1:6" x14ac:dyDescent="0.25">
      <c r="A32" s="99" t="s">
        <v>20</v>
      </c>
      <c r="B32" s="132" t="s">
        <v>39</v>
      </c>
      <c r="C32" s="106">
        <v>3.5</v>
      </c>
      <c r="D32" s="109">
        <v>3.6</v>
      </c>
      <c r="E32" s="106">
        <v>4</v>
      </c>
      <c r="F32" s="109">
        <v>4</v>
      </c>
    </row>
    <row r="33" spans="1:6" x14ac:dyDescent="0.25">
      <c r="A33" s="99" t="s">
        <v>24</v>
      </c>
      <c r="B33" s="132" t="s">
        <v>40</v>
      </c>
      <c r="C33" s="108">
        <v>3.4</v>
      </c>
      <c r="D33" s="109">
        <v>3.5</v>
      </c>
      <c r="E33" s="108">
        <v>4</v>
      </c>
      <c r="F33" s="109">
        <v>4</v>
      </c>
    </row>
    <row r="34" spans="1:6" x14ac:dyDescent="0.25">
      <c r="A34" s="99" t="s">
        <v>25</v>
      </c>
      <c r="B34" s="132" t="s">
        <v>78</v>
      </c>
      <c r="C34" s="108">
        <v>3.5</v>
      </c>
      <c r="D34" s="109">
        <v>3.6</v>
      </c>
      <c r="E34" s="108">
        <v>4</v>
      </c>
      <c r="F34" s="109">
        <v>4</v>
      </c>
    </row>
    <row r="35" spans="1:6" x14ac:dyDescent="0.25">
      <c r="A35" s="99" t="s">
        <v>26</v>
      </c>
      <c r="B35" s="132" t="s">
        <v>79</v>
      </c>
      <c r="C35" s="108">
        <v>3.4</v>
      </c>
      <c r="D35" s="109">
        <v>3.5</v>
      </c>
      <c r="E35" s="108">
        <v>4</v>
      </c>
      <c r="F35" s="109">
        <v>4</v>
      </c>
    </row>
    <row r="36" spans="1:6" x14ac:dyDescent="0.25">
      <c r="A36" s="94"/>
      <c r="B36" s="121" t="s">
        <v>8</v>
      </c>
      <c r="C36" s="140">
        <v>3.5</v>
      </c>
      <c r="D36" s="112">
        <v>3.6</v>
      </c>
      <c r="E36" s="128">
        <v>4</v>
      </c>
      <c r="F36" s="112">
        <v>4</v>
      </c>
    </row>
    <row r="37" spans="1:6" x14ac:dyDescent="0.25">
      <c r="A37" s="99"/>
      <c r="B37" s="136" t="s">
        <v>27</v>
      </c>
      <c r="C37" s="137"/>
      <c r="D37" s="131"/>
      <c r="E37" s="137"/>
      <c r="F37" s="131"/>
    </row>
    <row r="38" spans="1:6" x14ac:dyDescent="0.25">
      <c r="A38" s="99" t="s">
        <v>21</v>
      </c>
      <c r="B38" s="132" t="s">
        <v>41</v>
      </c>
      <c r="C38" s="106">
        <v>3.5</v>
      </c>
      <c r="D38" s="107">
        <v>3.5</v>
      </c>
      <c r="E38" s="106">
        <v>4</v>
      </c>
      <c r="F38" s="107">
        <v>4</v>
      </c>
    </row>
    <row r="39" spans="1:6" x14ac:dyDescent="0.25">
      <c r="A39" s="99" t="s">
        <v>28</v>
      </c>
      <c r="B39" s="132" t="s">
        <v>80</v>
      </c>
      <c r="C39" s="108">
        <v>3.5</v>
      </c>
      <c r="D39" s="109">
        <v>3.5</v>
      </c>
      <c r="E39" s="108">
        <v>4</v>
      </c>
      <c r="F39" s="109">
        <v>4</v>
      </c>
    </row>
    <row r="40" spans="1:6" x14ac:dyDescent="0.25">
      <c r="A40" s="99" t="s">
        <v>29</v>
      </c>
      <c r="B40" s="132" t="s">
        <v>81</v>
      </c>
      <c r="C40" s="108">
        <v>3.6</v>
      </c>
      <c r="D40" s="109">
        <v>3.6</v>
      </c>
      <c r="E40" s="108">
        <v>4</v>
      </c>
      <c r="F40" s="109">
        <v>4</v>
      </c>
    </row>
    <row r="41" spans="1:6" x14ac:dyDescent="0.25">
      <c r="A41" s="99" t="s">
        <v>30</v>
      </c>
      <c r="B41" s="132" t="s">
        <v>82</v>
      </c>
      <c r="C41" s="108">
        <v>3.5</v>
      </c>
      <c r="D41" s="109">
        <v>3.7</v>
      </c>
      <c r="E41" s="108">
        <v>4</v>
      </c>
      <c r="F41" s="109">
        <v>4</v>
      </c>
    </row>
    <row r="42" spans="1:6" x14ac:dyDescent="0.25">
      <c r="A42" s="139" t="s">
        <v>4</v>
      </c>
      <c r="B42" s="121" t="s">
        <v>8</v>
      </c>
      <c r="C42" s="140">
        <v>3.5</v>
      </c>
      <c r="D42" s="140">
        <v>3.6</v>
      </c>
      <c r="E42" s="141">
        <v>4</v>
      </c>
      <c r="F42" s="140">
        <v>4</v>
      </c>
    </row>
    <row r="43" spans="1:6" x14ac:dyDescent="0.25">
      <c r="A43" s="92"/>
      <c r="B43" s="142" t="s">
        <v>83</v>
      </c>
      <c r="C43" s="137"/>
      <c r="D43" s="143"/>
      <c r="E43" s="137"/>
      <c r="F43" s="143"/>
    </row>
    <row r="44" spans="1:6" x14ac:dyDescent="0.25">
      <c r="A44" s="92"/>
      <c r="B44" s="102" t="s">
        <v>84</v>
      </c>
      <c r="C44" s="137"/>
      <c r="D44" s="131"/>
      <c r="E44" s="137"/>
      <c r="F44" s="131"/>
    </row>
    <row r="45" spans="1:6" x14ac:dyDescent="0.25">
      <c r="A45" s="132" t="s">
        <v>85</v>
      </c>
      <c r="B45" s="132" t="s">
        <v>88</v>
      </c>
      <c r="C45" s="108">
        <v>3.5</v>
      </c>
      <c r="D45" s="107">
        <v>3.5</v>
      </c>
      <c r="E45" s="108">
        <v>4</v>
      </c>
      <c r="F45" s="107">
        <v>4</v>
      </c>
    </row>
    <row r="46" spans="1:6" x14ac:dyDescent="0.25">
      <c r="A46" s="132" t="s">
        <v>86</v>
      </c>
      <c r="B46" s="132" t="s">
        <v>89</v>
      </c>
      <c r="C46" s="108">
        <v>3.4</v>
      </c>
      <c r="D46" s="109">
        <v>3.6</v>
      </c>
      <c r="E46" s="108">
        <v>4</v>
      </c>
      <c r="F46" s="109">
        <v>4</v>
      </c>
    </row>
    <row r="47" spans="1:6" x14ac:dyDescent="0.25">
      <c r="A47" s="132" t="s">
        <v>87</v>
      </c>
      <c r="B47" s="132" t="s">
        <v>90</v>
      </c>
      <c r="C47" s="108">
        <v>3.5</v>
      </c>
      <c r="D47" s="109">
        <v>3.5</v>
      </c>
      <c r="E47" s="108">
        <v>4</v>
      </c>
      <c r="F47" s="109">
        <v>4</v>
      </c>
    </row>
    <row r="48" spans="1:6" ht="15.75" thickBot="1" x14ac:dyDescent="0.3">
      <c r="A48" s="145" t="s">
        <v>4</v>
      </c>
      <c r="B48" s="146" t="s">
        <v>8</v>
      </c>
      <c r="C48" s="140">
        <v>3.5</v>
      </c>
      <c r="D48" s="122">
        <v>3.5</v>
      </c>
      <c r="E48" s="140">
        <v>4</v>
      </c>
      <c r="F48" s="148">
        <v>4</v>
      </c>
    </row>
    <row r="49" spans="1:6" x14ac:dyDescent="0.25">
      <c r="A49" s="139"/>
      <c r="B49" s="149" t="s">
        <v>248</v>
      </c>
      <c r="C49" s="150"/>
      <c r="D49" s="151"/>
      <c r="E49" s="150"/>
      <c r="F49" s="151"/>
    </row>
    <row r="50" spans="1:6" x14ac:dyDescent="0.25">
      <c r="A50" s="152">
        <v>1</v>
      </c>
      <c r="B50" s="153" t="s">
        <v>97</v>
      </c>
      <c r="C50" s="163">
        <v>3.5</v>
      </c>
      <c r="D50" s="164">
        <v>3.4</v>
      </c>
      <c r="E50" s="164">
        <v>4</v>
      </c>
      <c r="F50" s="109">
        <v>4</v>
      </c>
    </row>
    <row r="51" spans="1:6" x14ac:dyDescent="0.25">
      <c r="A51" s="155"/>
      <c r="B51" s="153" t="s">
        <v>98</v>
      </c>
      <c r="C51" s="163" t="s">
        <v>4</v>
      </c>
      <c r="D51" s="164"/>
      <c r="E51" s="164"/>
      <c r="F51" s="109"/>
    </row>
    <row r="52" spans="1:6" x14ac:dyDescent="0.25">
      <c r="A52" s="155">
        <v>2</v>
      </c>
      <c r="B52" s="153" t="s">
        <v>99</v>
      </c>
      <c r="C52" s="163">
        <v>3.6</v>
      </c>
      <c r="D52" s="164">
        <v>3.5</v>
      </c>
      <c r="E52" s="164">
        <v>4</v>
      </c>
      <c r="F52" s="109">
        <v>4</v>
      </c>
    </row>
    <row r="53" spans="1:6" x14ac:dyDescent="0.25">
      <c r="A53" s="155"/>
      <c r="B53" s="153" t="s">
        <v>100</v>
      </c>
      <c r="C53" s="163"/>
      <c r="D53" s="164"/>
      <c r="E53" s="164"/>
      <c r="F53" s="109"/>
    </row>
    <row r="54" spans="1:6" x14ac:dyDescent="0.25">
      <c r="A54" s="155"/>
      <c r="B54" s="153" t="s">
        <v>101</v>
      </c>
      <c r="C54" s="163"/>
      <c r="D54" s="164"/>
      <c r="E54" s="164"/>
      <c r="F54" s="109"/>
    </row>
    <row r="55" spans="1:6" x14ac:dyDescent="0.25">
      <c r="A55" s="155">
        <v>3</v>
      </c>
      <c r="B55" s="153" t="s">
        <v>102</v>
      </c>
      <c r="C55" s="163">
        <v>3.5</v>
      </c>
      <c r="D55" s="164">
        <v>3.6</v>
      </c>
      <c r="E55" s="164">
        <v>4</v>
      </c>
      <c r="F55" s="109">
        <v>4</v>
      </c>
    </row>
    <row r="56" spans="1:6" x14ac:dyDescent="0.25">
      <c r="A56" s="155"/>
      <c r="B56" s="153" t="s">
        <v>103</v>
      </c>
      <c r="C56" s="163"/>
      <c r="D56" s="164"/>
      <c r="E56" s="164"/>
      <c r="F56" s="109"/>
    </row>
    <row r="57" spans="1:6" x14ac:dyDescent="0.25">
      <c r="A57" s="155">
        <v>4</v>
      </c>
      <c r="B57" s="153" t="s">
        <v>104</v>
      </c>
      <c r="C57" s="163">
        <v>3.6</v>
      </c>
      <c r="D57" s="164">
        <v>3.5</v>
      </c>
      <c r="E57" s="164">
        <v>4</v>
      </c>
      <c r="F57" s="109">
        <v>4</v>
      </c>
    </row>
    <row r="58" spans="1:6" x14ac:dyDescent="0.25">
      <c r="A58" s="155"/>
      <c r="B58" s="153" t="s">
        <v>105</v>
      </c>
      <c r="C58" s="163"/>
      <c r="D58" s="164"/>
      <c r="E58" s="164"/>
      <c r="F58" s="109"/>
    </row>
    <row r="59" spans="1:6" x14ac:dyDescent="0.25">
      <c r="A59" s="155"/>
      <c r="B59" s="153" t="s">
        <v>106</v>
      </c>
      <c r="C59" s="163"/>
      <c r="D59" s="164"/>
      <c r="E59" s="164"/>
      <c r="F59" s="109"/>
    </row>
    <row r="60" spans="1:6" x14ac:dyDescent="0.25">
      <c r="A60" s="155">
        <v>5</v>
      </c>
      <c r="B60" s="153" t="s">
        <v>107</v>
      </c>
      <c r="C60" s="163">
        <v>3.6</v>
      </c>
      <c r="D60" s="164">
        <v>3.5</v>
      </c>
      <c r="E60" s="164">
        <v>4</v>
      </c>
      <c r="F60" s="109">
        <v>4</v>
      </c>
    </row>
    <row r="61" spans="1:6" x14ac:dyDescent="0.25">
      <c r="A61" s="155"/>
      <c r="B61" s="153" t="s">
        <v>108</v>
      </c>
      <c r="C61" s="163"/>
      <c r="D61" s="164" t="s">
        <v>4</v>
      </c>
      <c r="E61" s="164"/>
      <c r="F61" s="109"/>
    </row>
    <row r="62" spans="1:6" x14ac:dyDescent="0.25">
      <c r="A62" s="155"/>
      <c r="B62" s="153" t="s">
        <v>109</v>
      </c>
      <c r="C62" s="163" t="s">
        <v>4</v>
      </c>
      <c r="D62" s="164" t="s">
        <v>4</v>
      </c>
      <c r="E62" s="164"/>
      <c r="F62" s="109"/>
    </row>
    <row r="63" spans="1:6" x14ac:dyDescent="0.25">
      <c r="A63" s="155"/>
      <c r="B63" s="156" t="s">
        <v>110</v>
      </c>
      <c r="C63" s="163"/>
      <c r="D63" s="164"/>
      <c r="E63" s="164"/>
      <c r="F63" s="109"/>
    </row>
    <row r="64" spans="1:6" ht="15.75" thickBot="1" x14ac:dyDescent="0.3">
      <c r="B64" s="146" t="s">
        <v>8</v>
      </c>
      <c r="C64" s="162">
        <v>3.6</v>
      </c>
      <c r="D64" s="140">
        <v>3.5</v>
      </c>
      <c r="E64" s="140">
        <v>4</v>
      </c>
      <c r="F64" s="122">
        <v>4</v>
      </c>
    </row>
    <row r="65" spans="2:2" x14ac:dyDescent="0.25">
      <c r="B65" s="66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64"/>
  <sheetViews>
    <sheetView zoomScale="80" zoomScaleNormal="80" workbookViewId="0">
      <selection activeCell="I23" sqref="I23"/>
    </sheetView>
  </sheetViews>
  <sheetFormatPr defaultRowHeight="15" x14ac:dyDescent="0.25"/>
  <cols>
    <col min="1" max="1" width="5.42578125" customWidth="1"/>
    <col min="2" max="2" width="115.85546875" customWidth="1"/>
  </cols>
  <sheetData>
    <row r="1" spans="1:6" x14ac:dyDescent="0.25">
      <c r="A1" s="92"/>
      <c r="B1" s="93" t="s">
        <v>257</v>
      </c>
      <c r="C1" s="94"/>
      <c r="D1" s="94"/>
      <c r="E1" s="92"/>
      <c r="F1" s="92"/>
    </row>
    <row r="2" spans="1:6" x14ac:dyDescent="0.25">
      <c r="A2" s="92"/>
      <c r="B2" s="95" t="s">
        <v>1</v>
      </c>
      <c r="C2" s="96" t="s">
        <v>252</v>
      </c>
      <c r="D2" s="96" t="s">
        <v>54</v>
      </c>
      <c r="E2" s="96" t="s">
        <v>54</v>
      </c>
      <c r="F2" s="96" t="s">
        <v>54</v>
      </c>
    </row>
    <row r="3" spans="1:6" x14ac:dyDescent="0.25">
      <c r="A3" s="92"/>
      <c r="B3" s="97" t="s">
        <v>2</v>
      </c>
      <c r="C3" s="98" t="s">
        <v>6</v>
      </c>
      <c r="D3" s="98" t="s">
        <v>57</v>
      </c>
      <c r="E3" s="98" t="s">
        <v>94</v>
      </c>
      <c r="F3" s="98" t="s">
        <v>95</v>
      </c>
    </row>
    <row r="4" spans="1:6" x14ac:dyDescent="0.25">
      <c r="A4" s="99"/>
      <c r="B4" s="97"/>
      <c r="C4" s="96" t="s">
        <v>3</v>
      </c>
      <c r="D4" s="96" t="s">
        <v>3</v>
      </c>
      <c r="E4" s="96" t="s">
        <v>3</v>
      </c>
      <c r="F4" s="96" t="s">
        <v>3</v>
      </c>
    </row>
    <row r="5" spans="1:6" ht="21" customHeight="1" x14ac:dyDescent="0.25">
      <c r="A5" s="99"/>
      <c r="B5" s="100" t="s">
        <v>5</v>
      </c>
      <c r="C5" s="101"/>
      <c r="D5" s="101"/>
      <c r="E5" s="101"/>
      <c r="F5" s="101"/>
    </row>
    <row r="6" spans="1:6" x14ac:dyDescent="0.25">
      <c r="A6" s="99"/>
      <c r="B6" s="102" t="s">
        <v>13</v>
      </c>
      <c r="C6" s="103"/>
      <c r="D6" s="101"/>
      <c r="E6" s="103"/>
      <c r="F6" s="101"/>
    </row>
    <row r="7" spans="1:6" x14ac:dyDescent="0.25">
      <c r="A7" s="104" t="s">
        <v>11</v>
      </c>
      <c r="B7" s="105" t="s">
        <v>4</v>
      </c>
      <c r="C7" s="106"/>
      <c r="D7" s="107">
        <v>4</v>
      </c>
      <c r="E7" s="106">
        <v>4</v>
      </c>
      <c r="F7" s="107">
        <v>4</v>
      </c>
    </row>
    <row r="8" spans="1:6" x14ac:dyDescent="0.25">
      <c r="A8" s="104" t="s">
        <v>12</v>
      </c>
      <c r="B8" s="105" t="s">
        <v>32</v>
      </c>
      <c r="C8" s="108"/>
      <c r="D8" s="109">
        <v>4</v>
      </c>
      <c r="E8" s="108">
        <v>4</v>
      </c>
      <c r="F8" s="109">
        <v>4</v>
      </c>
    </row>
    <row r="9" spans="1:6" x14ac:dyDescent="0.25">
      <c r="A9" s="104" t="s">
        <v>14</v>
      </c>
      <c r="B9" s="105" t="s">
        <v>64</v>
      </c>
      <c r="C9" s="108"/>
      <c r="D9" s="109">
        <v>4</v>
      </c>
      <c r="E9" s="108">
        <v>4</v>
      </c>
      <c r="F9" s="109">
        <v>4</v>
      </c>
    </row>
    <row r="10" spans="1:6" x14ac:dyDescent="0.25">
      <c r="A10" s="104" t="s">
        <v>15</v>
      </c>
      <c r="B10" s="105" t="s">
        <v>65</v>
      </c>
      <c r="C10" s="108"/>
      <c r="D10" s="109">
        <v>4</v>
      </c>
      <c r="E10" s="108">
        <v>4</v>
      </c>
      <c r="F10" s="109">
        <v>4</v>
      </c>
    </row>
    <row r="11" spans="1:6" x14ac:dyDescent="0.25">
      <c r="A11" s="110"/>
      <c r="B11" s="111" t="s">
        <v>8</v>
      </c>
      <c r="C11" s="112"/>
      <c r="D11" s="112">
        <v>4</v>
      </c>
      <c r="E11" s="113">
        <v>4</v>
      </c>
      <c r="F11" s="112">
        <v>4</v>
      </c>
    </row>
    <row r="12" spans="1:6" x14ac:dyDescent="0.25">
      <c r="A12" s="114"/>
      <c r="B12" s="115" t="s">
        <v>7</v>
      </c>
      <c r="C12" s="116"/>
      <c r="D12" s="117"/>
      <c r="E12" s="116"/>
      <c r="F12" s="123"/>
    </row>
    <row r="13" spans="1:6" ht="15.75" customHeight="1" x14ac:dyDescent="0.25">
      <c r="A13" s="114"/>
      <c r="B13" s="118" t="s">
        <v>16</v>
      </c>
      <c r="C13" s="101"/>
      <c r="D13" s="117"/>
      <c r="E13" s="101"/>
      <c r="F13" s="123"/>
    </row>
    <row r="14" spans="1:6" x14ac:dyDescent="0.25">
      <c r="A14" s="110" t="s">
        <v>17</v>
      </c>
      <c r="B14" s="119" t="s">
        <v>33</v>
      </c>
      <c r="C14" s="106"/>
      <c r="D14" s="109">
        <v>4</v>
      </c>
      <c r="E14" s="106">
        <v>4</v>
      </c>
      <c r="F14" s="109">
        <v>4</v>
      </c>
    </row>
    <row r="15" spans="1:6" x14ac:dyDescent="0.25">
      <c r="A15" s="110" t="s">
        <v>34</v>
      </c>
      <c r="B15" s="119" t="s">
        <v>67</v>
      </c>
      <c r="C15" s="108"/>
      <c r="D15" s="109">
        <v>4</v>
      </c>
      <c r="E15" s="108">
        <v>4</v>
      </c>
      <c r="F15" s="109">
        <v>4</v>
      </c>
    </row>
    <row r="16" spans="1:6" x14ac:dyDescent="0.25">
      <c r="A16" s="110" t="s">
        <v>35</v>
      </c>
      <c r="B16" s="119" t="s">
        <v>68</v>
      </c>
      <c r="C16" s="108"/>
      <c r="D16" s="109">
        <v>4</v>
      </c>
      <c r="E16" s="108">
        <v>4</v>
      </c>
      <c r="F16" s="109">
        <v>4</v>
      </c>
    </row>
    <row r="17" spans="1:6" x14ac:dyDescent="0.25">
      <c r="A17" s="120" t="s">
        <v>66</v>
      </c>
      <c r="B17" s="119" t="s">
        <v>69</v>
      </c>
      <c r="C17" s="108"/>
      <c r="D17" s="109">
        <v>4</v>
      </c>
      <c r="E17" s="108">
        <v>4</v>
      </c>
      <c r="F17" s="109">
        <v>4</v>
      </c>
    </row>
    <row r="18" spans="1:6" x14ac:dyDescent="0.25">
      <c r="A18" s="110"/>
      <c r="B18" s="121" t="s">
        <v>8</v>
      </c>
      <c r="C18" s="112"/>
      <c r="D18" s="122">
        <v>4</v>
      </c>
      <c r="E18" s="113">
        <v>4</v>
      </c>
      <c r="F18" s="122">
        <v>4</v>
      </c>
    </row>
    <row r="19" spans="1:6" x14ac:dyDescent="0.25">
      <c r="A19" s="114"/>
      <c r="B19" s="115" t="s">
        <v>70</v>
      </c>
      <c r="C19" s="101"/>
      <c r="D19" s="123"/>
      <c r="E19" s="101"/>
      <c r="F19" s="123"/>
    </row>
    <row r="20" spans="1:6" x14ac:dyDescent="0.25">
      <c r="A20" s="114"/>
      <c r="B20" s="118" t="s">
        <v>74</v>
      </c>
      <c r="C20" s="101"/>
      <c r="D20" s="123"/>
      <c r="E20" s="101"/>
      <c r="F20" s="123"/>
    </row>
    <row r="21" spans="1:6" x14ac:dyDescent="0.25">
      <c r="A21" s="110" t="s">
        <v>71</v>
      </c>
      <c r="B21" s="124" t="s">
        <v>75</v>
      </c>
      <c r="C21" s="106"/>
      <c r="D21" s="125">
        <v>4</v>
      </c>
      <c r="E21" s="106">
        <v>4</v>
      </c>
      <c r="F21" s="125">
        <v>4</v>
      </c>
    </row>
    <row r="22" spans="1:6" x14ac:dyDescent="0.25">
      <c r="A22" s="110" t="s">
        <v>72</v>
      </c>
      <c r="B22" s="124" t="s">
        <v>76</v>
      </c>
      <c r="C22" s="126"/>
      <c r="D22" s="127">
        <v>4</v>
      </c>
      <c r="E22" s="126">
        <v>4</v>
      </c>
      <c r="F22" s="127">
        <v>4</v>
      </c>
    </row>
    <row r="23" spans="1:6" x14ac:dyDescent="0.25">
      <c r="A23" s="110" t="s">
        <v>73</v>
      </c>
      <c r="B23" s="124" t="s">
        <v>77</v>
      </c>
      <c r="C23" s="126"/>
      <c r="D23" s="127">
        <v>4</v>
      </c>
      <c r="E23" s="126">
        <v>4</v>
      </c>
      <c r="F23" s="127">
        <v>4</v>
      </c>
    </row>
    <row r="24" spans="1:6" x14ac:dyDescent="0.25">
      <c r="A24" s="94"/>
      <c r="B24" s="121" t="s">
        <v>8</v>
      </c>
      <c r="C24" s="112"/>
      <c r="D24" s="122">
        <v>4</v>
      </c>
      <c r="E24" s="128">
        <v>4</v>
      </c>
      <c r="F24" s="122">
        <v>4</v>
      </c>
    </row>
    <row r="25" spans="1:6" x14ac:dyDescent="0.25">
      <c r="A25" s="114"/>
      <c r="B25" s="129" t="s">
        <v>9</v>
      </c>
      <c r="C25" s="130"/>
      <c r="D25" s="131"/>
      <c r="E25" s="130"/>
      <c r="F25" s="131"/>
    </row>
    <row r="26" spans="1:6" x14ac:dyDescent="0.25">
      <c r="A26" s="114"/>
      <c r="B26" s="102" t="s">
        <v>10</v>
      </c>
      <c r="C26" s="130"/>
      <c r="D26" s="131"/>
      <c r="E26" s="130"/>
      <c r="F26" s="131"/>
    </row>
    <row r="27" spans="1:6" x14ac:dyDescent="0.25">
      <c r="A27" s="99" t="s">
        <v>19</v>
      </c>
      <c r="B27" s="132" t="s">
        <v>36</v>
      </c>
      <c r="C27" s="106"/>
      <c r="D27" s="107">
        <v>4</v>
      </c>
      <c r="E27" s="106">
        <v>4</v>
      </c>
      <c r="F27" s="107">
        <v>4</v>
      </c>
    </row>
    <row r="28" spans="1:6" x14ac:dyDescent="0.25">
      <c r="A28" s="99" t="s">
        <v>22</v>
      </c>
      <c r="B28" s="132" t="s">
        <v>37</v>
      </c>
      <c r="C28" s="108"/>
      <c r="D28" s="109">
        <v>4</v>
      </c>
      <c r="E28" s="108">
        <v>4</v>
      </c>
      <c r="F28" s="109">
        <v>4</v>
      </c>
    </row>
    <row r="29" spans="1:6" x14ac:dyDescent="0.25">
      <c r="A29" s="99" t="s">
        <v>23</v>
      </c>
      <c r="B29" s="132" t="s">
        <v>38</v>
      </c>
      <c r="C29" s="108"/>
      <c r="D29" s="109">
        <v>4</v>
      </c>
      <c r="E29" s="108">
        <v>4</v>
      </c>
      <c r="F29" s="109">
        <v>4</v>
      </c>
    </row>
    <row r="30" spans="1:6" x14ac:dyDescent="0.25">
      <c r="A30" s="99"/>
      <c r="B30" s="121" t="s">
        <v>8</v>
      </c>
      <c r="C30" s="112"/>
      <c r="D30" s="112">
        <v>4</v>
      </c>
      <c r="E30" s="128">
        <v>4</v>
      </c>
      <c r="F30" s="112">
        <v>4</v>
      </c>
    </row>
    <row r="31" spans="1:6" x14ac:dyDescent="0.25">
      <c r="A31" s="99"/>
      <c r="B31" s="135" t="s">
        <v>18</v>
      </c>
      <c r="C31" s="130"/>
      <c r="D31" s="131"/>
      <c r="E31" s="130"/>
      <c r="F31" s="131"/>
    </row>
    <row r="32" spans="1:6" x14ac:dyDescent="0.25">
      <c r="A32" s="99" t="s">
        <v>20</v>
      </c>
      <c r="B32" s="132" t="s">
        <v>39</v>
      </c>
      <c r="C32" s="106"/>
      <c r="D32" s="109">
        <v>4</v>
      </c>
      <c r="E32" s="106">
        <v>4</v>
      </c>
      <c r="F32" s="109">
        <v>4</v>
      </c>
    </row>
    <row r="33" spans="1:6" x14ac:dyDescent="0.25">
      <c r="A33" s="99" t="s">
        <v>24</v>
      </c>
      <c r="B33" s="132" t="s">
        <v>40</v>
      </c>
      <c r="C33" s="108"/>
      <c r="D33" s="109">
        <v>4</v>
      </c>
      <c r="E33" s="108">
        <v>4</v>
      </c>
      <c r="F33" s="109">
        <v>4</v>
      </c>
    </row>
    <row r="34" spans="1:6" x14ac:dyDescent="0.25">
      <c r="A34" s="99" t="s">
        <v>25</v>
      </c>
      <c r="B34" s="132" t="s">
        <v>78</v>
      </c>
      <c r="C34" s="108"/>
      <c r="D34" s="109">
        <v>4</v>
      </c>
      <c r="E34" s="108">
        <v>4</v>
      </c>
      <c r="F34" s="109">
        <v>4</v>
      </c>
    </row>
    <row r="35" spans="1:6" x14ac:dyDescent="0.25">
      <c r="A35" s="99" t="s">
        <v>26</v>
      </c>
      <c r="B35" s="132" t="s">
        <v>79</v>
      </c>
      <c r="C35" s="108"/>
      <c r="D35" s="109">
        <v>4</v>
      </c>
      <c r="E35" s="108">
        <v>4</v>
      </c>
      <c r="F35" s="109">
        <v>4</v>
      </c>
    </row>
    <row r="36" spans="1:6" x14ac:dyDescent="0.25">
      <c r="A36" s="94"/>
      <c r="B36" s="121" t="s">
        <v>8</v>
      </c>
      <c r="C36" s="112"/>
      <c r="D36" s="112">
        <v>4</v>
      </c>
      <c r="E36" s="128">
        <v>4</v>
      </c>
      <c r="F36" s="112">
        <v>4</v>
      </c>
    </row>
    <row r="37" spans="1:6" x14ac:dyDescent="0.25">
      <c r="A37" s="99"/>
      <c r="B37" s="136" t="s">
        <v>27</v>
      </c>
      <c r="C37" s="137"/>
      <c r="D37" s="131"/>
      <c r="E37" s="137"/>
      <c r="F37" s="131"/>
    </row>
    <row r="38" spans="1:6" x14ac:dyDescent="0.25">
      <c r="A38" s="99" t="s">
        <v>21</v>
      </c>
      <c r="B38" s="132" t="s">
        <v>41</v>
      </c>
      <c r="C38" s="106"/>
      <c r="D38" s="107">
        <v>4</v>
      </c>
      <c r="E38" s="106">
        <v>4</v>
      </c>
      <c r="F38" s="107">
        <v>4</v>
      </c>
    </row>
    <row r="39" spans="1:6" x14ac:dyDescent="0.25">
      <c r="A39" s="99" t="s">
        <v>28</v>
      </c>
      <c r="B39" s="132" t="s">
        <v>80</v>
      </c>
      <c r="C39" s="108"/>
      <c r="D39" s="109">
        <v>4</v>
      </c>
      <c r="E39" s="108">
        <v>4</v>
      </c>
      <c r="F39" s="109">
        <v>4</v>
      </c>
    </row>
    <row r="40" spans="1:6" x14ac:dyDescent="0.25">
      <c r="A40" s="99" t="s">
        <v>29</v>
      </c>
      <c r="B40" s="132" t="s">
        <v>81</v>
      </c>
      <c r="C40" s="108"/>
      <c r="D40" s="109">
        <v>4</v>
      </c>
      <c r="E40" s="108">
        <v>4</v>
      </c>
      <c r="F40" s="109">
        <v>4</v>
      </c>
    </row>
    <row r="41" spans="1:6" x14ac:dyDescent="0.25">
      <c r="A41" s="99" t="s">
        <v>30</v>
      </c>
      <c r="B41" s="132" t="s">
        <v>82</v>
      </c>
      <c r="C41" s="108"/>
      <c r="D41" s="109">
        <v>4</v>
      </c>
      <c r="E41" s="108">
        <v>4</v>
      </c>
      <c r="F41" s="109">
        <v>4</v>
      </c>
    </row>
    <row r="42" spans="1:6" x14ac:dyDescent="0.25">
      <c r="A42" s="139" t="s">
        <v>4</v>
      </c>
      <c r="B42" s="121" t="s">
        <v>8</v>
      </c>
      <c r="C42" s="112"/>
      <c r="D42" s="140">
        <v>4</v>
      </c>
      <c r="E42" s="141">
        <v>4</v>
      </c>
      <c r="F42" s="140">
        <v>4</v>
      </c>
    </row>
    <row r="43" spans="1:6" x14ac:dyDescent="0.25">
      <c r="A43" s="92"/>
      <c r="B43" s="142" t="s">
        <v>83</v>
      </c>
      <c r="C43" s="137"/>
      <c r="D43" s="143"/>
      <c r="E43" s="137"/>
      <c r="F43" s="143"/>
    </row>
    <row r="44" spans="1:6" x14ac:dyDescent="0.25">
      <c r="A44" s="92"/>
      <c r="B44" s="102" t="s">
        <v>84</v>
      </c>
      <c r="C44" s="137"/>
      <c r="D44" s="131"/>
      <c r="E44" s="137"/>
      <c r="F44" s="131"/>
    </row>
    <row r="45" spans="1:6" x14ac:dyDescent="0.25">
      <c r="A45" s="132" t="s">
        <v>85</v>
      </c>
      <c r="B45" s="132" t="s">
        <v>88</v>
      </c>
      <c r="C45" s="108"/>
      <c r="D45" s="107">
        <v>4</v>
      </c>
      <c r="E45" s="108">
        <v>4</v>
      </c>
      <c r="F45" s="107">
        <v>4</v>
      </c>
    </row>
    <row r="46" spans="1:6" x14ac:dyDescent="0.25">
      <c r="A46" s="132" t="s">
        <v>86</v>
      </c>
      <c r="B46" s="132" t="s">
        <v>89</v>
      </c>
      <c r="C46" s="108"/>
      <c r="D46" s="109">
        <v>4</v>
      </c>
      <c r="E46" s="108">
        <v>4</v>
      </c>
      <c r="F46" s="109">
        <v>4</v>
      </c>
    </row>
    <row r="47" spans="1:6" x14ac:dyDescent="0.25">
      <c r="A47" s="132" t="s">
        <v>87</v>
      </c>
      <c r="B47" s="132" t="s">
        <v>90</v>
      </c>
      <c r="C47" s="108"/>
      <c r="D47" s="109">
        <v>4</v>
      </c>
      <c r="E47" s="108">
        <v>4</v>
      </c>
      <c r="F47" s="109">
        <v>4</v>
      </c>
    </row>
    <row r="48" spans="1:6" ht="15.75" thickBot="1" x14ac:dyDescent="0.3">
      <c r="A48" s="145" t="s">
        <v>4</v>
      </c>
      <c r="B48" s="146" t="s">
        <v>8</v>
      </c>
      <c r="C48" s="147"/>
      <c r="D48" s="122">
        <v>4</v>
      </c>
      <c r="E48" s="140">
        <v>4</v>
      </c>
      <c r="F48" s="148">
        <v>4</v>
      </c>
    </row>
    <row r="49" spans="1:6" x14ac:dyDescent="0.25">
      <c r="A49" s="139"/>
      <c r="B49" s="149" t="s">
        <v>248</v>
      </c>
      <c r="C49" s="150"/>
      <c r="D49" s="151"/>
      <c r="E49" s="150"/>
      <c r="F49" s="151"/>
    </row>
    <row r="50" spans="1:6" x14ac:dyDescent="0.25">
      <c r="A50" s="152"/>
      <c r="B50" s="153"/>
      <c r="C50" s="154"/>
      <c r="D50" s="154"/>
      <c r="E50" s="154"/>
      <c r="F50" s="92"/>
    </row>
    <row r="51" spans="1:6" x14ac:dyDescent="0.25">
      <c r="A51" s="155"/>
      <c r="B51" s="153"/>
      <c r="C51" s="154"/>
      <c r="D51" s="154"/>
      <c r="E51" s="154"/>
      <c r="F51" s="92"/>
    </row>
    <row r="52" spans="1:6" x14ac:dyDescent="0.25">
      <c r="A52" s="155"/>
      <c r="B52" s="153"/>
      <c r="C52" s="154"/>
      <c r="D52" s="154"/>
      <c r="E52" s="154"/>
      <c r="F52" s="92"/>
    </row>
    <row r="53" spans="1:6" x14ac:dyDescent="0.25">
      <c r="A53" s="155"/>
      <c r="B53" s="153"/>
      <c r="C53" s="154"/>
      <c r="D53" s="154"/>
      <c r="E53" s="154"/>
      <c r="F53" s="92"/>
    </row>
    <row r="54" spans="1:6" x14ac:dyDescent="0.25">
      <c r="A54" s="155"/>
      <c r="B54" s="153"/>
      <c r="C54" s="154"/>
      <c r="D54" s="154"/>
      <c r="E54" s="154"/>
      <c r="F54" s="92"/>
    </row>
    <row r="55" spans="1:6" x14ac:dyDescent="0.25">
      <c r="A55" s="155"/>
      <c r="B55" s="153"/>
      <c r="C55" s="154"/>
      <c r="D55" s="154"/>
      <c r="E55" s="154"/>
      <c r="F55" s="92"/>
    </row>
    <row r="56" spans="1:6" x14ac:dyDescent="0.25">
      <c r="A56" s="155"/>
      <c r="B56" s="153"/>
      <c r="C56" s="154"/>
      <c r="D56" s="154"/>
      <c r="E56" s="154"/>
      <c r="F56" s="92"/>
    </row>
    <row r="57" spans="1:6" x14ac:dyDescent="0.25">
      <c r="A57" s="155"/>
      <c r="B57" s="153"/>
      <c r="C57" s="92"/>
      <c r="D57" s="92"/>
      <c r="E57" s="92"/>
      <c r="F57" s="92"/>
    </row>
    <row r="58" spans="1:6" x14ac:dyDescent="0.25">
      <c r="A58" s="155"/>
      <c r="B58" s="153"/>
      <c r="C58" s="92"/>
      <c r="D58" s="92"/>
      <c r="E58" s="92"/>
      <c r="F58" s="92"/>
    </row>
    <row r="59" spans="1:6" x14ac:dyDescent="0.25">
      <c r="A59" s="155"/>
      <c r="B59" s="153"/>
      <c r="C59" s="92"/>
      <c r="D59" s="92"/>
      <c r="E59" s="92"/>
      <c r="F59" s="92"/>
    </row>
    <row r="60" spans="1:6" x14ac:dyDescent="0.25">
      <c r="A60" s="155"/>
      <c r="B60" s="153"/>
      <c r="C60" s="92"/>
      <c r="D60" s="92"/>
      <c r="E60" s="92"/>
      <c r="F60" s="92"/>
    </row>
    <row r="61" spans="1:6" x14ac:dyDescent="0.25">
      <c r="A61" s="155"/>
      <c r="B61" s="153"/>
      <c r="C61" s="92"/>
      <c r="D61" s="92"/>
      <c r="E61" s="92"/>
      <c r="F61" s="92"/>
    </row>
    <row r="62" spans="1:6" x14ac:dyDescent="0.25">
      <c r="A62" s="155"/>
      <c r="B62" s="153"/>
      <c r="C62" s="92"/>
      <c r="D62" s="92"/>
      <c r="E62" s="92"/>
      <c r="F62" s="92"/>
    </row>
    <row r="63" spans="1:6" x14ac:dyDescent="0.25">
      <c r="A63" s="155"/>
      <c r="B63" s="153"/>
      <c r="C63" s="92"/>
      <c r="D63" s="92"/>
      <c r="E63" s="92"/>
      <c r="F63" s="92"/>
    </row>
    <row r="64" spans="1:6" x14ac:dyDescent="0.25">
      <c r="A64" s="155"/>
      <c r="B64" s="156"/>
      <c r="C64" s="92"/>
      <c r="D64" s="92"/>
      <c r="E64" s="92"/>
      <c r="F64" s="92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F72"/>
  <sheetViews>
    <sheetView zoomScale="80" zoomScaleNormal="80" workbookViewId="0">
      <selection activeCell="I62" sqref="I62:I63"/>
    </sheetView>
  </sheetViews>
  <sheetFormatPr defaultRowHeight="15" x14ac:dyDescent="0.25"/>
  <cols>
    <col min="1" max="1" width="5.42578125" customWidth="1"/>
    <col min="2" max="2" width="128.7109375" customWidth="1"/>
  </cols>
  <sheetData>
    <row r="1" spans="1:6" x14ac:dyDescent="0.25">
      <c r="A1" s="92"/>
      <c r="B1" s="93" t="s">
        <v>256</v>
      </c>
      <c r="C1" s="94"/>
      <c r="D1" s="94"/>
      <c r="E1" s="92"/>
      <c r="F1" s="92"/>
    </row>
    <row r="2" spans="1:6" x14ac:dyDescent="0.25">
      <c r="A2" s="92"/>
      <c r="B2" s="95" t="s">
        <v>1</v>
      </c>
      <c r="C2" s="96" t="s">
        <v>252</v>
      </c>
      <c r="D2" s="96" t="s">
        <v>54</v>
      </c>
      <c r="E2" s="96" t="s">
        <v>54</v>
      </c>
      <c r="F2" s="96" t="s">
        <v>54</v>
      </c>
    </row>
    <row r="3" spans="1:6" x14ac:dyDescent="0.25">
      <c r="A3" s="92"/>
      <c r="B3" s="97" t="s">
        <v>2</v>
      </c>
      <c r="C3" s="98" t="s">
        <v>6</v>
      </c>
      <c r="D3" s="98" t="s">
        <v>57</v>
      </c>
      <c r="E3" s="98" t="s">
        <v>94</v>
      </c>
      <c r="F3" s="98" t="s">
        <v>95</v>
      </c>
    </row>
    <row r="4" spans="1:6" x14ac:dyDescent="0.25">
      <c r="A4" s="99"/>
      <c r="B4" s="97"/>
      <c r="C4" s="96" t="s">
        <v>3</v>
      </c>
      <c r="D4" s="96" t="s">
        <v>3</v>
      </c>
      <c r="E4" s="96" t="s">
        <v>3</v>
      </c>
      <c r="F4" s="96" t="s">
        <v>3</v>
      </c>
    </row>
    <row r="5" spans="1:6" ht="21" customHeight="1" x14ac:dyDescent="0.25">
      <c r="A5" s="99"/>
      <c r="B5" s="100" t="s">
        <v>5</v>
      </c>
      <c r="C5" s="101"/>
      <c r="D5" s="101"/>
      <c r="E5" s="101"/>
      <c r="F5" s="101"/>
    </row>
    <row r="6" spans="1:6" x14ac:dyDescent="0.25">
      <c r="A6" s="99"/>
      <c r="B6" s="102" t="s">
        <v>13</v>
      </c>
      <c r="C6" s="103"/>
      <c r="D6" s="101"/>
      <c r="E6" s="103"/>
      <c r="F6" s="101"/>
    </row>
    <row r="7" spans="1:6" x14ac:dyDescent="0.25">
      <c r="A7" s="104" t="s">
        <v>11</v>
      </c>
      <c r="B7" s="105" t="s">
        <v>31</v>
      </c>
      <c r="C7" s="106"/>
      <c r="D7" s="107">
        <v>4</v>
      </c>
      <c r="E7" s="106">
        <v>4</v>
      </c>
      <c r="F7" s="107">
        <v>4</v>
      </c>
    </row>
    <row r="8" spans="1:6" x14ac:dyDescent="0.25">
      <c r="A8" s="104" t="s">
        <v>12</v>
      </c>
      <c r="B8" s="105" t="s">
        <v>32</v>
      </c>
      <c r="C8" s="108"/>
      <c r="D8" s="109">
        <v>4</v>
      </c>
      <c r="E8" s="108">
        <v>4</v>
      </c>
      <c r="F8" s="109">
        <v>4</v>
      </c>
    </row>
    <row r="9" spans="1:6" x14ac:dyDescent="0.25">
      <c r="A9" s="104" t="s">
        <v>14</v>
      </c>
      <c r="B9" s="105" t="s">
        <v>64</v>
      </c>
      <c r="C9" s="108"/>
      <c r="D9" s="109">
        <v>4</v>
      </c>
      <c r="E9" s="108">
        <v>4</v>
      </c>
      <c r="F9" s="109">
        <v>4</v>
      </c>
    </row>
    <row r="10" spans="1:6" x14ac:dyDescent="0.25">
      <c r="A10" s="104" t="s">
        <v>15</v>
      </c>
      <c r="B10" s="105" t="s">
        <v>65</v>
      </c>
      <c r="C10" s="108"/>
      <c r="D10" s="109">
        <v>4</v>
      </c>
      <c r="E10" s="108">
        <v>4</v>
      </c>
      <c r="F10" s="109">
        <v>4</v>
      </c>
    </row>
    <row r="11" spans="1:6" x14ac:dyDescent="0.25">
      <c r="A11" s="110"/>
      <c r="B11" s="111" t="s">
        <v>8</v>
      </c>
      <c r="C11" s="113"/>
      <c r="D11" s="112">
        <v>4</v>
      </c>
      <c r="E11" s="113">
        <v>4</v>
      </c>
      <c r="F11" s="112">
        <v>4</v>
      </c>
    </row>
    <row r="12" spans="1:6" x14ac:dyDescent="0.25">
      <c r="A12" s="114"/>
      <c r="B12" s="115" t="s">
        <v>7</v>
      </c>
      <c r="C12" s="116"/>
      <c r="D12" s="117"/>
      <c r="E12" s="116"/>
      <c r="F12" s="117"/>
    </row>
    <row r="13" spans="1:6" ht="15.75" customHeight="1" x14ac:dyDescent="0.25">
      <c r="A13" s="114"/>
      <c r="B13" s="118" t="s">
        <v>16</v>
      </c>
      <c r="C13" s="101"/>
      <c r="D13" s="117"/>
      <c r="E13" s="101"/>
      <c r="F13" s="117"/>
    </row>
    <row r="14" spans="1:6" x14ac:dyDescent="0.25">
      <c r="A14" s="110" t="s">
        <v>17</v>
      </c>
      <c r="B14" s="119" t="s">
        <v>33</v>
      </c>
      <c r="C14" s="106"/>
      <c r="D14" s="109">
        <v>4</v>
      </c>
      <c r="E14" s="106">
        <v>4</v>
      </c>
      <c r="F14" s="109">
        <v>4</v>
      </c>
    </row>
    <row r="15" spans="1:6" x14ac:dyDescent="0.25">
      <c r="A15" s="110" t="s">
        <v>34</v>
      </c>
      <c r="B15" s="119" t="s">
        <v>67</v>
      </c>
      <c r="C15" s="108"/>
      <c r="D15" s="109">
        <v>4</v>
      </c>
      <c r="E15" s="108">
        <v>4</v>
      </c>
      <c r="F15" s="109">
        <v>4</v>
      </c>
    </row>
    <row r="16" spans="1:6" x14ac:dyDescent="0.25">
      <c r="A16" s="110" t="s">
        <v>35</v>
      </c>
      <c r="B16" s="119" t="s">
        <v>68</v>
      </c>
      <c r="C16" s="108"/>
      <c r="D16" s="109">
        <v>4</v>
      </c>
      <c r="E16" s="108">
        <v>4</v>
      </c>
      <c r="F16" s="109">
        <v>4</v>
      </c>
    </row>
    <row r="17" spans="1:6" x14ac:dyDescent="0.25">
      <c r="A17" s="120" t="s">
        <v>66</v>
      </c>
      <c r="B17" s="119" t="s">
        <v>69</v>
      </c>
      <c r="C17" s="108"/>
      <c r="D17" s="109">
        <v>4</v>
      </c>
      <c r="E17" s="108">
        <v>4</v>
      </c>
      <c r="F17" s="109">
        <v>4</v>
      </c>
    </row>
    <row r="18" spans="1:6" x14ac:dyDescent="0.25">
      <c r="A18" s="110"/>
      <c r="B18" s="121" t="s">
        <v>8</v>
      </c>
      <c r="C18" s="113"/>
      <c r="D18" s="122">
        <v>4</v>
      </c>
      <c r="E18" s="113">
        <v>4</v>
      </c>
      <c r="F18" s="122">
        <v>4</v>
      </c>
    </row>
    <row r="19" spans="1:6" x14ac:dyDescent="0.25">
      <c r="A19" s="114"/>
      <c r="B19" s="115" t="s">
        <v>70</v>
      </c>
      <c r="C19" s="101"/>
      <c r="D19" s="123"/>
      <c r="E19" s="101"/>
      <c r="F19" s="117"/>
    </row>
    <row r="20" spans="1:6" x14ac:dyDescent="0.25">
      <c r="A20" s="114"/>
      <c r="B20" s="118" t="s">
        <v>74</v>
      </c>
      <c r="C20" s="101"/>
      <c r="D20" s="123"/>
      <c r="E20" s="101"/>
      <c r="F20" s="117"/>
    </row>
    <row r="21" spans="1:6" x14ac:dyDescent="0.25">
      <c r="A21" s="110" t="s">
        <v>71</v>
      </c>
      <c r="B21" s="124" t="s">
        <v>75</v>
      </c>
      <c r="C21" s="106"/>
      <c r="D21" s="125">
        <v>4</v>
      </c>
      <c r="E21" s="106">
        <v>4</v>
      </c>
      <c r="F21" s="125">
        <v>4</v>
      </c>
    </row>
    <row r="22" spans="1:6" x14ac:dyDescent="0.25">
      <c r="A22" s="110" t="s">
        <v>72</v>
      </c>
      <c r="B22" s="124" t="s">
        <v>76</v>
      </c>
      <c r="C22" s="126"/>
      <c r="D22" s="127">
        <v>4</v>
      </c>
      <c r="E22" s="126">
        <v>4</v>
      </c>
      <c r="F22" s="127">
        <v>4</v>
      </c>
    </row>
    <row r="23" spans="1:6" x14ac:dyDescent="0.25">
      <c r="A23" s="110" t="s">
        <v>73</v>
      </c>
      <c r="B23" s="124" t="s">
        <v>77</v>
      </c>
      <c r="C23" s="126"/>
      <c r="D23" s="127">
        <v>4</v>
      </c>
      <c r="E23" s="126">
        <v>4</v>
      </c>
      <c r="F23" s="127">
        <v>4</v>
      </c>
    </row>
    <row r="24" spans="1:6" x14ac:dyDescent="0.25">
      <c r="A24" s="94"/>
      <c r="B24" s="121" t="s">
        <v>8</v>
      </c>
      <c r="C24" s="113"/>
      <c r="D24" s="122">
        <v>4</v>
      </c>
      <c r="E24" s="128">
        <v>4</v>
      </c>
      <c r="F24" s="122">
        <v>4</v>
      </c>
    </row>
    <row r="25" spans="1:6" x14ac:dyDescent="0.25">
      <c r="A25" s="114"/>
      <c r="B25" s="129" t="s">
        <v>9</v>
      </c>
      <c r="C25" s="130"/>
      <c r="D25" s="131"/>
      <c r="E25" s="130"/>
      <c r="F25" s="131"/>
    </row>
    <row r="26" spans="1:6" x14ac:dyDescent="0.25">
      <c r="A26" s="114"/>
      <c r="B26" s="102" t="s">
        <v>10</v>
      </c>
      <c r="C26" s="130"/>
      <c r="D26" s="131"/>
      <c r="E26" s="130"/>
      <c r="F26" s="131"/>
    </row>
    <row r="27" spans="1:6" x14ac:dyDescent="0.25">
      <c r="A27" s="99" t="s">
        <v>19</v>
      </c>
      <c r="B27" s="132" t="s">
        <v>36</v>
      </c>
      <c r="C27" s="106"/>
      <c r="D27" s="107">
        <v>4</v>
      </c>
      <c r="E27" s="106">
        <v>4</v>
      </c>
      <c r="F27" s="133">
        <v>4</v>
      </c>
    </row>
    <row r="28" spans="1:6" x14ac:dyDescent="0.25">
      <c r="A28" s="99" t="s">
        <v>22</v>
      </c>
      <c r="B28" s="132" t="s">
        <v>37</v>
      </c>
      <c r="C28" s="108"/>
      <c r="D28" s="109">
        <v>4</v>
      </c>
      <c r="E28" s="108">
        <v>4</v>
      </c>
      <c r="F28" s="134">
        <v>4</v>
      </c>
    </row>
    <row r="29" spans="1:6" x14ac:dyDescent="0.25">
      <c r="A29" s="99" t="s">
        <v>23</v>
      </c>
      <c r="B29" s="132" t="s">
        <v>38</v>
      </c>
      <c r="C29" s="108"/>
      <c r="D29" s="109">
        <v>4</v>
      </c>
      <c r="E29" s="108">
        <v>4</v>
      </c>
      <c r="F29" s="134">
        <v>4</v>
      </c>
    </row>
    <row r="30" spans="1:6" x14ac:dyDescent="0.25">
      <c r="A30" s="99"/>
      <c r="B30" s="121" t="s">
        <v>8</v>
      </c>
      <c r="C30" s="113"/>
      <c r="D30" s="112">
        <v>4</v>
      </c>
      <c r="E30" s="128">
        <v>4</v>
      </c>
      <c r="F30" s="112">
        <v>4</v>
      </c>
    </row>
    <row r="31" spans="1:6" x14ac:dyDescent="0.25">
      <c r="A31" s="99"/>
      <c r="B31" s="135" t="s">
        <v>18</v>
      </c>
      <c r="C31" s="130"/>
      <c r="D31" s="131"/>
      <c r="E31" s="130"/>
      <c r="F31" s="131"/>
    </row>
    <row r="32" spans="1:6" x14ac:dyDescent="0.25">
      <c r="A32" s="99" t="s">
        <v>20</v>
      </c>
      <c r="B32" s="132" t="s">
        <v>39</v>
      </c>
      <c r="C32" s="106"/>
      <c r="D32" s="109">
        <v>4</v>
      </c>
      <c r="E32" s="106">
        <v>4</v>
      </c>
      <c r="F32" s="134">
        <v>4</v>
      </c>
    </row>
    <row r="33" spans="1:6" x14ac:dyDescent="0.25">
      <c r="A33" s="99" t="s">
        <v>24</v>
      </c>
      <c r="B33" s="132" t="s">
        <v>40</v>
      </c>
      <c r="C33" s="108"/>
      <c r="D33" s="109">
        <v>4</v>
      </c>
      <c r="E33" s="108">
        <v>4</v>
      </c>
      <c r="F33" s="134">
        <v>4</v>
      </c>
    </row>
    <row r="34" spans="1:6" x14ac:dyDescent="0.25">
      <c r="A34" s="99" t="s">
        <v>25</v>
      </c>
      <c r="B34" s="132" t="s">
        <v>78</v>
      </c>
      <c r="C34" s="108"/>
      <c r="D34" s="109">
        <v>4</v>
      </c>
      <c r="E34" s="108">
        <v>4</v>
      </c>
      <c r="F34" s="134">
        <v>4</v>
      </c>
    </row>
    <row r="35" spans="1:6" x14ac:dyDescent="0.25">
      <c r="A35" s="99" t="s">
        <v>26</v>
      </c>
      <c r="B35" s="132" t="s">
        <v>79</v>
      </c>
      <c r="C35" s="108"/>
      <c r="D35" s="109">
        <v>4</v>
      </c>
      <c r="E35" s="108">
        <v>4</v>
      </c>
      <c r="F35" s="134">
        <v>4</v>
      </c>
    </row>
    <row r="36" spans="1:6" x14ac:dyDescent="0.25">
      <c r="A36" s="94"/>
      <c r="B36" s="121" t="s">
        <v>8</v>
      </c>
      <c r="C36" s="113"/>
      <c r="D36" s="112">
        <v>4</v>
      </c>
      <c r="E36" s="128">
        <v>4</v>
      </c>
      <c r="F36" s="112">
        <v>4</v>
      </c>
    </row>
    <row r="37" spans="1:6" x14ac:dyDescent="0.25">
      <c r="A37" s="99"/>
      <c r="B37" s="136" t="s">
        <v>4</v>
      </c>
      <c r="C37" s="137"/>
      <c r="D37" s="131"/>
      <c r="E37" s="137"/>
      <c r="F37" s="138"/>
    </row>
    <row r="38" spans="1:6" x14ac:dyDescent="0.25">
      <c r="A38" s="99" t="s">
        <v>21</v>
      </c>
      <c r="B38" s="132" t="s">
        <v>41</v>
      </c>
      <c r="C38" s="106"/>
      <c r="D38" s="107">
        <v>4</v>
      </c>
      <c r="E38" s="106">
        <v>4</v>
      </c>
      <c r="F38" s="133">
        <v>4</v>
      </c>
    </row>
    <row r="39" spans="1:6" x14ac:dyDescent="0.25">
      <c r="A39" s="99" t="s">
        <v>28</v>
      </c>
      <c r="B39" s="132" t="s">
        <v>80</v>
      </c>
      <c r="C39" s="108"/>
      <c r="D39" s="109">
        <v>4</v>
      </c>
      <c r="E39" s="108">
        <v>4</v>
      </c>
      <c r="F39" s="134">
        <v>4</v>
      </c>
    </row>
    <row r="40" spans="1:6" x14ac:dyDescent="0.25">
      <c r="A40" s="99" t="s">
        <v>29</v>
      </c>
      <c r="B40" s="132" t="s">
        <v>81</v>
      </c>
      <c r="C40" s="108"/>
      <c r="D40" s="109">
        <v>4</v>
      </c>
      <c r="E40" s="108">
        <v>4</v>
      </c>
      <c r="F40" s="134">
        <v>4</v>
      </c>
    </row>
    <row r="41" spans="1:6" x14ac:dyDescent="0.25">
      <c r="A41" s="99" t="s">
        <v>30</v>
      </c>
      <c r="B41" s="132" t="s">
        <v>82</v>
      </c>
      <c r="C41" s="108"/>
      <c r="D41" s="109">
        <v>4</v>
      </c>
      <c r="E41" s="108">
        <v>4</v>
      </c>
      <c r="F41" s="134">
        <v>4</v>
      </c>
    </row>
    <row r="42" spans="1:6" x14ac:dyDescent="0.25">
      <c r="A42" s="139" t="s">
        <v>4</v>
      </c>
      <c r="B42" s="121" t="s">
        <v>8</v>
      </c>
      <c r="C42" s="113"/>
      <c r="D42" s="140">
        <v>4</v>
      </c>
      <c r="E42" s="141">
        <v>4</v>
      </c>
      <c r="F42" s="140">
        <v>4</v>
      </c>
    </row>
    <row r="43" spans="1:6" x14ac:dyDescent="0.25">
      <c r="A43" s="92"/>
      <c r="B43" s="142" t="s">
        <v>83</v>
      </c>
      <c r="C43" s="137"/>
      <c r="D43" s="143"/>
      <c r="E43" s="137"/>
      <c r="F43" s="144"/>
    </row>
    <row r="44" spans="1:6" x14ac:dyDescent="0.25">
      <c r="A44" s="92"/>
      <c r="B44" s="102" t="s">
        <v>84</v>
      </c>
      <c r="C44" s="137"/>
      <c r="D44" s="131"/>
      <c r="E44" s="137"/>
      <c r="F44" s="138"/>
    </row>
    <row r="45" spans="1:6" x14ac:dyDescent="0.25">
      <c r="A45" s="132" t="s">
        <v>85</v>
      </c>
      <c r="B45" s="132" t="s">
        <v>88</v>
      </c>
      <c r="C45" s="108"/>
      <c r="D45" s="107">
        <v>4</v>
      </c>
      <c r="E45" s="108">
        <v>4</v>
      </c>
      <c r="F45" s="133">
        <v>4</v>
      </c>
    </row>
    <row r="46" spans="1:6" x14ac:dyDescent="0.25">
      <c r="A46" s="132" t="s">
        <v>86</v>
      </c>
      <c r="B46" s="132" t="s">
        <v>89</v>
      </c>
      <c r="C46" s="108"/>
      <c r="D46" s="109">
        <v>4</v>
      </c>
      <c r="E46" s="108">
        <v>4</v>
      </c>
      <c r="F46" s="134">
        <v>4</v>
      </c>
    </row>
    <row r="47" spans="1:6" x14ac:dyDescent="0.25">
      <c r="A47" s="132" t="s">
        <v>87</v>
      </c>
      <c r="B47" s="132" t="s">
        <v>90</v>
      </c>
      <c r="C47" s="108"/>
      <c r="D47" s="109">
        <v>4</v>
      </c>
      <c r="E47" s="108">
        <v>4</v>
      </c>
      <c r="F47" s="134">
        <v>4</v>
      </c>
    </row>
    <row r="48" spans="1:6" ht="15.75" thickBot="1" x14ac:dyDescent="0.3">
      <c r="A48" s="145" t="s">
        <v>4</v>
      </c>
      <c r="B48" s="146" t="s">
        <v>8</v>
      </c>
      <c r="C48" s="147"/>
      <c r="D48" s="122">
        <v>4</v>
      </c>
      <c r="E48" s="140">
        <v>4</v>
      </c>
      <c r="F48" s="148">
        <v>4</v>
      </c>
    </row>
    <row r="49" spans="1:6" x14ac:dyDescent="0.25">
      <c r="A49" s="65"/>
      <c r="B49" s="81" t="s">
        <v>248</v>
      </c>
      <c r="C49" s="82"/>
      <c r="D49" s="83"/>
      <c r="E49" s="82"/>
      <c r="F49" s="181"/>
    </row>
    <row r="50" spans="1:6" x14ac:dyDescent="0.25">
      <c r="A50" s="65">
        <v>1</v>
      </c>
      <c r="B50" s="90" t="s">
        <v>194</v>
      </c>
      <c r="C50" s="84" t="s">
        <v>4</v>
      </c>
      <c r="D50" s="201">
        <v>4</v>
      </c>
      <c r="E50" s="51">
        <v>4</v>
      </c>
      <c r="F50" s="201">
        <v>4</v>
      </c>
    </row>
    <row r="51" spans="1:6" x14ac:dyDescent="0.25">
      <c r="A51" s="65">
        <v>2</v>
      </c>
      <c r="B51" s="90" t="s">
        <v>195</v>
      </c>
      <c r="C51" s="84" t="s">
        <v>4</v>
      </c>
      <c r="D51" s="201">
        <v>4</v>
      </c>
      <c r="E51" s="51">
        <v>4</v>
      </c>
      <c r="F51" s="201">
        <v>4</v>
      </c>
    </row>
    <row r="52" spans="1:6" x14ac:dyDescent="0.25">
      <c r="A52" s="65">
        <v>3</v>
      </c>
      <c r="B52" s="90" t="s">
        <v>196</v>
      </c>
      <c r="C52" s="84" t="s">
        <v>4</v>
      </c>
      <c r="D52" s="201">
        <v>4</v>
      </c>
      <c r="E52" s="51">
        <v>4</v>
      </c>
      <c r="F52" s="201">
        <v>4</v>
      </c>
    </row>
    <row r="53" spans="1:6" x14ac:dyDescent="0.25">
      <c r="A53" s="65">
        <v>4</v>
      </c>
      <c r="B53" s="90" t="s">
        <v>197</v>
      </c>
      <c r="C53" s="84" t="s">
        <v>4</v>
      </c>
      <c r="D53" s="201">
        <v>4</v>
      </c>
      <c r="E53" s="51">
        <v>4</v>
      </c>
      <c r="F53" s="201">
        <v>4</v>
      </c>
    </row>
    <row r="54" spans="1:6" x14ac:dyDescent="0.25">
      <c r="A54" s="65">
        <v>5</v>
      </c>
      <c r="B54" s="90" t="s">
        <v>198</v>
      </c>
      <c r="C54" s="84" t="s">
        <v>4</v>
      </c>
      <c r="D54" s="201">
        <v>4</v>
      </c>
      <c r="E54" s="51">
        <v>4</v>
      </c>
      <c r="F54" s="201">
        <v>4</v>
      </c>
    </row>
    <row r="55" spans="1:6" x14ac:dyDescent="0.25">
      <c r="A55" s="65"/>
      <c r="B55" s="90" t="s">
        <v>199</v>
      </c>
      <c r="C55" s="84"/>
      <c r="D55" s="51"/>
      <c r="E55" s="51"/>
      <c r="F55" s="201"/>
    </row>
    <row r="56" spans="1:6" x14ac:dyDescent="0.25">
      <c r="A56" s="65"/>
      <c r="B56" s="90" t="s">
        <v>200</v>
      </c>
      <c r="C56" s="84"/>
      <c r="D56" s="51"/>
      <c r="E56" s="51"/>
      <c r="F56" s="201"/>
    </row>
    <row r="57" spans="1:6" x14ac:dyDescent="0.25">
      <c r="A57" s="65">
        <v>6</v>
      </c>
      <c r="B57" s="193" t="s">
        <v>201</v>
      </c>
      <c r="C57" s="37"/>
      <c r="D57" s="51">
        <v>4</v>
      </c>
      <c r="E57" s="51">
        <v>4</v>
      </c>
      <c r="F57" s="51">
        <v>4</v>
      </c>
    </row>
    <row r="58" spans="1:6" x14ac:dyDescent="0.25">
      <c r="A58" s="65">
        <v>7</v>
      </c>
      <c r="B58" s="90" t="s">
        <v>202</v>
      </c>
      <c r="C58" s="84"/>
      <c r="D58" s="51">
        <v>4</v>
      </c>
      <c r="E58" s="51">
        <v>4</v>
      </c>
      <c r="F58" s="201">
        <v>4</v>
      </c>
    </row>
    <row r="59" spans="1:6" x14ac:dyDescent="0.25">
      <c r="A59" s="65">
        <v>8</v>
      </c>
      <c r="B59" s="90" t="s">
        <v>203</v>
      </c>
      <c r="C59" s="21"/>
      <c r="D59" s="34">
        <v>4</v>
      </c>
      <c r="E59" s="34">
        <v>4</v>
      </c>
      <c r="F59" s="46">
        <v>4</v>
      </c>
    </row>
    <row r="60" spans="1:6" x14ac:dyDescent="0.25">
      <c r="A60" s="65"/>
      <c r="B60" s="90" t="s">
        <v>204</v>
      </c>
      <c r="C60" s="21"/>
      <c r="D60" s="34"/>
      <c r="E60" s="34"/>
      <c r="F60" s="46"/>
    </row>
    <row r="61" spans="1:6" x14ac:dyDescent="0.25">
      <c r="A61" s="65">
        <v>9</v>
      </c>
      <c r="B61" s="90" t="s">
        <v>205</v>
      </c>
      <c r="C61" s="21"/>
      <c r="D61" s="34">
        <v>4</v>
      </c>
      <c r="E61" s="34">
        <v>4</v>
      </c>
      <c r="F61" s="46">
        <v>4</v>
      </c>
    </row>
    <row r="62" spans="1:6" x14ac:dyDescent="0.25">
      <c r="A62" s="65"/>
      <c r="B62" s="75" t="s">
        <v>206</v>
      </c>
      <c r="C62" s="21"/>
      <c r="D62" s="34"/>
      <c r="E62" s="34"/>
      <c r="F62" s="46"/>
    </row>
    <row r="63" spans="1:6" x14ac:dyDescent="0.25">
      <c r="A63" s="65">
        <v>10</v>
      </c>
      <c r="B63" s="90" t="s">
        <v>207</v>
      </c>
      <c r="C63" s="21"/>
      <c r="D63" s="34">
        <v>4</v>
      </c>
      <c r="E63" s="34">
        <v>4</v>
      </c>
      <c r="F63" s="46">
        <v>4</v>
      </c>
    </row>
    <row r="64" spans="1:6" x14ac:dyDescent="0.25">
      <c r="A64" s="65"/>
      <c r="B64" s="90" t="s">
        <v>208</v>
      </c>
      <c r="C64" s="21"/>
      <c r="D64" s="34"/>
      <c r="E64" s="34"/>
      <c r="F64" s="46"/>
    </row>
    <row r="65" spans="1:6" x14ac:dyDescent="0.25">
      <c r="A65" s="65">
        <v>11</v>
      </c>
      <c r="B65" s="90" t="s">
        <v>209</v>
      </c>
      <c r="C65" s="21"/>
      <c r="D65" s="34">
        <v>4</v>
      </c>
      <c r="E65" s="34">
        <v>4</v>
      </c>
      <c r="F65" s="46">
        <v>4</v>
      </c>
    </row>
    <row r="66" spans="1:6" x14ac:dyDescent="0.25">
      <c r="A66" s="65">
        <v>12</v>
      </c>
      <c r="B66" s="90" t="s">
        <v>210</v>
      </c>
      <c r="C66" s="21"/>
      <c r="D66" s="34">
        <v>4</v>
      </c>
      <c r="E66" s="34">
        <v>4</v>
      </c>
      <c r="F66" s="46">
        <v>4</v>
      </c>
    </row>
    <row r="67" spans="1:6" x14ac:dyDescent="0.25">
      <c r="A67" s="65">
        <v>13</v>
      </c>
      <c r="B67" s="90" t="s">
        <v>211</v>
      </c>
      <c r="C67" s="21"/>
      <c r="D67" s="34">
        <v>4</v>
      </c>
      <c r="E67" s="34">
        <v>4</v>
      </c>
      <c r="F67" s="46">
        <v>4</v>
      </c>
    </row>
    <row r="68" spans="1:6" x14ac:dyDescent="0.25">
      <c r="A68" s="65"/>
      <c r="B68" s="90" t="s">
        <v>212</v>
      </c>
      <c r="C68" s="21"/>
      <c r="D68" s="34"/>
      <c r="E68" s="34"/>
      <c r="F68" s="46"/>
    </row>
    <row r="69" spans="1:6" x14ac:dyDescent="0.25">
      <c r="A69" s="65">
        <v>14</v>
      </c>
      <c r="B69" s="90" t="s">
        <v>213</v>
      </c>
      <c r="C69" s="21"/>
      <c r="D69" s="34">
        <v>4</v>
      </c>
      <c r="E69" s="34">
        <v>4</v>
      </c>
      <c r="F69" s="46">
        <v>4</v>
      </c>
    </row>
    <row r="70" spans="1:6" x14ac:dyDescent="0.25">
      <c r="A70" s="65">
        <v>15</v>
      </c>
      <c r="B70" s="90" t="s">
        <v>214</v>
      </c>
      <c r="C70" s="21"/>
      <c r="D70" s="34">
        <v>4</v>
      </c>
      <c r="E70" s="34">
        <v>4</v>
      </c>
      <c r="F70" s="46">
        <v>4</v>
      </c>
    </row>
    <row r="71" spans="1:6" x14ac:dyDescent="0.25">
      <c r="A71" s="65">
        <v>16</v>
      </c>
      <c r="B71" s="90" t="s">
        <v>215</v>
      </c>
      <c r="C71" s="21"/>
      <c r="D71" s="34">
        <v>4</v>
      </c>
      <c r="E71" s="34">
        <v>4</v>
      </c>
      <c r="F71" s="46">
        <v>4</v>
      </c>
    </row>
    <row r="72" spans="1:6" ht="15.75" thickBot="1" x14ac:dyDescent="0.3">
      <c r="A72" s="17" t="s">
        <v>4</v>
      </c>
      <c r="B72" s="18" t="s">
        <v>8</v>
      </c>
      <c r="C72" s="19"/>
      <c r="D72" s="191">
        <v>4</v>
      </c>
      <c r="E72" s="191">
        <v>4</v>
      </c>
      <c r="F72" s="58">
        <v>4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F48"/>
  <sheetViews>
    <sheetView tabSelected="1" zoomScale="80" zoomScaleNormal="80" workbookViewId="0">
      <selection activeCell="I22" sqref="I22"/>
    </sheetView>
  </sheetViews>
  <sheetFormatPr defaultRowHeight="15" x14ac:dyDescent="0.25"/>
  <cols>
    <col min="1" max="1" width="5.42578125" customWidth="1"/>
    <col min="2" max="2" width="110.42578125" customWidth="1"/>
  </cols>
  <sheetData>
    <row r="1" spans="1:6" x14ac:dyDescent="0.25">
      <c r="A1" s="92"/>
      <c r="B1" s="93" t="s">
        <v>255</v>
      </c>
      <c r="C1" s="94"/>
      <c r="D1" s="94"/>
      <c r="E1" s="92"/>
      <c r="F1" s="92"/>
    </row>
    <row r="2" spans="1:6" x14ac:dyDescent="0.25">
      <c r="A2" s="92"/>
      <c r="B2" s="95" t="s">
        <v>1</v>
      </c>
      <c r="C2" s="96" t="s">
        <v>54</v>
      </c>
      <c r="D2" s="96" t="s">
        <v>54</v>
      </c>
      <c r="E2" s="96" t="s">
        <v>252</v>
      </c>
      <c r="F2" s="96" t="s">
        <v>252</v>
      </c>
    </row>
    <row r="3" spans="1:6" x14ac:dyDescent="0.25">
      <c r="A3" s="92"/>
      <c r="B3" s="97" t="s">
        <v>2</v>
      </c>
      <c r="C3" s="98" t="s">
        <v>6</v>
      </c>
      <c r="D3" s="98" t="s">
        <v>57</v>
      </c>
      <c r="E3" s="98" t="s">
        <v>94</v>
      </c>
      <c r="F3" s="98" t="s">
        <v>95</v>
      </c>
    </row>
    <row r="4" spans="1:6" x14ac:dyDescent="0.25">
      <c r="A4" s="99"/>
      <c r="B4" s="97"/>
      <c r="C4" s="96" t="s">
        <v>3</v>
      </c>
      <c r="D4" s="96" t="s">
        <v>3</v>
      </c>
      <c r="E4" s="96" t="s">
        <v>3</v>
      </c>
      <c r="F4" s="96" t="s">
        <v>3</v>
      </c>
    </row>
    <row r="5" spans="1:6" ht="21" customHeight="1" x14ac:dyDescent="0.25">
      <c r="A5" s="99"/>
      <c r="B5" s="100" t="s">
        <v>5</v>
      </c>
      <c r="C5" s="101"/>
      <c r="D5" s="101"/>
      <c r="E5" s="101"/>
      <c r="F5" s="101"/>
    </row>
    <row r="6" spans="1:6" x14ac:dyDescent="0.25">
      <c r="A6" s="99"/>
      <c r="B6" s="102" t="s">
        <v>13</v>
      </c>
      <c r="C6" s="103"/>
      <c r="D6" s="101"/>
      <c r="E6" s="103"/>
      <c r="F6" s="101"/>
    </row>
    <row r="7" spans="1:6" x14ac:dyDescent="0.25">
      <c r="A7" s="104" t="s">
        <v>11</v>
      </c>
      <c r="B7" s="105" t="s">
        <v>31</v>
      </c>
      <c r="C7" s="25">
        <v>4</v>
      </c>
      <c r="D7" s="25">
        <v>4</v>
      </c>
      <c r="E7" s="106"/>
      <c r="F7" s="107"/>
    </row>
    <row r="8" spans="1:6" x14ac:dyDescent="0.25">
      <c r="A8" s="104" t="s">
        <v>12</v>
      </c>
      <c r="B8" s="105" t="s">
        <v>32</v>
      </c>
      <c r="C8" s="34">
        <v>4</v>
      </c>
      <c r="D8" s="34">
        <v>4</v>
      </c>
      <c r="E8" s="108"/>
      <c r="F8" s="109"/>
    </row>
    <row r="9" spans="1:6" x14ac:dyDescent="0.25">
      <c r="A9" s="104" t="s">
        <v>14</v>
      </c>
      <c r="B9" s="105" t="s">
        <v>64</v>
      </c>
      <c r="C9" s="34">
        <v>4</v>
      </c>
      <c r="D9" s="34">
        <v>4</v>
      </c>
      <c r="E9" s="108"/>
      <c r="F9" s="109"/>
    </row>
    <row r="10" spans="1:6" x14ac:dyDescent="0.25">
      <c r="A10" s="104" t="s">
        <v>15</v>
      </c>
      <c r="B10" s="105" t="s">
        <v>65</v>
      </c>
      <c r="C10" s="34">
        <v>4</v>
      </c>
      <c r="D10" s="34">
        <v>4</v>
      </c>
      <c r="E10" s="108"/>
      <c r="F10" s="109"/>
    </row>
    <row r="11" spans="1:6" x14ac:dyDescent="0.25">
      <c r="A11" s="110"/>
      <c r="B11" s="111" t="s">
        <v>8</v>
      </c>
      <c r="C11" s="61">
        <v>4</v>
      </c>
      <c r="D11" s="61">
        <v>4</v>
      </c>
      <c r="E11" s="113"/>
      <c r="F11" s="112"/>
    </row>
    <row r="12" spans="1:6" x14ac:dyDescent="0.25">
      <c r="A12" s="114"/>
      <c r="B12" s="115" t="s">
        <v>7</v>
      </c>
      <c r="C12" s="31"/>
      <c r="D12" s="31"/>
      <c r="E12" s="116"/>
      <c r="F12" s="117"/>
    </row>
    <row r="13" spans="1:6" ht="15.75" customHeight="1" x14ac:dyDescent="0.25">
      <c r="A13" s="114"/>
      <c r="B13" s="118" t="s">
        <v>16</v>
      </c>
      <c r="C13" s="12"/>
      <c r="D13" s="12"/>
      <c r="E13" s="101"/>
      <c r="F13" s="117"/>
    </row>
    <row r="14" spans="1:6" x14ac:dyDescent="0.25">
      <c r="A14" s="110" t="s">
        <v>17</v>
      </c>
      <c r="B14" s="119" t="s">
        <v>33</v>
      </c>
      <c r="C14" s="25">
        <v>4</v>
      </c>
      <c r="D14" s="25">
        <v>4</v>
      </c>
      <c r="E14" s="106"/>
      <c r="F14" s="109"/>
    </row>
    <row r="15" spans="1:6" x14ac:dyDescent="0.25">
      <c r="A15" s="110" t="s">
        <v>34</v>
      </c>
      <c r="B15" s="119" t="s">
        <v>67</v>
      </c>
      <c r="C15" s="34">
        <v>4</v>
      </c>
      <c r="D15" s="34">
        <v>4</v>
      </c>
      <c r="E15" s="108"/>
      <c r="F15" s="109"/>
    </row>
    <row r="16" spans="1:6" x14ac:dyDescent="0.25">
      <c r="A16" s="110" t="s">
        <v>35</v>
      </c>
      <c r="B16" s="119" t="s">
        <v>68</v>
      </c>
      <c r="C16" s="34">
        <v>4</v>
      </c>
      <c r="D16" s="34">
        <v>4</v>
      </c>
      <c r="E16" s="108"/>
      <c r="F16" s="109"/>
    </row>
    <row r="17" spans="1:6" x14ac:dyDescent="0.25">
      <c r="A17" s="120" t="s">
        <v>66</v>
      </c>
      <c r="B17" s="119" t="s">
        <v>69</v>
      </c>
      <c r="C17" s="34">
        <v>4</v>
      </c>
      <c r="D17" s="34">
        <v>4</v>
      </c>
      <c r="E17" s="108"/>
      <c r="F17" s="109"/>
    </row>
    <row r="18" spans="1:6" x14ac:dyDescent="0.25">
      <c r="A18" s="110"/>
      <c r="B18" s="121" t="s">
        <v>8</v>
      </c>
      <c r="C18" s="61">
        <v>4</v>
      </c>
      <c r="D18" s="61">
        <v>4</v>
      </c>
      <c r="E18" s="113"/>
      <c r="F18" s="122"/>
    </row>
    <row r="19" spans="1:6" x14ac:dyDescent="0.25">
      <c r="A19" s="114"/>
      <c r="B19" s="115" t="s">
        <v>70</v>
      </c>
      <c r="C19" s="12"/>
      <c r="D19" s="12"/>
      <c r="E19" s="101"/>
      <c r="F19" s="117"/>
    </row>
    <row r="20" spans="1:6" x14ac:dyDescent="0.25">
      <c r="A20" s="114"/>
      <c r="B20" s="118" t="s">
        <v>74</v>
      </c>
      <c r="C20" s="12"/>
      <c r="D20" s="12"/>
      <c r="E20" s="101"/>
      <c r="F20" s="117"/>
    </row>
    <row r="21" spans="1:6" x14ac:dyDescent="0.25">
      <c r="A21" s="110" t="s">
        <v>71</v>
      </c>
      <c r="B21" s="124" t="s">
        <v>75</v>
      </c>
      <c r="C21" s="25">
        <v>4</v>
      </c>
      <c r="D21" s="25">
        <v>4</v>
      </c>
      <c r="E21" s="106"/>
      <c r="F21" s="125"/>
    </row>
    <row r="22" spans="1:6" x14ac:dyDescent="0.25">
      <c r="A22" s="110" t="s">
        <v>72</v>
      </c>
      <c r="B22" s="124" t="s">
        <v>76</v>
      </c>
      <c r="C22" s="36">
        <v>4</v>
      </c>
      <c r="D22" s="36">
        <v>4</v>
      </c>
      <c r="E22" s="126"/>
      <c r="F22" s="127"/>
    </row>
    <row r="23" spans="1:6" x14ac:dyDescent="0.25">
      <c r="A23" s="110" t="s">
        <v>73</v>
      </c>
      <c r="B23" s="124" t="s">
        <v>77</v>
      </c>
      <c r="C23" s="36">
        <v>4</v>
      </c>
      <c r="D23" s="36">
        <v>4</v>
      </c>
      <c r="E23" s="126"/>
      <c r="F23" s="127"/>
    </row>
    <row r="24" spans="1:6" x14ac:dyDescent="0.25">
      <c r="A24" s="94"/>
      <c r="B24" s="121" t="s">
        <v>8</v>
      </c>
      <c r="C24" s="62">
        <v>4</v>
      </c>
      <c r="D24" s="62">
        <v>4</v>
      </c>
      <c r="E24" s="128"/>
      <c r="F24" s="122"/>
    </row>
    <row r="25" spans="1:6" x14ac:dyDescent="0.25">
      <c r="A25" s="114"/>
      <c r="B25" s="129" t="s">
        <v>9</v>
      </c>
      <c r="C25" s="13"/>
      <c r="D25" s="13"/>
      <c r="E25" s="130"/>
      <c r="F25" s="131"/>
    </row>
    <row r="26" spans="1:6" x14ac:dyDescent="0.25">
      <c r="A26" s="114"/>
      <c r="B26" s="102" t="s">
        <v>10</v>
      </c>
      <c r="C26" s="13"/>
      <c r="D26" s="13"/>
      <c r="E26" s="130"/>
      <c r="F26" s="131"/>
    </row>
    <row r="27" spans="1:6" x14ac:dyDescent="0.25">
      <c r="A27" s="99" t="s">
        <v>19</v>
      </c>
      <c r="B27" s="132" t="s">
        <v>36</v>
      </c>
      <c r="C27" s="25">
        <v>4</v>
      </c>
      <c r="D27" s="25">
        <v>4</v>
      </c>
      <c r="E27" s="106"/>
      <c r="F27" s="133"/>
    </row>
    <row r="28" spans="1:6" x14ac:dyDescent="0.25">
      <c r="A28" s="99" t="s">
        <v>22</v>
      </c>
      <c r="B28" s="132" t="s">
        <v>37</v>
      </c>
      <c r="C28" s="34">
        <v>4</v>
      </c>
      <c r="D28" s="34">
        <v>4</v>
      </c>
      <c r="E28" s="108"/>
      <c r="F28" s="134"/>
    </row>
    <row r="29" spans="1:6" x14ac:dyDescent="0.25">
      <c r="A29" s="99" t="s">
        <v>23</v>
      </c>
      <c r="B29" s="132" t="s">
        <v>38</v>
      </c>
      <c r="C29" s="34">
        <v>4</v>
      </c>
      <c r="D29" s="34">
        <v>4</v>
      </c>
      <c r="E29" s="108"/>
      <c r="F29" s="134"/>
    </row>
    <row r="30" spans="1:6" x14ac:dyDescent="0.25">
      <c r="A30" s="99"/>
      <c r="B30" s="121" t="s">
        <v>91</v>
      </c>
      <c r="C30" s="62">
        <v>4</v>
      </c>
      <c r="D30" s="62">
        <v>4</v>
      </c>
      <c r="E30" s="128"/>
      <c r="F30" s="112"/>
    </row>
    <row r="31" spans="1:6" x14ac:dyDescent="0.25">
      <c r="A31" s="99"/>
      <c r="B31" s="135" t="s">
        <v>18</v>
      </c>
      <c r="C31" s="13"/>
      <c r="D31" s="13"/>
      <c r="E31" s="130"/>
      <c r="F31" s="131"/>
    </row>
    <row r="32" spans="1:6" x14ac:dyDescent="0.25">
      <c r="A32" s="99" t="s">
        <v>20</v>
      </c>
      <c r="B32" s="132" t="s">
        <v>39</v>
      </c>
      <c r="C32" s="25">
        <v>4</v>
      </c>
      <c r="D32" s="25">
        <v>4</v>
      </c>
      <c r="E32" s="106"/>
      <c r="F32" s="134"/>
    </row>
    <row r="33" spans="1:6" x14ac:dyDescent="0.25">
      <c r="A33" s="99" t="s">
        <v>24</v>
      </c>
      <c r="B33" s="132" t="s">
        <v>40</v>
      </c>
      <c r="C33" s="34">
        <v>4</v>
      </c>
      <c r="D33" s="34">
        <v>4</v>
      </c>
      <c r="E33" s="108"/>
      <c r="F33" s="134"/>
    </row>
    <row r="34" spans="1:6" x14ac:dyDescent="0.25">
      <c r="A34" s="99" t="s">
        <v>25</v>
      </c>
      <c r="B34" s="132" t="s">
        <v>78</v>
      </c>
      <c r="C34" s="34">
        <v>4</v>
      </c>
      <c r="D34" s="34">
        <v>4</v>
      </c>
      <c r="E34" s="108"/>
      <c r="F34" s="134"/>
    </row>
    <row r="35" spans="1:6" x14ac:dyDescent="0.25">
      <c r="A35" s="99" t="s">
        <v>26</v>
      </c>
      <c r="B35" s="132" t="s">
        <v>79</v>
      </c>
      <c r="C35" s="34">
        <v>4</v>
      </c>
      <c r="D35" s="34">
        <v>4</v>
      </c>
      <c r="E35" s="108"/>
      <c r="F35" s="134"/>
    </row>
    <row r="36" spans="1:6" x14ac:dyDescent="0.25">
      <c r="A36" s="94"/>
      <c r="B36" s="121" t="s">
        <v>8</v>
      </c>
      <c r="C36" s="62">
        <v>4</v>
      </c>
      <c r="D36" s="62">
        <v>4</v>
      </c>
      <c r="E36" s="128"/>
      <c r="F36" s="112"/>
    </row>
    <row r="37" spans="1:6" x14ac:dyDescent="0.25">
      <c r="A37" s="99"/>
      <c r="B37" s="136" t="s">
        <v>27</v>
      </c>
      <c r="C37" s="15"/>
      <c r="D37" s="15"/>
      <c r="E37" s="137"/>
      <c r="F37" s="138"/>
    </row>
    <row r="38" spans="1:6" x14ac:dyDescent="0.25">
      <c r="A38" s="99" t="s">
        <v>21</v>
      </c>
      <c r="B38" s="132" t="s">
        <v>41</v>
      </c>
      <c r="C38" s="25">
        <v>4</v>
      </c>
      <c r="D38" s="25">
        <v>4</v>
      </c>
      <c r="E38" s="106"/>
      <c r="F38" s="133"/>
    </row>
    <row r="39" spans="1:6" x14ac:dyDescent="0.25">
      <c r="A39" s="99" t="s">
        <v>28</v>
      </c>
      <c r="B39" s="132" t="s">
        <v>80</v>
      </c>
      <c r="C39" s="34">
        <v>4</v>
      </c>
      <c r="D39" s="34">
        <v>4</v>
      </c>
      <c r="E39" s="108"/>
      <c r="F39" s="134"/>
    </row>
    <row r="40" spans="1:6" x14ac:dyDescent="0.25">
      <c r="A40" s="99" t="s">
        <v>29</v>
      </c>
      <c r="B40" s="132" t="s">
        <v>81</v>
      </c>
      <c r="C40" s="34">
        <v>4</v>
      </c>
      <c r="D40" s="34">
        <v>4</v>
      </c>
      <c r="E40" s="108"/>
      <c r="F40" s="134"/>
    </row>
    <row r="41" spans="1:6" x14ac:dyDescent="0.25">
      <c r="A41" s="99" t="s">
        <v>30</v>
      </c>
      <c r="B41" s="132" t="s">
        <v>82</v>
      </c>
      <c r="C41" s="34">
        <v>4</v>
      </c>
      <c r="D41" s="34">
        <v>4</v>
      </c>
      <c r="E41" s="108"/>
      <c r="F41" s="134"/>
    </row>
    <row r="42" spans="1:6" x14ac:dyDescent="0.25">
      <c r="A42" s="139" t="s">
        <v>4</v>
      </c>
      <c r="B42" s="121" t="s">
        <v>8</v>
      </c>
      <c r="C42" s="63">
        <v>4</v>
      </c>
      <c r="D42" s="63">
        <v>4</v>
      </c>
      <c r="E42" s="141"/>
      <c r="F42" s="140"/>
    </row>
    <row r="43" spans="1:6" x14ac:dyDescent="0.25">
      <c r="A43" s="92"/>
      <c r="B43" s="142" t="s">
        <v>83</v>
      </c>
      <c r="C43" s="15"/>
      <c r="D43" s="15"/>
      <c r="E43" s="137"/>
      <c r="F43" s="144"/>
    </row>
    <row r="44" spans="1:6" x14ac:dyDescent="0.25">
      <c r="A44" s="92"/>
      <c r="B44" s="102" t="s">
        <v>84</v>
      </c>
      <c r="C44" s="69"/>
      <c r="D44" s="69"/>
      <c r="E44" s="137"/>
      <c r="F44" s="138"/>
    </row>
    <row r="45" spans="1:6" x14ac:dyDescent="0.25">
      <c r="A45" s="132" t="s">
        <v>85</v>
      </c>
      <c r="B45" s="132" t="s">
        <v>88</v>
      </c>
      <c r="C45" s="34">
        <v>4</v>
      </c>
      <c r="D45" s="34">
        <v>4</v>
      </c>
      <c r="E45" s="108"/>
      <c r="F45" s="133"/>
    </row>
    <row r="46" spans="1:6" x14ac:dyDescent="0.25">
      <c r="A46" s="132" t="s">
        <v>86</v>
      </c>
      <c r="B46" s="132" t="s">
        <v>89</v>
      </c>
      <c r="C46" s="34">
        <v>4</v>
      </c>
      <c r="D46" s="34">
        <v>4</v>
      </c>
      <c r="E46" s="108"/>
      <c r="F46" s="134"/>
    </row>
    <row r="47" spans="1:6" x14ac:dyDescent="0.25">
      <c r="A47" s="132" t="s">
        <v>87</v>
      </c>
      <c r="B47" s="132" t="s">
        <v>90</v>
      </c>
      <c r="C47" s="34">
        <v>4</v>
      </c>
      <c r="D47" s="34">
        <v>4</v>
      </c>
      <c r="E47" s="108"/>
      <c r="F47" s="134"/>
    </row>
    <row r="48" spans="1:6" ht="15.75" thickBot="1" x14ac:dyDescent="0.3">
      <c r="A48" s="145" t="s">
        <v>4</v>
      </c>
      <c r="B48" s="146" t="s">
        <v>8</v>
      </c>
      <c r="C48" s="56">
        <v>4</v>
      </c>
      <c r="D48" s="56">
        <v>4</v>
      </c>
      <c r="E48" s="147"/>
      <c r="F48" s="148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61"/>
  <sheetViews>
    <sheetView zoomScale="80" zoomScaleNormal="80" workbookViewId="0">
      <selection activeCell="I43" sqref="I43"/>
    </sheetView>
  </sheetViews>
  <sheetFormatPr defaultRowHeight="15" x14ac:dyDescent="0.25"/>
  <cols>
    <col min="1" max="1" width="5.140625" customWidth="1"/>
    <col min="2" max="2" width="137.140625" customWidth="1"/>
  </cols>
  <sheetData>
    <row r="1" spans="1:6" x14ac:dyDescent="0.25">
      <c r="B1" s="4" t="s">
        <v>254</v>
      </c>
      <c r="C1" s="3"/>
      <c r="D1" s="3"/>
    </row>
    <row r="2" spans="1:6" x14ac:dyDescent="0.25">
      <c r="B2" s="5" t="s">
        <v>1</v>
      </c>
      <c r="C2" s="6" t="s">
        <v>54</v>
      </c>
      <c r="D2" s="6" t="s">
        <v>54</v>
      </c>
      <c r="E2" s="6" t="s">
        <v>54</v>
      </c>
      <c r="F2" s="6" t="s">
        <v>55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6.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4</v>
      </c>
      <c r="D7" s="45">
        <v>4</v>
      </c>
      <c r="E7" s="45">
        <v>4</v>
      </c>
      <c r="F7" s="45">
        <v>3.5</v>
      </c>
    </row>
    <row r="8" spans="1:6" x14ac:dyDescent="0.25">
      <c r="A8" s="39" t="s">
        <v>12</v>
      </c>
      <c r="B8" s="42" t="s">
        <v>32</v>
      </c>
      <c r="C8" s="34">
        <v>4</v>
      </c>
      <c r="D8" s="46">
        <v>4</v>
      </c>
      <c r="E8" s="46">
        <v>4</v>
      </c>
      <c r="F8" s="46">
        <v>3.5</v>
      </c>
    </row>
    <row r="9" spans="1:6" x14ac:dyDescent="0.25">
      <c r="A9" s="39" t="s">
        <v>14</v>
      </c>
      <c r="B9" s="42" t="s">
        <v>64</v>
      </c>
      <c r="C9" s="34">
        <v>4</v>
      </c>
      <c r="D9" s="46">
        <v>4</v>
      </c>
      <c r="E9" s="46">
        <v>4</v>
      </c>
      <c r="F9" s="46">
        <v>4</v>
      </c>
    </row>
    <row r="10" spans="1:6" x14ac:dyDescent="0.25">
      <c r="A10" s="39" t="s">
        <v>15</v>
      </c>
      <c r="B10" s="42" t="s">
        <v>65</v>
      </c>
      <c r="C10" s="34">
        <v>4</v>
      </c>
      <c r="D10" s="46">
        <v>4</v>
      </c>
      <c r="E10" s="46">
        <v>4</v>
      </c>
      <c r="F10" s="46">
        <v>4</v>
      </c>
    </row>
    <row r="11" spans="1:6" x14ac:dyDescent="0.25">
      <c r="A11" s="40"/>
      <c r="B11" s="33" t="s">
        <v>8</v>
      </c>
      <c r="C11" s="61">
        <v>4</v>
      </c>
      <c r="D11" s="47">
        <f>AVERAGE(D7:D10)</f>
        <v>4</v>
      </c>
      <c r="E11" s="47">
        <f>AVERAGE(E7:E10)</f>
        <v>4</v>
      </c>
      <c r="F11" s="47">
        <v>3.5</v>
      </c>
    </row>
    <row r="12" spans="1:6" x14ac:dyDescent="0.25">
      <c r="A12" s="2"/>
      <c r="B12" s="22" t="s">
        <v>7</v>
      </c>
      <c r="C12" s="31"/>
      <c r="D12" s="59"/>
      <c r="E12" s="59"/>
      <c r="F12" s="48"/>
    </row>
    <row r="13" spans="1:6" x14ac:dyDescent="0.25">
      <c r="A13" s="2"/>
      <c r="B13" s="20" t="s">
        <v>16</v>
      </c>
      <c r="C13" s="12"/>
      <c r="D13" s="59"/>
      <c r="E13" s="59"/>
      <c r="F13" s="48"/>
    </row>
    <row r="14" spans="1:6" ht="15.75" customHeight="1" x14ac:dyDescent="0.25">
      <c r="A14" s="40" t="s">
        <v>17</v>
      </c>
      <c r="B14" s="29" t="s">
        <v>33</v>
      </c>
      <c r="C14" s="25">
        <v>4</v>
      </c>
      <c r="D14" s="46">
        <v>4</v>
      </c>
      <c r="E14" s="46">
        <v>4</v>
      </c>
      <c r="F14" s="46">
        <v>3.5</v>
      </c>
    </row>
    <row r="15" spans="1:6" x14ac:dyDescent="0.25">
      <c r="A15" s="40" t="s">
        <v>34</v>
      </c>
      <c r="B15" s="29" t="s">
        <v>67</v>
      </c>
      <c r="C15" s="34">
        <v>4</v>
      </c>
      <c r="D15" s="46">
        <v>4</v>
      </c>
      <c r="E15" s="46">
        <v>4</v>
      </c>
      <c r="F15" s="46">
        <v>3.5</v>
      </c>
    </row>
    <row r="16" spans="1:6" x14ac:dyDescent="0.25">
      <c r="A16" s="40" t="s">
        <v>35</v>
      </c>
      <c r="B16" s="29" t="s">
        <v>68</v>
      </c>
      <c r="C16" s="34">
        <v>4</v>
      </c>
      <c r="D16" s="46">
        <v>4</v>
      </c>
      <c r="E16" s="46">
        <v>4</v>
      </c>
      <c r="F16" s="46">
        <v>3.5</v>
      </c>
    </row>
    <row r="17" spans="1:6" x14ac:dyDescent="0.25">
      <c r="A17" s="41" t="s">
        <v>66</v>
      </c>
      <c r="B17" s="29" t="s">
        <v>69</v>
      </c>
      <c r="C17" s="34">
        <v>4</v>
      </c>
      <c r="D17" s="46">
        <v>4</v>
      </c>
      <c r="E17" s="46">
        <v>4</v>
      </c>
      <c r="F17" s="46">
        <v>4</v>
      </c>
    </row>
    <row r="18" spans="1:6" x14ac:dyDescent="0.25">
      <c r="A18" s="40"/>
      <c r="B18" s="14" t="s">
        <v>8</v>
      </c>
      <c r="C18" s="61">
        <v>4</v>
      </c>
      <c r="D18" s="49">
        <v>4</v>
      </c>
      <c r="E18" s="49">
        <v>4</v>
      </c>
      <c r="F18" s="49">
        <v>3.6</v>
      </c>
    </row>
    <row r="19" spans="1:6" x14ac:dyDescent="0.25">
      <c r="A19" s="2"/>
      <c r="B19" s="22" t="s">
        <v>70</v>
      </c>
      <c r="C19" s="12"/>
      <c r="D19" s="59"/>
      <c r="E19" s="59"/>
      <c r="F19" s="48" t="s">
        <v>4</v>
      </c>
    </row>
    <row r="20" spans="1:6" x14ac:dyDescent="0.25">
      <c r="A20" s="2"/>
      <c r="B20" s="20" t="s">
        <v>74</v>
      </c>
      <c r="C20" s="12"/>
      <c r="D20" s="59"/>
      <c r="E20" s="59"/>
      <c r="F20" s="48"/>
    </row>
    <row r="21" spans="1:6" x14ac:dyDescent="0.25">
      <c r="A21" s="40" t="s">
        <v>71</v>
      </c>
      <c r="B21" s="24" t="s">
        <v>75</v>
      </c>
      <c r="C21" s="25">
        <v>4</v>
      </c>
      <c r="D21" s="50">
        <v>4</v>
      </c>
      <c r="E21" s="50">
        <v>4</v>
      </c>
      <c r="F21" s="50">
        <v>4</v>
      </c>
    </row>
    <row r="22" spans="1:6" x14ac:dyDescent="0.25">
      <c r="A22" s="40" t="s">
        <v>72</v>
      </c>
      <c r="B22" s="24" t="s">
        <v>76</v>
      </c>
      <c r="C22" s="36">
        <v>4</v>
      </c>
      <c r="D22" s="51">
        <v>4</v>
      </c>
      <c r="E22" s="51">
        <v>4</v>
      </c>
      <c r="F22" s="51">
        <v>4</v>
      </c>
    </row>
    <row r="23" spans="1:6" x14ac:dyDescent="0.25">
      <c r="A23" s="40" t="s">
        <v>73</v>
      </c>
      <c r="B23" s="24" t="s">
        <v>77</v>
      </c>
      <c r="C23" s="36">
        <v>4</v>
      </c>
      <c r="D23" s="51">
        <v>4</v>
      </c>
      <c r="E23" s="51">
        <v>4</v>
      </c>
      <c r="F23" s="51">
        <v>4</v>
      </c>
    </row>
    <row r="24" spans="1:6" x14ac:dyDescent="0.25">
      <c r="A24" s="3"/>
      <c r="B24" s="14" t="s">
        <v>8</v>
      </c>
      <c r="C24" s="62">
        <v>4</v>
      </c>
      <c r="D24" s="49">
        <f>AVERAGE(D21:D23)</f>
        <v>4</v>
      </c>
      <c r="E24" s="49">
        <f>AVERAGE(E21:E23)</f>
        <v>4</v>
      </c>
      <c r="F24" s="49">
        <v>4</v>
      </c>
    </row>
    <row r="25" spans="1:6" x14ac:dyDescent="0.25">
      <c r="A25" s="2"/>
      <c r="B25" s="9" t="s">
        <v>9</v>
      </c>
      <c r="C25" s="13"/>
      <c r="D25" s="52"/>
      <c r="E25" s="52"/>
      <c r="F25" s="52"/>
    </row>
    <row r="26" spans="1:6" x14ac:dyDescent="0.25">
      <c r="A26" s="2"/>
      <c r="B26" s="11" t="s">
        <v>10</v>
      </c>
      <c r="C26" s="13"/>
      <c r="D26" s="52"/>
      <c r="E26" s="52"/>
      <c r="F26" s="52"/>
    </row>
    <row r="27" spans="1:6" x14ac:dyDescent="0.25">
      <c r="A27" s="1" t="s">
        <v>19</v>
      </c>
      <c r="B27" s="30" t="s">
        <v>36</v>
      </c>
      <c r="C27" s="25">
        <v>4</v>
      </c>
      <c r="D27" s="45">
        <v>4</v>
      </c>
      <c r="E27" s="45">
        <v>4</v>
      </c>
      <c r="F27" s="45">
        <v>4</v>
      </c>
    </row>
    <row r="28" spans="1:6" x14ac:dyDescent="0.25">
      <c r="A28" s="1" t="s">
        <v>22</v>
      </c>
      <c r="B28" s="30" t="s">
        <v>37</v>
      </c>
      <c r="C28" s="34">
        <v>4</v>
      </c>
      <c r="D28" s="46">
        <v>4</v>
      </c>
      <c r="E28" s="46">
        <v>4</v>
      </c>
      <c r="F28" s="46">
        <v>4</v>
      </c>
    </row>
    <row r="29" spans="1:6" x14ac:dyDescent="0.25">
      <c r="A29" s="1" t="s">
        <v>23</v>
      </c>
      <c r="B29" s="30" t="s">
        <v>38</v>
      </c>
      <c r="C29" s="34">
        <v>4</v>
      </c>
      <c r="D29" s="46">
        <v>4</v>
      </c>
      <c r="E29" s="46">
        <v>4</v>
      </c>
      <c r="F29" s="46">
        <v>4</v>
      </c>
    </row>
    <row r="30" spans="1:6" x14ac:dyDescent="0.25">
      <c r="A30" s="1"/>
      <c r="B30" s="14" t="s">
        <v>8</v>
      </c>
      <c r="C30" s="62">
        <v>4</v>
      </c>
      <c r="D30" s="47">
        <f>AVERAGE(D27:D29)</f>
        <v>4</v>
      </c>
      <c r="E30" s="47">
        <f>AVERAGE(E27:E29)</f>
        <v>4</v>
      </c>
      <c r="F30" s="47">
        <v>4</v>
      </c>
    </row>
    <row r="31" spans="1:6" x14ac:dyDescent="0.25">
      <c r="A31" s="1"/>
      <c r="B31" s="43" t="s">
        <v>18</v>
      </c>
      <c r="C31" s="13"/>
      <c r="D31" s="52"/>
      <c r="E31" s="52"/>
      <c r="F31" s="52"/>
    </row>
    <row r="32" spans="1:6" x14ac:dyDescent="0.25">
      <c r="A32" s="1" t="s">
        <v>20</v>
      </c>
      <c r="B32" s="30" t="s">
        <v>39</v>
      </c>
      <c r="C32" s="25">
        <v>4</v>
      </c>
      <c r="D32" s="46">
        <v>4</v>
      </c>
      <c r="E32" s="46">
        <v>4</v>
      </c>
      <c r="F32" s="46">
        <v>3</v>
      </c>
    </row>
    <row r="33" spans="1:6" x14ac:dyDescent="0.25">
      <c r="A33" s="1" t="s">
        <v>24</v>
      </c>
      <c r="B33" s="30" t="s">
        <v>40</v>
      </c>
      <c r="C33" s="34">
        <v>4</v>
      </c>
      <c r="D33" s="46">
        <v>4</v>
      </c>
      <c r="E33" s="46">
        <v>4</v>
      </c>
      <c r="F33" s="46">
        <v>4</v>
      </c>
    </row>
    <row r="34" spans="1:6" x14ac:dyDescent="0.25">
      <c r="A34" s="1" t="s">
        <v>25</v>
      </c>
      <c r="B34" s="30" t="s">
        <v>78</v>
      </c>
      <c r="C34" s="34">
        <v>4</v>
      </c>
      <c r="D34" s="46">
        <v>4</v>
      </c>
      <c r="E34" s="46">
        <v>4</v>
      </c>
      <c r="F34" s="46">
        <v>4</v>
      </c>
    </row>
    <row r="35" spans="1:6" ht="14.25" customHeight="1" x14ac:dyDescent="0.25">
      <c r="A35" s="1" t="s">
        <v>26</v>
      </c>
      <c r="B35" s="30" t="s">
        <v>79</v>
      </c>
      <c r="C35" s="34">
        <v>4</v>
      </c>
      <c r="D35" s="46">
        <v>4</v>
      </c>
      <c r="E35" s="46">
        <v>4</v>
      </c>
      <c r="F35" s="46">
        <v>4</v>
      </c>
    </row>
    <row r="36" spans="1:6" x14ac:dyDescent="0.25">
      <c r="A36" s="3"/>
      <c r="B36" s="14" t="s">
        <v>8</v>
      </c>
      <c r="C36" s="62">
        <v>4</v>
      </c>
      <c r="D36" s="47">
        <v>4</v>
      </c>
      <c r="E36" s="47">
        <v>4</v>
      </c>
      <c r="F36" s="47">
        <v>3.7</v>
      </c>
    </row>
    <row r="37" spans="1:6" x14ac:dyDescent="0.25">
      <c r="A37" s="1"/>
      <c r="B37" s="10" t="s">
        <v>27</v>
      </c>
      <c r="C37" s="15"/>
      <c r="D37" s="52"/>
      <c r="E37" s="52"/>
      <c r="F37" s="55" t="s">
        <v>4</v>
      </c>
    </row>
    <row r="38" spans="1:6" x14ac:dyDescent="0.25">
      <c r="A38" s="1" t="s">
        <v>21</v>
      </c>
      <c r="B38" s="30" t="s">
        <v>41</v>
      </c>
      <c r="C38" s="25">
        <v>4</v>
      </c>
      <c r="D38" s="45">
        <v>4</v>
      </c>
      <c r="E38" s="45">
        <v>4</v>
      </c>
      <c r="F38" s="53">
        <v>4</v>
      </c>
    </row>
    <row r="39" spans="1:6" x14ac:dyDescent="0.25">
      <c r="A39" s="1" t="s">
        <v>28</v>
      </c>
      <c r="B39" s="30" t="s">
        <v>80</v>
      </c>
      <c r="C39" s="34">
        <v>4</v>
      </c>
      <c r="D39" s="46">
        <v>4</v>
      </c>
      <c r="E39" s="46">
        <v>4</v>
      </c>
      <c r="F39" s="54">
        <v>4</v>
      </c>
    </row>
    <row r="40" spans="1:6" x14ac:dyDescent="0.25">
      <c r="A40" s="1" t="s">
        <v>29</v>
      </c>
      <c r="B40" s="30" t="s">
        <v>81</v>
      </c>
      <c r="C40" s="34">
        <v>4</v>
      </c>
      <c r="D40" s="46">
        <v>4</v>
      </c>
      <c r="E40" s="46">
        <v>4</v>
      </c>
      <c r="F40" s="46">
        <v>4</v>
      </c>
    </row>
    <row r="41" spans="1:6" x14ac:dyDescent="0.25">
      <c r="A41" s="1" t="s">
        <v>30</v>
      </c>
      <c r="B41" s="30" t="s">
        <v>82</v>
      </c>
      <c r="C41" s="34">
        <v>4</v>
      </c>
      <c r="D41" s="46">
        <v>4</v>
      </c>
      <c r="E41" s="46">
        <v>4</v>
      </c>
      <c r="F41" s="46">
        <v>4</v>
      </c>
    </row>
    <row r="42" spans="1:6" x14ac:dyDescent="0.25">
      <c r="A42" s="26" t="s">
        <v>4</v>
      </c>
      <c r="B42" s="14" t="s">
        <v>8</v>
      </c>
      <c r="C42" s="63">
        <v>4</v>
      </c>
      <c r="D42" s="56">
        <f>AVERAGE(D38:D41)</f>
        <v>4</v>
      </c>
      <c r="E42" s="56">
        <f>AVERAGE(E38:E41)</f>
        <v>4</v>
      </c>
      <c r="F42" s="56">
        <v>4</v>
      </c>
    </row>
    <row r="43" spans="1:6" x14ac:dyDescent="0.25">
      <c r="B43" s="27" t="s">
        <v>83</v>
      </c>
      <c r="C43" s="15"/>
      <c r="D43" s="60"/>
      <c r="E43" s="60"/>
      <c r="F43" s="60"/>
    </row>
    <row r="44" spans="1:6" x14ac:dyDescent="0.25">
      <c r="B44" s="11" t="s">
        <v>84</v>
      </c>
      <c r="C44" s="69"/>
      <c r="D44" s="52"/>
      <c r="E44" s="52"/>
      <c r="F44" s="52"/>
    </row>
    <row r="45" spans="1:6" x14ac:dyDescent="0.25">
      <c r="A45" s="30" t="s">
        <v>85</v>
      </c>
      <c r="B45" s="30" t="s">
        <v>88</v>
      </c>
      <c r="C45" s="34">
        <v>4</v>
      </c>
      <c r="D45" s="46">
        <v>4</v>
      </c>
      <c r="E45" s="46">
        <v>4</v>
      </c>
      <c r="F45" s="46">
        <v>4</v>
      </c>
    </row>
    <row r="46" spans="1:6" x14ac:dyDescent="0.25">
      <c r="A46" s="30" t="s">
        <v>86</v>
      </c>
      <c r="B46" s="30" t="s">
        <v>89</v>
      </c>
      <c r="C46" s="34">
        <v>4</v>
      </c>
      <c r="D46" s="46">
        <v>4</v>
      </c>
      <c r="E46" s="46">
        <v>4</v>
      </c>
      <c r="F46" s="46">
        <v>4</v>
      </c>
    </row>
    <row r="47" spans="1:6" x14ac:dyDescent="0.25">
      <c r="A47" s="30" t="s">
        <v>87</v>
      </c>
      <c r="B47" s="30" t="s">
        <v>90</v>
      </c>
      <c r="C47" s="34">
        <v>4</v>
      </c>
      <c r="D47" s="46">
        <v>4</v>
      </c>
      <c r="E47" s="46">
        <v>4</v>
      </c>
      <c r="F47" s="46">
        <v>4</v>
      </c>
    </row>
    <row r="48" spans="1:6" ht="15.75" thickBot="1" x14ac:dyDescent="0.3">
      <c r="A48" s="17" t="s">
        <v>4</v>
      </c>
      <c r="B48" s="18" t="s">
        <v>8</v>
      </c>
      <c r="C48" s="56">
        <v>4</v>
      </c>
      <c r="D48" s="49">
        <v>4</v>
      </c>
      <c r="E48" s="49">
        <v>4</v>
      </c>
      <c r="F48" s="49">
        <v>4</v>
      </c>
    </row>
    <row r="49" spans="1:6" x14ac:dyDescent="0.25">
      <c r="A49" s="65"/>
      <c r="B49" s="81" t="s">
        <v>248</v>
      </c>
      <c r="C49" s="179"/>
      <c r="D49" s="179"/>
      <c r="E49" s="179"/>
      <c r="F49" s="229"/>
    </row>
    <row r="50" spans="1:6" x14ac:dyDescent="0.25">
      <c r="A50" s="65">
        <v>1</v>
      </c>
      <c r="B50" s="78" t="s">
        <v>121</v>
      </c>
      <c r="C50" s="51">
        <v>4</v>
      </c>
      <c r="D50" s="51">
        <v>4</v>
      </c>
      <c r="E50" s="51">
        <v>4</v>
      </c>
      <c r="F50" s="51">
        <v>4</v>
      </c>
    </row>
    <row r="51" spans="1:6" x14ac:dyDescent="0.25">
      <c r="A51" s="65">
        <v>2</v>
      </c>
      <c r="B51" s="78" t="s">
        <v>122</v>
      </c>
      <c r="C51" s="51">
        <v>4</v>
      </c>
      <c r="D51" s="51">
        <v>4</v>
      </c>
      <c r="E51" s="51">
        <v>4</v>
      </c>
      <c r="F51" s="51">
        <v>4</v>
      </c>
    </row>
    <row r="52" spans="1:6" x14ac:dyDescent="0.25">
      <c r="A52" s="65">
        <v>3</v>
      </c>
      <c r="B52" s="78" t="s">
        <v>123</v>
      </c>
      <c r="C52" s="51">
        <v>4</v>
      </c>
      <c r="D52" s="51">
        <v>4</v>
      </c>
      <c r="E52" s="51">
        <v>4</v>
      </c>
      <c r="F52" s="51">
        <v>4</v>
      </c>
    </row>
    <row r="53" spans="1:6" x14ac:dyDescent="0.25">
      <c r="A53" s="65">
        <v>4</v>
      </c>
      <c r="B53" s="78" t="s">
        <v>124</v>
      </c>
      <c r="C53" s="51">
        <v>4</v>
      </c>
      <c r="D53" s="51">
        <v>4</v>
      </c>
      <c r="E53" s="51">
        <v>4</v>
      </c>
      <c r="F53" s="51">
        <v>4</v>
      </c>
    </row>
    <row r="54" spans="1:6" x14ac:dyDescent="0.25">
      <c r="A54" s="65"/>
      <c r="B54" s="78" t="s">
        <v>125</v>
      </c>
      <c r="C54" s="178"/>
      <c r="D54" s="178"/>
      <c r="E54" s="178"/>
      <c r="F54" s="51"/>
    </row>
    <row r="55" spans="1:6" x14ac:dyDescent="0.25">
      <c r="A55" s="65">
        <v>5</v>
      </c>
      <c r="B55" s="78" t="s">
        <v>126</v>
      </c>
      <c r="C55" s="51">
        <v>4</v>
      </c>
      <c r="D55" s="51">
        <v>4</v>
      </c>
      <c r="E55" s="51">
        <v>4</v>
      </c>
      <c r="F55" s="51">
        <v>4</v>
      </c>
    </row>
    <row r="56" spans="1:6" x14ac:dyDescent="0.25">
      <c r="A56" s="65">
        <v>6</v>
      </c>
      <c r="B56" s="78" t="s">
        <v>127</v>
      </c>
      <c r="C56" s="51">
        <v>4</v>
      </c>
      <c r="D56" s="51">
        <v>4</v>
      </c>
      <c r="E56" s="51">
        <v>4</v>
      </c>
      <c r="F56" s="51">
        <v>4</v>
      </c>
    </row>
    <row r="57" spans="1:6" x14ac:dyDescent="0.25">
      <c r="A57" s="65">
        <v>7</v>
      </c>
      <c r="B57" s="78" t="s">
        <v>128</v>
      </c>
      <c r="C57" s="51">
        <v>4</v>
      </c>
      <c r="D57" s="51">
        <v>4</v>
      </c>
      <c r="E57" s="51">
        <v>4</v>
      </c>
      <c r="F57" s="51">
        <v>4</v>
      </c>
    </row>
    <row r="58" spans="1:6" x14ac:dyDescent="0.25">
      <c r="A58" s="65">
        <v>8</v>
      </c>
      <c r="B58" s="78" t="s">
        <v>129</v>
      </c>
      <c r="C58" s="51">
        <v>4</v>
      </c>
      <c r="D58" s="51">
        <v>4</v>
      </c>
      <c r="E58" s="51">
        <v>4</v>
      </c>
      <c r="F58" s="34">
        <v>4</v>
      </c>
    </row>
    <row r="59" spans="1:6" x14ac:dyDescent="0.25">
      <c r="A59" s="65"/>
      <c r="B59" s="78" t="s">
        <v>130</v>
      </c>
      <c r="C59" s="168"/>
      <c r="D59" s="168"/>
      <c r="E59" s="168"/>
      <c r="F59" s="34"/>
    </row>
    <row r="60" spans="1:6" x14ac:dyDescent="0.25">
      <c r="A60" s="65">
        <v>9</v>
      </c>
      <c r="B60" s="78" t="s">
        <v>131</v>
      </c>
      <c r="C60" s="51">
        <v>4</v>
      </c>
      <c r="D60" s="51">
        <v>4</v>
      </c>
      <c r="E60" s="51">
        <v>4</v>
      </c>
      <c r="F60" s="34">
        <v>4</v>
      </c>
    </row>
    <row r="61" spans="1:6" ht="15.75" thickBot="1" x14ac:dyDescent="0.3">
      <c r="B61" s="18" t="s">
        <v>8</v>
      </c>
      <c r="C61" s="56">
        <v>4</v>
      </c>
      <c r="D61" s="56">
        <v>4</v>
      </c>
      <c r="E61" s="56">
        <v>4</v>
      </c>
      <c r="F61" s="56">
        <f>AVERAGE(F38:F60)</f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60"/>
  <sheetViews>
    <sheetView zoomScale="80" zoomScaleNormal="80" workbookViewId="0">
      <selection activeCell="G58" sqref="G58"/>
    </sheetView>
  </sheetViews>
  <sheetFormatPr defaultRowHeight="15" x14ac:dyDescent="0.25"/>
  <cols>
    <col min="1" max="1" width="4.42578125" customWidth="1"/>
    <col min="2" max="2" width="113" customWidth="1"/>
  </cols>
  <sheetData>
    <row r="1" spans="1:6" x14ac:dyDescent="0.25">
      <c r="B1" s="4" t="s">
        <v>253</v>
      </c>
      <c r="C1" s="3"/>
      <c r="D1" s="3"/>
    </row>
    <row r="2" spans="1:6" x14ac:dyDescent="0.25">
      <c r="B2" s="5" t="s">
        <v>1</v>
      </c>
      <c r="C2" s="6" t="s">
        <v>53</v>
      </c>
      <c r="D2" s="6" t="s">
        <v>59</v>
      </c>
      <c r="E2" s="6" t="s">
        <v>55</v>
      </c>
      <c r="F2" s="6" t="s">
        <v>266</v>
      </c>
    </row>
    <row r="3" spans="1:6" x14ac:dyDescent="0.25">
      <c r="B3" s="7" t="s">
        <v>2</v>
      </c>
      <c r="C3" s="8" t="s">
        <v>6</v>
      </c>
      <c r="D3" s="8" t="s">
        <v>57</v>
      </c>
      <c r="E3" s="8" t="s">
        <v>94</v>
      </c>
      <c r="F3" s="8" t="s">
        <v>95</v>
      </c>
    </row>
    <row r="4" spans="1:6" x14ac:dyDescent="0.25">
      <c r="A4" s="1"/>
      <c r="B4" s="7"/>
      <c r="C4" s="6" t="s">
        <v>3</v>
      </c>
      <c r="D4" s="6" t="s">
        <v>3</v>
      </c>
      <c r="E4" s="6" t="s">
        <v>3</v>
      </c>
      <c r="F4" s="6" t="s">
        <v>3</v>
      </c>
    </row>
    <row r="5" spans="1:6" ht="14.25" customHeight="1" x14ac:dyDescent="0.25">
      <c r="A5" s="1"/>
      <c r="B5" s="23" t="s">
        <v>5</v>
      </c>
      <c r="C5" s="12"/>
      <c r="D5" s="12"/>
      <c r="E5" s="12"/>
      <c r="F5" s="12"/>
    </row>
    <row r="6" spans="1:6" x14ac:dyDescent="0.25">
      <c r="A6" s="1"/>
      <c r="B6" s="11" t="s">
        <v>13</v>
      </c>
      <c r="C6" s="32"/>
      <c r="D6" s="12"/>
      <c r="E6" s="32"/>
      <c r="F6" s="12"/>
    </row>
    <row r="7" spans="1:6" x14ac:dyDescent="0.25">
      <c r="A7" s="39" t="s">
        <v>11</v>
      </c>
      <c r="B7" s="42" t="s">
        <v>31</v>
      </c>
      <c r="C7" s="25">
        <v>3.4</v>
      </c>
      <c r="D7" s="45">
        <v>3.3</v>
      </c>
      <c r="E7" s="25">
        <v>3.6</v>
      </c>
      <c r="F7" s="45">
        <v>3.4</v>
      </c>
    </row>
    <row r="8" spans="1:6" x14ac:dyDescent="0.25">
      <c r="A8" s="39" t="s">
        <v>12</v>
      </c>
      <c r="B8" s="42" t="s">
        <v>32</v>
      </c>
      <c r="C8" s="34">
        <v>3.4</v>
      </c>
      <c r="D8" s="46">
        <v>3.2</v>
      </c>
      <c r="E8" s="34">
        <v>3.5</v>
      </c>
      <c r="F8" s="46">
        <v>3.3</v>
      </c>
    </row>
    <row r="9" spans="1:6" x14ac:dyDescent="0.25">
      <c r="A9" s="39" t="s">
        <v>14</v>
      </c>
      <c r="B9" s="42" t="s">
        <v>64</v>
      </c>
      <c r="C9" s="34">
        <v>3.4</v>
      </c>
      <c r="D9" s="46">
        <v>3.3</v>
      </c>
      <c r="E9" s="34">
        <v>3.5</v>
      </c>
      <c r="F9" s="46">
        <v>3.5</v>
      </c>
    </row>
    <row r="10" spans="1:6" x14ac:dyDescent="0.25">
      <c r="A10" s="39" t="s">
        <v>15</v>
      </c>
      <c r="B10" s="42" t="s">
        <v>65</v>
      </c>
      <c r="C10" s="34">
        <v>3.3</v>
      </c>
      <c r="D10" s="46">
        <v>3.4</v>
      </c>
      <c r="E10" s="34">
        <v>3.5</v>
      </c>
      <c r="F10" s="46">
        <v>3.4</v>
      </c>
    </row>
    <row r="11" spans="1:6" x14ac:dyDescent="0.25">
      <c r="A11" s="40"/>
      <c r="B11" s="33" t="s">
        <v>8</v>
      </c>
      <c r="C11" s="61">
        <v>3.4</v>
      </c>
      <c r="D11" s="47">
        <f>AVERAGE(D7:D10)</f>
        <v>3.3000000000000003</v>
      </c>
      <c r="E11" s="61">
        <v>3.5</v>
      </c>
      <c r="F11" s="47">
        <f>AVERAGE(F7:F10)</f>
        <v>3.4</v>
      </c>
    </row>
    <row r="12" spans="1:6" x14ac:dyDescent="0.25">
      <c r="A12" s="2"/>
      <c r="B12" s="22" t="s">
        <v>7</v>
      </c>
      <c r="C12" s="166" t="s">
        <v>4</v>
      </c>
      <c r="D12" s="59"/>
      <c r="E12" s="31"/>
      <c r="F12" s="59"/>
    </row>
    <row r="13" spans="1:6" x14ac:dyDescent="0.25">
      <c r="A13" s="2"/>
      <c r="B13" s="20" t="s">
        <v>16</v>
      </c>
      <c r="C13" s="167" t="s">
        <v>4</v>
      </c>
      <c r="D13" s="59"/>
      <c r="E13" s="12"/>
      <c r="F13" s="59"/>
    </row>
    <row r="14" spans="1:6" ht="13.5" customHeight="1" x14ac:dyDescent="0.25">
      <c r="A14" s="40" t="s">
        <v>17</v>
      </c>
      <c r="B14" s="29" t="s">
        <v>33</v>
      </c>
      <c r="C14" s="25">
        <v>3.4</v>
      </c>
      <c r="D14" s="46">
        <v>3.3</v>
      </c>
      <c r="E14" s="25">
        <v>3.4</v>
      </c>
      <c r="F14" s="46">
        <v>3.1</v>
      </c>
    </row>
    <row r="15" spans="1:6" x14ac:dyDescent="0.25">
      <c r="A15" s="40" t="s">
        <v>34</v>
      </c>
      <c r="B15" s="29" t="s">
        <v>67</v>
      </c>
      <c r="C15" s="34">
        <v>3.6</v>
      </c>
      <c r="D15" s="46">
        <v>3.4</v>
      </c>
      <c r="E15" s="34">
        <v>3.5</v>
      </c>
      <c r="F15" s="46">
        <v>3.5</v>
      </c>
    </row>
    <row r="16" spans="1:6" x14ac:dyDescent="0.25">
      <c r="A16" s="40" t="s">
        <v>35</v>
      </c>
      <c r="B16" s="29" t="s">
        <v>68</v>
      </c>
      <c r="C16" s="34">
        <v>3.5</v>
      </c>
      <c r="D16" s="46">
        <v>3.5</v>
      </c>
      <c r="E16" s="34">
        <v>3.5</v>
      </c>
      <c r="F16" s="46">
        <v>3.4</v>
      </c>
    </row>
    <row r="17" spans="1:6" x14ac:dyDescent="0.25">
      <c r="A17" s="41" t="s">
        <v>66</v>
      </c>
      <c r="B17" s="29" t="s">
        <v>69</v>
      </c>
      <c r="C17" s="34">
        <v>3.5</v>
      </c>
      <c r="D17" s="46">
        <v>3.4</v>
      </c>
      <c r="E17" s="34">
        <v>3.4</v>
      </c>
      <c r="F17" s="46">
        <v>3.3</v>
      </c>
    </row>
    <row r="18" spans="1:6" x14ac:dyDescent="0.25">
      <c r="A18" s="40"/>
      <c r="B18" s="14" t="s">
        <v>8</v>
      </c>
      <c r="C18" s="61">
        <v>3.5</v>
      </c>
      <c r="D18" s="49">
        <f>AVERAGE(D14:D17)</f>
        <v>3.4</v>
      </c>
      <c r="E18" s="61">
        <v>3.5</v>
      </c>
      <c r="F18" s="49">
        <v>3.3</v>
      </c>
    </row>
    <row r="19" spans="1:6" x14ac:dyDescent="0.25">
      <c r="A19" s="2"/>
      <c r="B19" s="22" t="s">
        <v>70</v>
      </c>
      <c r="C19" s="167" t="s">
        <v>4</v>
      </c>
      <c r="D19" s="59"/>
      <c r="E19" s="12"/>
      <c r="F19" s="59"/>
    </row>
    <row r="20" spans="1:6" x14ac:dyDescent="0.25">
      <c r="A20" s="2"/>
      <c r="B20" s="20" t="s">
        <v>74</v>
      </c>
      <c r="C20" s="167" t="s">
        <v>4</v>
      </c>
      <c r="D20" s="59"/>
      <c r="E20" s="12"/>
      <c r="F20" s="59"/>
    </row>
    <row r="21" spans="1:6" x14ac:dyDescent="0.25">
      <c r="A21" s="40" t="s">
        <v>71</v>
      </c>
      <c r="B21" s="24" t="s">
        <v>75</v>
      </c>
      <c r="C21" s="25">
        <v>3.4</v>
      </c>
      <c r="D21" s="50">
        <v>3.3</v>
      </c>
      <c r="E21" s="25">
        <v>3.4</v>
      </c>
      <c r="F21" s="50">
        <v>3.4</v>
      </c>
    </row>
    <row r="22" spans="1:6" x14ac:dyDescent="0.25">
      <c r="A22" s="40" t="s">
        <v>72</v>
      </c>
      <c r="B22" s="24" t="s">
        <v>76</v>
      </c>
      <c r="C22" s="36">
        <v>3.4</v>
      </c>
      <c r="D22" s="51">
        <v>3.3</v>
      </c>
      <c r="E22" s="36">
        <v>3.5</v>
      </c>
      <c r="F22" s="51">
        <v>3.3</v>
      </c>
    </row>
    <row r="23" spans="1:6" x14ac:dyDescent="0.25">
      <c r="A23" s="40" t="s">
        <v>73</v>
      </c>
      <c r="B23" s="24" t="s">
        <v>77</v>
      </c>
      <c r="C23" s="36">
        <v>3.3</v>
      </c>
      <c r="D23" s="51">
        <v>3.4</v>
      </c>
      <c r="E23" s="36">
        <v>3.5</v>
      </c>
      <c r="F23" s="51">
        <v>3.5</v>
      </c>
    </row>
    <row r="24" spans="1:6" x14ac:dyDescent="0.25">
      <c r="A24" s="3"/>
      <c r="B24" s="14" t="s">
        <v>8</v>
      </c>
      <c r="C24" s="62">
        <v>3.4</v>
      </c>
      <c r="D24" s="49">
        <v>3.3</v>
      </c>
      <c r="E24" s="62">
        <v>3.5</v>
      </c>
      <c r="F24" s="49">
        <f>AVERAGE(F21:F23)</f>
        <v>3.4</v>
      </c>
    </row>
    <row r="25" spans="1:6" x14ac:dyDescent="0.25">
      <c r="A25" s="2"/>
      <c r="B25" s="9" t="s">
        <v>9</v>
      </c>
      <c r="C25" s="13" t="s">
        <v>4</v>
      </c>
      <c r="D25" s="52"/>
      <c r="E25" s="13"/>
      <c r="F25" s="52"/>
    </row>
    <row r="26" spans="1:6" x14ac:dyDescent="0.25">
      <c r="A26" s="2"/>
      <c r="B26" s="11" t="s">
        <v>10</v>
      </c>
      <c r="C26" s="13"/>
      <c r="D26" s="52"/>
      <c r="E26" s="13"/>
      <c r="F26" s="52"/>
    </row>
    <row r="27" spans="1:6" x14ac:dyDescent="0.25">
      <c r="A27" s="1" t="s">
        <v>19</v>
      </c>
      <c r="B27" s="30" t="s">
        <v>36</v>
      </c>
      <c r="C27" s="25">
        <v>3.4</v>
      </c>
      <c r="D27" s="45">
        <v>3.5</v>
      </c>
      <c r="E27" s="25">
        <v>3.4</v>
      </c>
      <c r="F27" s="45">
        <v>3.4</v>
      </c>
    </row>
    <row r="28" spans="1:6" x14ac:dyDescent="0.25">
      <c r="A28" s="1" t="s">
        <v>22</v>
      </c>
      <c r="B28" s="30" t="s">
        <v>37</v>
      </c>
      <c r="C28" s="34">
        <v>3.5</v>
      </c>
      <c r="D28" s="46">
        <v>3.4</v>
      </c>
      <c r="E28" s="34">
        <v>3.5</v>
      </c>
      <c r="F28" s="46">
        <v>3.6</v>
      </c>
    </row>
    <row r="29" spans="1:6" x14ac:dyDescent="0.25">
      <c r="A29" s="1" t="s">
        <v>23</v>
      </c>
      <c r="B29" s="30" t="s">
        <v>38</v>
      </c>
      <c r="C29" s="34">
        <v>3.5</v>
      </c>
      <c r="D29" s="46">
        <v>3.3</v>
      </c>
      <c r="E29" s="34">
        <v>3.4</v>
      </c>
      <c r="F29" s="46">
        <v>3.2</v>
      </c>
    </row>
    <row r="30" spans="1:6" x14ac:dyDescent="0.25">
      <c r="A30" s="1"/>
      <c r="B30" s="14" t="s">
        <v>8</v>
      </c>
      <c r="C30" s="62">
        <v>3.5</v>
      </c>
      <c r="D30" s="47">
        <f>AVERAGE(D27:D29)</f>
        <v>3.4</v>
      </c>
      <c r="E30" s="62">
        <v>3.4</v>
      </c>
      <c r="F30" s="47">
        <f>AVERAGE(F27:F29)</f>
        <v>3.4</v>
      </c>
    </row>
    <row r="31" spans="1:6" x14ac:dyDescent="0.25">
      <c r="A31" s="1"/>
      <c r="B31" s="43" t="s">
        <v>18</v>
      </c>
      <c r="C31" s="13"/>
      <c r="D31" s="52"/>
      <c r="E31" s="13"/>
      <c r="F31" s="52"/>
    </row>
    <row r="32" spans="1:6" x14ac:dyDescent="0.25">
      <c r="A32" s="1" t="s">
        <v>20</v>
      </c>
      <c r="B32" s="30" t="s">
        <v>39</v>
      </c>
      <c r="C32" s="25">
        <v>3.4</v>
      </c>
      <c r="D32" s="46">
        <v>3.4</v>
      </c>
      <c r="E32" s="25">
        <v>3.5</v>
      </c>
      <c r="F32" s="46">
        <v>3.4</v>
      </c>
    </row>
    <row r="33" spans="1:6" x14ac:dyDescent="0.25">
      <c r="A33" s="1" t="s">
        <v>24</v>
      </c>
      <c r="B33" s="30" t="s">
        <v>40</v>
      </c>
      <c r="C33" s="34">
        <v>3.5</v>
      </c>
      <c r="D33" s="46">
        <v>3.3</v>
      </c>
      <c r="E33" s="34">
        <v>3.6</v>
      </c>
      <c r="F33" s="46">
        <v>3.3</v>
      </c>
    </row>
    <row r="34" spans="1:6" x14ac:dyDescent="0.25">
      <c r="A34" s="1" t="s">
        <v>25</v>
      </c>
      <c r="B34" s="30" t="s">
        <v>78</v>
      </c>
      <c r="C34" s="34">
        <v>3.4</v>
      </c>
      <c r="D34" s="46">
        <v>3.4</v>
      </c>
      <c r="E34" s="34">
        <v>3.5</v>
      </c>
      <c r="F34" s="46">
        <v>3.2</v>
      </c>
    </row>
    <row r="35" spans="1:6" ht="15" customHeight="1" x14ac:dyDescent="0.25">
      <c r="A35" s="1" t="s">
        <v>26</v>
      </c>
      <c r="B35" s="30" t="s">
        <v>79</v>
      </c>
      <c r="C35" s="34">
        <v>3.5</v>
      </c>
      <c r="D35" s="46">
        <v>3.5</v>
      </c>
      <c r="E35" s="34">
        <v>3.6</v>
      </c>
      <c r="F35" s="46">
        <v>3.5</v>
      </c>
    </row>
    <row r="36" spans="1:6" x14ac:dyDescent="0.25">
      <c r="A36" s="3"/>
      <c r="B36" s="14" t="s">
        <v>8</v>
      </c>
      <c r="C36" s="62">
        <v>3.5</v>
      </c>
      <c r="D36" s="47">
        <f>AVERAGE(D32:D35)</f>
        <v>3.4</v>
      </c>
      <c r="E36" s="62">
        <v>3.5</v>
      </c>
      <c r="F36" s="47">
        <v>3.4</v>
      </c>
    </row>
    <row r="37" spans="1:6" x14ac:dyDescent="0.25">
      <c r="A37" s="1"/>
      <c r="B37" s="10" t="s">
        <v>27</v>
      </c>
      <c r="C37" s="15" t="s">
        <v>4</v>
      </c>
      <c r="D37" s="52"/>
      <c r="E37" s="15"/>
      <c r="F37" s="52"/>
    </row>
    <row r="38" spans="1:6" x14ac:dyDescent="0.25">
      <c r="A38" s="1" t="s">
        <v>21</v>
      </c>
      <c r="B38" s="30" t="s">
        <v>41</v>
      </c>
      <c r="C38" s="25">
        <v>3.2</v>
      </c>
      <c r="D38" s="45">
        <v>3.3</v>
      </c>
      <c r="E38" s="25">
        <v>3.5</v>
      </c>
      <c r="F38" s="45">
        <v>3.3</v>
      </c>
    </row>
    <row r="39" spans="1:6" x14ac:dyDescent="0.25">
      <c r="A39" s="1" t="s">
        <v>28</v>
      </c>
      <c r="B39" s="30" t="s">
        <v>80</v>
      </c>
      <c r="C39" s="34">
        <v>3.5</v>
      </c>
      <c r="D39" s="46">
        <v>3.4</v>
      </c>
      <c r="E39" s="34">
        <v>3.5</v>
      </c>
      <c r="F39" s="46">
        <v>3.3</v>
      </c>
    </row>
    <row r="40" spans="1:6" x14ac:dyDescent="0.25">
      <c r="A40" s="1" t="s">
        <v>29</v>
      </c>
      <c r="B40" s="30" t="s">
        <v>81</v>
      </c>
      <c r="C40" s="34">
        <v>3.4</v>
      </c>
      <c r="D40" s="46">
        <v>3.5</v>
      </c>
      <c r="E40" s="34">
        <v>3.6</v>
      </c>
      <c r="F40" s="46">
        <v>3.5</v>
      </c>
    </row>
    <row r="41" spans="1:6" x14ac:dyDescent="0.25">
      <c r="A41" s="1" t="s">
        <v>30</v>
      </c>
      <c r="B41" s="30" t="s">
        <v>82</v>
      </c>
      <c r="C41" s="34">
        <v>3.3</v>
      </c>
      <c r="D41" s="46">
        <v>3.4</v>
      </c>
      <c r="E41" s="34">
        <v>3.5</v>
      </c>
      <c r="F41" s="46">
        <v>3.4</v>
      </c>
    </row>
    <row r="42" spans="1:6" x14ac:dyDescent="0.25">
      <c r="A42" s="26" t="s">
        <v>4</v>
      </c>
      <c r="B42" s="14" t="s">
        <v>8</v>
      </c>
      <c r="C42" s="63">
        <v>3.5</v>
      </c>
      <c r="D42" s="56">
        <f>AVERAGE(D38:D41)</f>
        <v>3.4</v>
      </c>
      <c r="E42" s="63">
        <v>3.5</v>
      </c>
      <c r="F42" s="56">
        <v>3.4</v>
      </c>
    </row>
    <row r="43" spans="1:6" x14ac:dyDescent="0.25">
      <c r="B43" s="27" t="s">
        <v>83</v>
      </c>
      <c r="C43" s="15" t="s">
        <v>4</v>
      </c>
      <c r="D43" s="60"/>
      <c r="E43" s="15"/>
      <c r="F43" s="60"/>
    </row>
    <row r="44" spans="1:6" x14ac:dyDescent="0.25">
      <c r="B44" s="11" t="s">
        <v>84</v>
      </c>
      <c r="C44" s="15"/>
      <c r="D44" s="52"/>
      <c r="E44" s="15"/>
      <c r="F44" s="52"/>
    </row>
    <row r="45" spans="1:6" x14ac:dyDescent="0.25">
      <c r="A45" s="30" t="s">
        <v>85</v>
      </c>
      <c r="B45" s="30" t="s">
        <v>88</v>
      </c>
      <c r="C45" s="34">
        <v>3.5</v>
      </c>
      <c r="D45" s="46">
        <v>3.3</v>
      </c>
      <c r="E45" s="34">
        <v>3.4</v>
      </c>
      <c r="F45" s="45">
        <v>3.2</v>
      </c>
    </row>
    <row r="46" spans="1:6" x14ac:dyDescent="0.25">
      <c r="A46" s="30" t="s">
        <v>86</v>
      </c>
      <c r="B46" s="30" t="s">
        <v>89</v>
      </c>
      <c r="C46" s="34">
        <v>3.4</v>
      </c>
      <c r="D46" s="46">
        <v>3.4</v>
      </c>
      <c r="E46" s="34">
        <v>3.5</v>
      </c>
      <c r="F46" s="46">
        <v>3.5</v>
      </c>
    </row>
    <row r="47" spans="1:6" x14ac:dyDescent="0.25">
      <c r="A47" s="30" t="s">
        <v>87</v>
      </c>
      <c r="B47" s="30" t="s">
        <v>90</v>
      </c>
      <c r="C47" s="34">
        <v>3.5</v>
      </c>
      <c r="D47" s="46">
        <v>3.3</v>
      </c>
      <c r="E47" s="34">
        <v>3.5</v>
      </c>
      <c r="F47" s="46">
        <v>3.6</v>
      </c>
    </row>
    <row r="48" spans="1:6" ht="15.75" thickBot="1" x14ac:dyDescent="0.3">
      <c r="A48" s="17" t="s">
        <v>4</v>
      </c>
      <c r="B48" s="18" t="s">
        <v>8</v>
      </c>
      <c r="C48" s="170">
        <v>3.5</v>
      </c>
      <c r="D48" s="47">
        <v>3.3</v>
      </c>
      <c r="E48" s="170">
        <v>3.5</v>
      </c>
      <c r="F48" s="47">
        <f>COUNT(F45:F47)</f>
        <v>3</v>
      </c>
    </row>
    <row r="49" spans="1:11" x14ac:dyDescent="0.25">
      <c r="A49" s="65" t="s">
        <v>4</v>
      </c>
      <c r="B49" s="81" t="s">
        <v>248</v>
      </c>
      <c r="C49" s="82"/>
      <c r="D49" s="82"/>
      <c r="E49" s="82"/>
      <c r="F49" s="227"/>
      <c r="G49" s="67"/>
      <c r="H49" s="67"/>
      <c r="I49" s="67"/>
      <c r="J49" s="67"/>
      <c r="K49" s="67"/>
    </row>
    <row r="50" spans="1:11" x14ac:dyDescent="0.25">
      <c r="A50" s="65">
        <v>1</v>
      </c>
      <c r="B50" s="75" t="s">
        <v>111</v>
      </c>
      <c r="C50" s="171">
        <v>3.3</v>
      </c>
      <c r="D50" s="68">
        <v>3.4</v>
      </c>
      <c r="E50" s="68">
        <v>3.5</v>
      </c>
      <c r="F50" s="51">
        <v>3.5</v>
      </c>
      <c r="G50" s="67"/>
      <c r="H50" s="67"/>
      <c r="I50" s="67"/>
      <c r="J50" s="67"/>
      <c r="K50" s="67"/>
    </row>
    <row r="51" spans="1:11" x14ac:dyDescent="0.25">
      <c r="A51" s="65">
        <v>2</v>
      </c>
      <c r="B51" s="76" t="s">
        <v>112</v>
      </c>
      <c r="C51" s="171">
        <v>3.4</v>
      </c>
      <c r="D51" s="68">
        <v>3.5</v>
      </c>
      <c r="E51" s="68">
        <v>3.5</v>
      </c>
      <c r="F51" s="51">
        <v>3.3</v>
      </c>
      <c r="G51" s="67"/>
      <c r="H51" s="67"/>
      <c r="I51" s="67"/>
      <c r="J51" s="67"/>
      <c r="K51" s="67"/>
    </row>
    <row r="52" spans="1:11" x14ac:dyDescent="0.25">
      <c r="A52" s="65"/>
      <c r="B52" s="75" t="s">
        <v>113</v>
      </c>
      <c r="C52" s="171"/>
      <c r="D52" s="68"/>
      <c r="E52" s="68"/>
      <c r="F52" s="51"/>
      <c r="G52" s="67"/>
      <c r="H52" s="67"/>
      <c r="I52" s="67"/>
      <c r="J52" s="67"/>
      <c r="K52" s="67"/>
    </row>
    <row r="53" spans="1:11" x14ac:dyDescent="0.25">
      <c r="A53" s="65"/>
      <c r="B53" s="77" t="s">
        <v>114</v>
      </c>
      <c r="C53" s="171"/>
      <c r="D53" s="68"/>
      <c r="E53" s="68"/>
      <c r="F53" s="51"/>
      <c r="G53" s="67"/>
      <c r="H53" s="67"/>
      <c r="I53" s="67"/>
      <c r="J53" s="67"/>
      <c r="K53" s="67"/>
    </row>
    <row r="54" spans="1:11" x14ac:dyDescent="0.25">
      <c r="A54" s="65">
        <v>3</v>
      </c>
      <c r="B54" s="76" t="s">
        <v>115</v>
      </c>
      <c r="C54" s="171">
        <v>3.2</v>
      </c>
      <c r="D54" s="68">
        <v>3.5</v>
      </c>
      <c r="E54" s="68">
        <v>3.6</v>
      </c>
      <c r="F54" s="51">
        <v>3.5</v>
      </c>
      <c r="G54" s="67"/>
      <c r="H54" s="67"/>
      <c r="I54" s="67"/>
      <c r="J54" s="67"/>
      <c r="K54" s="67"/>
    </row>
    <row r="55" spans="1:11" x14ac:dyDescent="0.25">
      <c r="A55" s="65"/>
      <c r="B55" s="75" t="s">
        <v>116</v>
      </c>
      <c r="C55" s="171"/>
      <c r="D55" s="68"/>
      <c r="E55" s="68" t="s">
        <v>4</v>
      </c>
      <c r="F55" s="51"/>
      <c r="G55" s="67"/>
      <c r="H55" s="67"/>
      <c r="I55" s="67"/>
      <c r="J55" s="67"/>
      <c r="K55" s="67"/>
    </row>
    <row r="56" spans="1:11" x14ac:dyDescent="0.25">
      <c r="A56" s="65">
        <v>4</v>
      </c>
      <c r="B56" s="76" t="s">
        <v>117</v>
      </c>
      <c r="C56" s="171">
        <v>3.3</v>
      </c>
      <c r="D56" s="68">
        <v>3.3</v>
      </c>
      <c r="E56" s="68">
        <v>3.5</v>
      </c>
      <c r="F56" s="51">
        <v>3.5</v>
      </c>
      <c r="G56" s="67"/>
      <c r="H56" s="67"/>
      <c r="I56" s="67"/>
      <c r="J56" s="67"/>
      <c r="K56" s="67"/>
    </row>
    <row r="57" spans="1:11" x14ac:dyDescent="0.25">
      <c r="B57" s="75" t="s">
        <v>118</v>
      </c>
      <c r="C57" s="172" t="s">
        <v>4</v>
      </c>
      <c r="D57" s="37" t="s">
        <v>4</v>
      </c>
      <c r="E57" s="37"/>
      <c r="F57" s="51" t="s">
        <v>4</v>
      </c>
      <c r="G57" s="67"/>
      <c r="H57" s="67"/>
      <c r="I57" s="67"/>
      <c r="J57" s="67"/>
      <c r="K57" s="67"/>
    </row>
    <row r="58" spans="1:11" x14ac:dyDescent="0.25">
      <c r="B58" s="77" t="s">
        <v>119</v>
      </c>
      <c r="C58" s="173"/>
      <c r="D58" s="16" t="s">
        <v>4</v>
      </c>
      <c r="E58" s="16"/>
      <c r="F58" s="34" t="s">
        <v>4</v>
      </c>
    </row>
    <row r="59" spans="1:11" x14ac:dyDescent="0.25">
      <c r="B59" s="78" t="s">
        <v>120</v>
      </c>
      <c r="C59" s="174"/>
      <c r="D59" s="169"/>
      <c r="E59" s="169"/>
      <c r="F59" s="35"/>
    </row>
    <row r="60" spans="1:11" ht="15.75" thickBot="1" x14ac:dyDescent="0.3">
      <c r="B60" s="18" t="s">
        <v>8</v>
      </c>
      <c r="C60" s="175">
        <v>3.3</v>
      </c>
      <c r="D60" s="49">
        <v>3.4</v>
      </c>
      <c r="E60" s="56">
        <v>3.5</v>
      </c>
      <c r="F60" s="49">
        <v>3.5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Early</vt:lpstr>
      <vt:lpstr>Elem</vt:lpstr>
      <vt:lpstr>HHP</vt:lpstr>
      <vt:lpstr>Agri</vt:lpstr>
      <vt:lpstr>Music</vt:lpstr>
      <vt:lpstr>Art</vt:lpstr>
      <vt:lpstr>SS</vt:lpstr>
      <vt:lpstr>Bio</vt:lpstr>
      <vt:lpstr>Math</vt:lpstr>
      <vt:lpstr>English</vt:lpstr>
      <vt:lpstr>Spanish</vt:lpstr>
      <vt:lpstr>French</vt:lpstr>
      <vt:lpstr>Business</vt:lpstr>
      <vt:lpstr>MAT-Bio</vt:lpstr>
      <vt:lpstr>MAT-Bus</vt:lpstr>
      <vt:lpstr>MAT-Chem</vt:lpstr>
      <vt:lpstr>MAT-French</vt:lpstr>
      <vt:lpstr>MAT-Spanish</vt:lpstr>
      <vt:lpstr>MAT-Math</vt:lpstr>
      <vt:lpstr>MAT-SS</vt:lpstr>
      <vt:lpstr>MAT-English</vt:lpstr>
      <vt:lpstr>Elem-Mat</vt:lpstr>
      <vt:lpstr>Early-PBC</vt:lpstr>
      <vt:lpstr>Art-PBC</vt:lpstr>
      <vt:lpstr>MS Math -PBC</vt:lpstr>
      <vt:lpstr>MS Science -PBC</vt:lpstr>
      <vt:lpstr>HHP-PBC</vt:lpstr>
      <vt:lpstr>Elem-PBC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MSU</cp:lastModifiedBy>
  <dcterms:created xsi:type="dcterms:W3CDTF">2012-09-06T15:35:40Z</dcterms:created>
  <dcterms:modified xsi:type="dcterms:W3CDTF">2014-04-09T15:02:40Z</dcterms:modified>
</cp:coreProperties>
</file>