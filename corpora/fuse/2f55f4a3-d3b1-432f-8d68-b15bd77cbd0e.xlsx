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45" windowWidth="25320" windowHeight="14700"/>
  </bookViews>
  <sheets>
    <sheet name="GF Table" sheetId="1" r:id="rId1"/>
    <sheet name="Base Growth Rates" sheetId="2" r:id="rId2"/>
    <sheet name="Sheet3" sheetId="3" r:id="rId3"/>
  </sheets>
  <definedNames>
    <definedName name="_xlnm.Print_Area" localSheetId="0">'GF Table'!$A$1:$I$43</definedName>
    <definedName name="_xlnm.Print_Titles" localSheetId="0">'GF Table'!$1:$2</definedName>
  </definedNames>
  <calcPr calcId="125725"/>
</workbook>
</file>

<file path=xl/calcChain.xml><?xml version="1.0" encoding="utf-8"?>
<calcChain xmlns="http://schemas.openxmlformats.org/spreadsheetml/2006/main">
  <c r="H33" i="1"/>
  <c r="I33"/>
  <c r="G33"/>
  <c r="F20"/>
  <c r="G20" s="1"/>
  <c r="E23"/>
  <c r="E25" s="1"/>
  <c r="E27" s="1"/>
  <c r="F21"/>
  <c r="G21" s="1"/>
  <c r="H21" s="1"/>
  <c r="I21" s="1"/>
  <c r="G22"/>
  <c r="H22" s="1"/>
  <c r="I22" s="1"/>
  <c r="F18"/>
  <c r="G18" s="1"/>
  <c r="H18" s="1"/>
  <c r="I18" s="1"/>
  <c r="F17"/>
  <c r="G17" s="1"/>
  <c r="H17" s="1"/>
  <c r="I17" s="1"/>
  <c r="K18"/>
  <c r="K17"/>
  <c r="K16"/>
  <c r="K15"/>
  <c r="K14"/>
  <c r="C25"/>
  <c r="C27" s="1"/>
  <c r="C29" s="1"/>
  <c r="E4"/>
  <c r="F4" s="1"/>
  <c r="G4" s="1"/>
  <c r="H4" s="1"/>
  <c r="I4" s="1"/>
  <c r="I34" s="1"/>
  <c r="F19"/>
  <c r="G19" s="1"/>
  <c r="G34" l="1"/>
  <c r="E34"/>
  <c r="H34"/>
  <c r="F34"/>
  <c r="E5"/>
  <c r="E29"/>
  <c r="E32" s="1"/>
  <c r="E35" s="1"/>
  <c r="F25"/>
  <c r="F27" s="1"/>
  <c r="H20"/>
  <c r="G25"/>
  <c r="G27" s="1"/>
  <c r="F5"/>
  <c r="F29"/>
  <c r="F32" s="1"/>
  <c r="G5"/>
  <c r="H19"/>
  <c r="I20" l="1"/>
  <c r="H25"/>
  <c r="H27" s="1"/>
  <c r="H29" s="1"/>
  <c r="H32" s="1"/>
  <c r="F33"/>
  <c r="F35" s="1"/>
  <c r="G29"/>
  <c r="G32" s="1"/>
  <c r="H5"/>
  <c r="I5"/>
  <c r="I19"/>
  <c r="I25" l="1"/>
  <c r="I27" s="1"/>
  <c r="I29" s="1"/>
  <c r="I32" s="1"/>
  <c r="I35" s="1"/>
  <c r="H35"/>
  <c r="G35"/>
</calcChain>
</file>

<file path=xl/sharedStrings.xml><?xml version="1.0" encoding="utf-8"?>
<sst xmlns="http://schemas.openxmlformats.org/spreadsheetml/2006/main" count="67" uniqueCount="63">
  <si>
    <t>Franchise</t>
  </si>
  <si>
    <t>Insurance</t>
  </si>
  <si>
    <t>Gift</t>
  </si>
  <si>
    <t>Other</t>
  </si>
  <si>
    <t>Wages</t>
  </si>
  <si>
    <t>Nonfarm Employment</t>
  </si>
  <si>
    <t>Retail Sales</t>
  </si>
  <si>
    <t>Corporate Profits</t>
  </si>
  <si>
    <t>FY14</t>
  </si>
  <si>
    <t>FY15</t>
  </si>
  <si>
    <t>FY16</t>
  </si>
  <si>
    <t>FY17</t>
  </si>
  <si>
    <t>FY18</t>
  </si>
  <si>
    <t>Sales</t>
  </si>
  <si>
    <t>Corporate</t>
  </si>
  <si>
    <t>Individual</t>
  </si>
  <si>
    <t>Alcohol</t>
  </si>
  <si>
    <t>Estate</t>
  </si>
  <si>
    <t>Priv Lic</t>
  </si>
  <si>
    <t>Tob</t>
  </si>
  <si>
    <t>Mill Machinery</t>
  </si>
  <si>
    <t>Piped Gas</t>
  </si>
  <si>
    <t>Base Growth Rates - Tax Categories</t>
  </si>
  <si>
    <t>Base Growth Rates - Nontax Categories</t>
  </si>
  <si>
    <t>Inv Income</t>
  </si>
  <si>
    <t>Jud Fees</t>
  </si>
  <si>
    <t>DISH</t>
  </si>
  <si>
    <t>Description</t>
  </si>
  <si>
    <t>2012-13</t>
  </si>
  <si>
    <t>2013-14</t>
  </si>
  <si>
    <t>2014-15</t>
  </si>
  <si>
    <t>2015-16</t>
  </si>
  <si>
    <t>2016-17</t>
  </si>
  <si>
    <t>2017-18</t>
  </si>
  <si>
    <t xml:space="preserve">Revenues (under current tax structure) </t>
  </si>
  <si>
    <t>Main Economic Drivers from Global Insight July/August 2012 Forecast (% Growth )</t>
  </si>
  <si>
    <t>% Change from Prior Year</t>
  </si>
  <si>
    <t>Recurring Baseline Budget</t>
  </si>
  <si>
    <t>Other Adjustments:</t>
  </si>
  <si>
    <t>Public School Enrollment</t>
  </si>
  <si>
    <t>Community Colleges Enrollment</t>
  </si>
  <si>
    <t>Medicaid (6% growth in out years)</t>
  </si>
  <si>
    <t>Retirement System Contributions</t>
  </si>
  <si>
    <t>Subtotal</t>
  </si>
  <si>
    <t>Expenditures</t>
  </si>
  <si>
    <t>Total Expenditures</t>
  </si>
  <si>
    <t>Balance Available</t>
  </si>
  <si>
    <t>Available Resources for UNC System</t>
  </si>
  <si>
    <t xml:space="preserve">CPI Inflation on Non-Salary and Health Expenses </t>
  </si>
  <si>
    <t>State Health Plan Premiums (7.2% growth in out years)</t>
  </si>
  <si>
    <t xml:space="preserve">Annual Increases - Continue as 13% of State Budget </t>
  </si>
  <si>
    <t xml:space="preserve">Cumulative Increases - Continue as 13% of State Budget </t>
  </si>
  <si>
    <t>Compensation Increases (1.9% each year)</t>
  </si>
  <si>
    <t>Each Additional 1% Growth in Base Revenues</t>
  </si>
  <si>
    <t>State of the State Budget: Five-Year Forecast for FY 2013-14 through FY 2017-18</t>
  </si>
  <si>
    <t>Sources of Data:</t>
  </si>
  <si>
    <t>Public School Enrollment -- Department of Public Instruction estimates</t>
  </si>
  <si>
    <t>Community Colleges Enrollment -- Department of Community Colleges estimates</t>
  </si>
  <si>
    <t>Medicaid -- average growth over last five years</t>
  </si>
  <si>
    <t>State Health Plan Premiums -- Fiscal Research Division from Department of State Treasurer information</t>
  </si>
  <si>
    <t>Economic Drivers -- Global Insight July/August 2012 Forecast; data provided by the Office of State Budget and Management</t>
  </si>
  <si>
    <t xml:space="preserve">Retirement System Contributions -- Fiscal Research Division from Department of State Treasurer information </t>
  </si>
  <si>
    <t>Compensation Increases -- average increase over last ten years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</si>
</sst>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#,##0.0"/>
    <numFmt numFmtId="165" formatCode="0.0%"/>
    <numFmt numFmtId="166" formatCode="#,##0.0_);\(#,##0.0\)"/>
  </numFmts>
  <fonts count="12"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b/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6" fillId="0" borderId="0" xfId="0" applyNumberFormat="1" applyFont="1" applyAlignment="1"/>
    <xf numFmtId="164" fontId="7" fillId="0" borderId="0" xfId="0" applyNumberFormat="1" applyFont="1" applyFill="1" applyBorder="1" applyAlignment="1">
      <alignment horizontal="right"/>
    </xf>
    <xf numFmtId="164" fontId="7" fillId="2" borderId="0" xfId="0" applyNumberFormat="1" applyFont="1" applyFill="1" applyBorder="1" applyAlignment="1">
      <alignment horizontal="right"/>
    </xf>
    <xf numFmtId="0" fontId="5" fillId="0" borderId="0" xfId="0" applyNumberFormat="1" applyFont="1" applyAlignment="1"/>
    <xf numFmtId="164" fontId="4" fillId="0" borderId="0" xfId="0" applyNumberFormat="1" applyFont="1" applyFill="1" applyBorder="1" applyAlignment="1">
      <alignment horizontal="right"/>
    </xf>
    <xf numFmtId="164" fontId="4" fillId="2" borderId="0" xfId="0" applyNumberFormat="1" applyFont="1" applyFill="1" applyBorder="1" applyAlignment="1">
      <alignment horizontal="right"/>
    </xf>
    <xf numFmtId="165" fontId="4" fillId="0" borderId="0" xfId="0" applyNumberFormat="1" applyFont="1" applyFill="1" applyBorder="1" applyAlignment="1">
      <alignment horizontal="right"/>
    </xf>
    <xf numFmtId="0" fontId="8" fillId="0" borderId="0" xfId="0" applyFont="1"/>
    <xf numFmtId="165" fontId="3" fillId="0" borderId="0" xfId="0" applyNumberFormat="1" applyFont="1"/>
    <xf numFmtId="165" fontId="3" fillId="2" borderId="0" xfId="0" applyNumberFormat="1" applyFont="1" applyFill="1"/>
    <xf numFmtId="0" fontId="3" fillId="0" borderId="2" xfId="0" applyFont="1" applyBorder="1"/>
    <xf numFmtId="0" fontId="3" fillId="2" borderId="2" xfId="0" applyFont="1" applyFill="1" applyBorder="1"/>
    <xf numFmtId="0" fontId="9" fillId="0" borderId="0" xfId="0" applyFont="1"/>
    <xf numFmtId="0" fontId="3" fillId="2" borderId="0" xfId="0" applyFont="1" applyFill="1"/>
    <xf numFmtId="166" fontId="3" fillId="0" borderId="0" xfId="0" applyNumberFormat="1" applyFont="1"/>
    <xf numFmtId="166" fontId="3" fillId="2" borderId="0" xfId="0" applyNumberFormat="1" applyFont="1" applyFill="1"/>
    <xf numFmtId="43" fontId="3" fillId="0" borderId="0" xfId="1" applyFont="1"/>
    <xf numFmtId="166" fontId="3" fillId="0" borderId="3" xfId="0" applyNumberFormat="1" applyFont="1" applyBorder="1"/>
    <xf numFmtId="166" fontId="3" fillId="2" borderId="0" xfId="0" applyNumberFormat="1" applyFont="1" applyFill="1" applyBorder="1"/>
    <xf numFmtId="43" fontId="3" fillId="0" borderId="3" xfId="1" applyFont="1" applyBorder="1"/>
    <xf numFmtId="166" fontId="9" fillId="0" borderId="0" xfId="0" applyNumberFormat="1" applyFont="1"/>
    <xf numFmtId="166" fontId="9" fillId="2" borderId="0" xfId="0" applyNumberFormat="1" applyFont="1" applyFill="1"/>
    <xf numFmtId="166" fontId="3" fillId="0" borderId="2" xfId="0" applyNumberFormat="1" applyFont="1" applyBorder="1"/>
    <xf numFmtId="166" fontId="3" fillId="2" borderId="2" xfId="0" applyNumberFormat="1" applyFont="1" applyFill="1" applyBorder="1"/>
    <xf numFmtId="166" fontId="10" fillId="2" borderId="0" xfId="0" applyNumberFormat="1" applyFont="1" applyFill="1"/>
    <xf numFmtId="0" fontId="3" fillId="0" borderId="1" xfId="0" applyFont="1" applyBorder="1"/>
    <xf numFmtId="166" fontId="3" fillId="0" borderId="1" xfId="0" applyNumberFormat="1" applyFont="1" applyBorder="1"/>
    <xf numFmtId="166" fontId="10" fillId="2" borderId="1" xfId="0" applyNumberFormat="1" applyFont="1" applyFill="1" applyBorder="1"/>
    <xf numFmtId="43" fontId="3" fillId="0" borderId="1" xfId="1" applyFont="1" applyBorder="1"/>
    <xf numFmtId="0" fontId="3" fillId="0" borderId="0" xfId="0" applyFont="1" applyBorder="1"/>
    <xf numFmtId="0" fontId="11" fillId="0" borderId="0" xfId="0" applyFont="1"/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selection activeCell="I35" sqref="I35"/>
    </sheetView>
  </sheetViews>
  <sheetFormatPr defaultRowHeight="15"/>
  <cols>
    <col min="1" max="1" width="3.42578125" style="2" customWidth="1"/>
    <col min="2" max="2" width="50.85546875" style="1" customWidth="1"/>
    <col min="3" max="3" width="9.85546875" style="1" customWidth="1"/>
    <col min="4" max="4" width="0.85546875" style="1" customWidth="1"/>
    <col min="5" max="6" width="11" style="1" customWidth="1"/>
    <col min="7" max="7" width="11.140625" style="1" customWidth="1"/>
    <col min="8" max="8" width="11.5703125" style="1" customWidth="1"/>
    <col min="9" max="9" width="11" style="1" customWidth="1"/>
    <col min="10" max="16384" width="9.140625" style="1"/>
  </cols>
  <sheetData>
    <row r="1" spans="1:11" ht="18.75">
      <c r="A1" s="38" t="s">
        <v>54</v>
      </c>
      <c r="B1" s="38"/>
      <c r="C1" s="38"/>
      <c r="D1" s="38"/>
      <c r="E1" s="38"/>
      <c r="F1" s="38"/>
      <c r="G1" s="38"/>
      <c r="H1" s="38"/>
      <c r="I1" s="38"/>
    </row>
    <row r="2" spans="1:11">
      <c r="C2" s="3"/>
      <c r="D2" s="3"/>
      <c r="E2" s="2"/>
      <c r="F2" s="2"/>
      <c r="G2" s="2"/>
      <c r="H2" s="2"/>
      <c r="I2" s="2"/>
    </row>
    <row r="3" spans="1:11" ht="15.75" thickBot="1">
      <c r="A3" s="4"/>
      <c r="B3" s="5" t="s">
        <v>27</v>
      </c>
      <c r="C3" s="4" t="s">
        <v>28</v>
      </c>
      <c r="D3" s="6"/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</row>
    <row r="4" spans="1:11">
      <c r="A4" s="2">
        <v>1</v>
      </c>
      <c r="B4" s="7" t="s">
        <v>34</v>
      </c>
      <c r="C4" s="8">
        <v>20177.900000000001</v>
      </c>
      <c r="D4" s="9"/>
      <c r="E4" s="8">
        <f>20600.5+220+88</f>
        <v>20908.5</v>
      </c>
      <c r="F4" s="8">
        <f>E4*(1+'Base Growth Rates'!C4)-180</f>
        <v>21756.820866663609</v>
      </c>
      <c r="G4" s="8">
        <f>F4*(1+'Base Growth Rates'!D4)-180</f>
        <v>22697.827518681195</v>
      </c>
      <c r="H4" s="8">
        <f>G4*(1+'Base Growth Rates'!E4)-180</f>
        <v>23628.567064766481</v>
      </c>
      <c r="I4" s="8">
        <f>H4*(1+'Base Growth Rates'!F4)-180</f>
        <v>24555.973927534909</v>
      </c>
    </row>
    <row r="5" spans="1:11">
      <c r="A5" s="2">
        <v>2</v>
      </c>
      <c r="B5" s="10" t="s">
        <v>36</v>
      </c>
      <c r="C5" s="11"/>
      <c r="D5" s="12"/>
      <c r="E5" s="13">
        <f>(E4-C4)/C4</f>
        <v>3.6207930458570937E-2</v>
      </c>
      <c r="F5" s="13">
        <f>(F4-E4)/E4</f>
        <v>4.0573014164746832E-2</v>
      </c>
      <c r="G5" s="13">
        <f>(G4-F4)/F4</f>
        <v>4.3251109975328335E-2</v>
      </c>
      <c r="H5" s="13">
        <f>(H4-G4)/G4</f>
        <v>4.1005666525540871E-2</v>
      </c>
      <c r="I5" s="13">
        <f>(I4-H4)/H4</f>
        <v>3.9249390799974596E-2</v>
      </c>
    </row>
    <row r="6" spans="1:11">
      <c r="A6" s="2">
        <v>3</v>
      </c>
      <c r="B6" s="10"/>
      <c r="C6" s="11"/>
      <c r="D6" s="12"/>
      <c r="E6" s="11"/>
      <c r="F6" s="11"/>
      <c r="G6" s="11"/>
      <c r="H6" s="11"/>
      <c r="I6" s="11"/>
    </row>
    <row r="7" spans="1:11">
      <c r="A7" s="2">
        <v>4</v>
      </c>
      <c r="B7" s="14" t="s">
        <v>35</v>
      </c>
    </row>
    <row r="8" spans="1:11">
      <c r="A8" s="2">
        <v>5</v>
      </c>
      <c r="B8" s="1" t="s">
        <v>4</v>
      </c>
      <c r="C8" s="15">
        <v>3.2000000000000001E-2</v>
      </c>
      <c r="D8" s="16"/>
      <c r="E8" s="15">
        <v>4.2000000000000003E-2</v>
      </c>
      <c r="F8" s="15">
        <v>4.8000000000000001E-2</v>
      </c>
      <c r="G8" s="15">
        <v>0.05</v>
      </c>
      <c r="H8" s="15">
        <v>4.9000000000000002E-2</v>
      </c>
      <c r="I8" s="15">
        <v>4.7E-2</v>
      </c>
    </row>
    <row r="9" spans="1:11">
      <c r="A9" s="2">
        <v>6</v>
      </c>
      <c r="B9" s="1" t="s">
        <v>5</v>
      </c>
      <c r="C9" s="15">
        <v>1.0999999999999999E-2</v>
      </c>
      <c r="D9" s="16"/>
      <c r="E9" s="15">
        <v>1.7000000000000001E-2</v>
      </c>
      <c r="F9" s="15">
        <v>2.1000000000000001E-2</v>
      </c>
      <c r="G9" s="15">
        <v>2.3E-2</v>
      </c>
      <c r="H9" s="15">
        <v>2.1999999999999999E-2</v>
      </c>
      <c r="I9" s="15">
        <v>1.7999999999999999E-2</v>
      </c>
    </row>
    <row r="10" spans="1:11">
      <c r="A10" s="2">
        <v>7</v>
      </c>
      <c r="B10" s="1" t="s">
        <v>6</v>
      </c>
      <c r="C10" s="15">
        <v>3.2000000000000001E-2</v>
      </c>
      <c r="D10" s="16"/>
      <c r="E10" s="15">
        <v>3.3000000000000002E-2</v>
      </c>
      <c r="F10" s="15">
        <v>3.4000000000000002E-2</v>
      </c>
      <c r="G10" s="15">
        <v>3.9E-2</v>
      </c>
      <c r="H10" s="15">
        <v>4.7E-2</v>
      </c>
      <c r="I10" s="15">
        <v>4.2000000000000003E-2</v>
      </c>
    </row>
    <row r="11" spans="1:11">
      <c r="A11" s="2">
        <v>8</v>
      </c>
      <c r="B11" s="1" t="s">
        <v>7</v>
      </c>
      <c r="C11" s="15">
        <v>7.4999999999999997E-2</v>
      </c>
      <c r="D11" s="16"/>
      <c r="E11" s="15">
        <v>1.6E-2</v>
      </c>
      <c r="F11" s="15">
        <v>2.8000000000000001E-2</v>
      </c>
      <c r="G11" s="15">
        <v>-1E-3</v>
      </c>
      <c r="H11" s="15">
        <v>-0.02</v>
      </c>
      <c r="I11" s="15">
        <v>-5.0000000000000001E-3</v>
      </c>
    </row>
    <row r="12" spans="1:11" ht="15.75" thickBot="1">
      <c r="A12" s="2">
        <v>9</v>
      </c>
      <c r="B12" s="17"/>
      <c r="C12" s="17"/>
      <c r="D12" s="18"/>
      <c r="E12" s="17"/>
      <c r="F12" s="17"/>
      <c r="G12" s="17"/>
      <c r="H12" s="17"/>
      <c r="I12" s="17"/>
    </row>
    <row r="13" spans="1:11">
      <c r="A13" s="2">
        <v>10</v>
      </c>
      <c r="B13" s="19" t="s">
        <v>44</v>
      </c>
      <c r="D13" s="20"/>
    </row>
    <row r="14" spans="1:11">
      <c r="A14" s="2">
        <v>11</v>
      </c>
      <c r="B14" s="1" t="s">
        <v>37</v>
      </c>
      <c r="C14" s="21">
        <v>19937</v>
      </c>
      <c r="D14" s="22"/>
      <c r="E14" s="21">
        <v>20070</v>
      </c>
      <c r="F14" s="21">
        <v>20070</v>
      </c>
      <c r="G14" s="21">
        <v>20070</v>
      </c>
      <c r="H14" s="21">
        <v>20070</v>
      </c>
      <c r="I14" s="21">
        <v>20070</v>
      </c>
      <c r="K14" s="21">
        <f>(E14*0.14)*0.0234</f>
        <v>65.749320000000012</v>
      </c>
    </row>
    <row r="15" spans="1:11">
      <c r="A15" s="2">
        <v>12</v>
      </c>
      <c r="C15" s="21"/>
      <c r="D15" s="22"/>
      <c r="E15" s="21"/>
      <c r="F15" s="21"/>
      <c r="G15" s="21"/>
      <c r="H15" s="21"/>
      <c r="I15" s="21"/>
      <c r="K15" s="21">
        <f>(F14*0.14)*0.0239</f>
        <v>67.154220000000009</v>
      </c>
    </row>
    <row r="16" spans="1:11">
      <c r="A16" s="2">
        <v>13</v>
      </c>
      <c r="B16" s="14" t="s">
        <v>38</v>
      </c>
      <c r="C16" s="21"/>
      <c r="D16" s="22"/>
      <c r="E16" s="21"/>
      <c r="F16" s="21"/>
      <c r="G16" s="21"/>
      <c r="H16" s="21"/>
      <c r="I16" s="21"/>
      <c r="K16" s="21">
        <f>(G14*0.14)*0.0244</f>
        <v>68.559120000000007</v>
      </c>
    </row>
    <row r="17" spans="1:11">
      <c r="A17" s="2">
        <v>14</v>
      </c>
      <c r="B17" s="1" t="s">
        <v>48</v>
      </c>
      <c r="C17" s="23">
        <v>0</v>
      </c>
      <c r="D17" s="22"/>
      <c r="E17" s="21">
        <v>65.7</v>
      </c>
      <c r="F17" s="21">
        <f>E17+67.2</f>
        <v>132.9</v>
      </c>
      <c r="G17" s="21">
        <f>F17+68.6</f>
        <v>201.5</v>
      </c>
      <c r="H17" s="21">
        <f>G17+70</f>
        <v>271.5</v>
      </c>
      <c r="I17" s="21">
        <f>H17+71.1</f>
        <v>342.6</v>
      </c>
      <c r="K17" s="21">
        <f>(H14*0.14)*0.0249</f>
        <v>69.964020000000005</v>
      </c>
    </row>
    <row r="18" spans="1:11">
      <c r="A18" s="2">
        <v>15</v>
      </c>
      <c r="B18" s="1" t="s">
        <v>39</v>
      </c>
      <c r="C18" s="21">
        <v>62.4</v>
      </c>
      <c r="D18" s="22"/>
      <c r="E18" s="21">
        <v>56.9</v>
      </c>
      <c r="F18" s="21">
        <f>E18+66</f>
        <v>122.9</v>
      </c>
      <c r="G18" s="21">
        <f>F18+37.6</f>
        <v>160.5</v>
      </c>
      <c r="H18" s="21">
        <f>G18+69.9</f>
        <v>230.4</v>
      </c>
      <c r="I18" s="21">
        <f>H18+56.6</f>
        <v>287</v>
      </c>
      <c r="K18" s="21">
        <f>(I14*0.14)*0.0253</f>
        <v>71.087940000000003</v>
      </c>
    </row>
    <row r="19" spans="1:11">
      <c r="A19" s="2">
        <v>16</v>
      </c>
      <c r="B19" s="1" t="s">
        <v>40</v>
      </c>
      <c r="C19" s="21">
        <v>5.2</v>
      </c>
      <c r="D19" s="22"/>
      <c r="E19" s="21">
        <v>18.8</v>
      </c>
      <c r="F19" s="21">
        <f>E19+19.2</f>
        <v>38</v>
      </c>
      <c r="G19" s="21">
        <f>F19+26.4</f>
        <v>64.400000000000006</v>
      </c>
      <c r="H19" s="21">
        <f>G19+41.2</f>
        <v>105.60000000000001</v>
      </c>
      <c r="I19" s="21">
        <f>H19+43.1</f>
        <v>148.70000000000002</v>
      </c>
    </row>
    <row r="20" spans="1:11">
      <c r="A20" s="2">
        <v>17</v>
      </c>
      <c r="B20" s="1" t="s">
        <v>41</v>
      </c>
      <c r="C20" s="21">
        <v>194.2</v>
      </c>
      <c r="D20" s="22"/>
      <c r="E20" s="21">
        <v>174</v>
      </c>
      <c r="F20" s="21">
        <f>E20+184.4</f>
        <v>358.4</v>
      </c>
      <c r="G20" s="21">
        <f>F20+195.5</f>
        <v>553.9</v>
      </c>
      <c r="H20" s="21">
        <f>G20+207.2</f>
        <v>761.09999999999991</v>
      </c>
      <c r="I20" s="21">
        <f>H20+219.6</f>
        <v>980.69999999999993</v>
      </c>
    </row>
    <row r="21" spans="1:11">
      <c r="A21" s="2">
        <v>18</v>
      </c>
      <c r="B21" s="1" t="s">
        <v>49</v>
      </c>
      <c r="C21" s="23">
        <v>0</v>
      </c>
      <c r="D21" s="22"/>
      <c r="E21" s="21">
        <v>92</v>
      </c>
      <c r="F21" s="21">
        <f>E21+98.6</f>
        <v>190.6</v>
      </c>
      <c r="G21" s="21">
        <f>F21+105.7</f>
        <v>296.3</v>
      </c>
      <c r="H21" s="21">
        <f>G21+113.3</f>
        <v>409.6</v>
      </c>
      <c r="I21" s="21">
        <f>H21+121.5</f>
        <v>531.1</v>
      </c>
    </row>
    <row r="22" spans="1:11">
      <c r="A22" s="2">
        <v>19</v>
      </c>
      <c r="B22" s="1" t="s">
        <v>42</v>
      </c>
      <c r="C22" s="23">
        <v>0</v>
      </c>
      <c r="D22" s="22"/>
      <c r="E22" s="23">
        <v>0</v>
      </c>
      <c r="F22" s="21">
        <v>75.7</v>
      </c>
      <c r="G22" s="21">
        <f>F22+75.7</f>
        <v>151.4</v>
      </c>
      <c r="H22" s="21">
        <f>G22+55.4</f>
        <v>206.8</v>
      </c>
      <c r="I22" s="21">
        <f>H22+40.7</f>
        <v>247.5</v>
      </c>
    </row>
    <row r="23" spans="1:11">
      <c r="A23" s="2">
        <v>20</v>
      </c>
      <c r="B23" s="1" t="s">
        <v>52</v>
      </c>
      <c r="C23" s="21">
        <v>39</v>
      </c>
      <c r="D23" s="22"/>
      <c r="E23" s="21">
        <f>130*1.9</f>
        <v>247</v>
      </c>
      <c r="F23" s="21">
        <v>503.4</v>
      </c>
      <c r="G23" s="21">
        <v>760</v>
      </c>
      <c r="H23" s="21">
        <v>1021.4</v>
      </c>
      <c r="I23" s="21">
        <v>1287.8</v>
      </c>
    </row>
    <row r="24" spans="1:11">
      <c r="A24" s="2">
        <v>21</v>
      </c>
      <c r="B24" s="1" t="s">
        <v>3</v>
      </c>
      <c r="C24" s="24">
        <v>-59.9</v>
      </c>
      <c r="D24" s="25"/>
      <c r="E24" s="26">
        <v>0</v>
      </c>
      <c r="F24" s="26">
        <v>0</v>
      </c>
      <c r="G24" s="26">
        <v>0</v>
      </c>
      <c r="H24" s="26">
        <v>0</v>
      </c>
      <c r="I24" s="26">
        <v>0</v>
      </c>
    </row>
    <row r="25" spans="1:11">
      <c r="A25" s="2">
        <v>22</v>
      </c>
      <c r="B25" s="1" t="s">
        <v>43</v>
      </c>
      <c r="C25" s="21">
        <f>SUM(C17:C24)</f>
        <v>240.89999999999995</v>
      </c>
      <c r="D25" s="22"/>
      <c r="E25" s="21">
        <f t="shared" ref="E25:I25" si="0">SUM(E17:E24)</f>
        <v>654.4</v>
      </c>
      <c r="F25" s="21">
        <f t="shared" si="0"/>
        <v>1421.9</v>
      </c>
      <c r="G25" s="21">
        <f t="shared" si="0"/>
        <v>2188</v>
      </c>
      <c r="H25" s="21">
        <f t="shared" si="0"/>
        <v>3006.3999999999996</v>
      </c>
      <c r="I25" s="21">
        <f t="shared" si="0"/>
        <v>3825.3999999999996</v>
      </c>
    </row>
    <row r="26" spans="1:11">
      <c r="A26" s="2">
        <v>23</v>
      </c>
      <c r="C26" s="21"/>
      <c r="D26" s="22"/>
      <c r="E26" s="21"/>
      <c r="F26" s="21"/>
      <c r="G26" s="21"/>
      <c r="H26" s="21"/>
      <c r="I26" s="21"/>
    </row>
    <row r="27" spans="1:11">
      <c r="A27" s="2">
        <v>24</v>
      </c>
      <c r="B27" s="19" t="s">
        <v>45</v>
      </c>
      <c r="C27" s="27">
        <f>C14+C25</f>
        <v>20177.900000000001</v>
      </c>
      <c r="D27" s="28"/>
      <c r="E27" s="27">
        <f t="shared" ref="E27:I27" si="1">E14+E25</f>
        <v>20724.400000000001</v>
      </c>
      <c r="F27" s="27">
        <f t="shared" si="1"/>
        <v>21491.9</v>
      </c>
      <c r="G27" s="27">
        <f t="shared" si="1"/>
        <v>22258</v>
      </c>
      <c r="H27" s="27">
        <f t="shared" si="1"/>
        <v>23076.400000000001</v>
      </c>
      <c r="I27" s="27">
        <f t="shared" si="1"/>
        <v>23895.4</v>
      </c>
    </row>
    <row r="28" spans="1:11">
      <c r="A28" s="2">
        <v>25</v>
      </c>
      <c r="B28" s="19"/>
      <c r="C28" s="27"/>
      <c r="D28" s="28"/>
      <c r="E28" s="27"/>
      <c r="F28" s="27"/>
      <c r="G28" s="27"/>
      <c r="H28" s="27"/>
      <c r="I28" s="27"/>
    </row>
    <row r="29" spans="1:11">
      <c r="A29" s="2">
        <v>26</v>
      </c>
      <c r="B29" s="19" t="s">
        <v>46</v>
      </c>
      <c r="C29" s="27">
        <f>C4-C27</f>
        <v>0</v>
      </c>
      <c r="D29" s="28"/>
      <c r="E29" s="27">
        <f t="shared" ref="E29:I29" si="2">E4-E27</f>
        <v>184.09999999999854</v>
      </c>
      <c r="F29" s="27">
        <f t="shared" si="2"/>
        <v>264.92086666360774</v>
      </c>
      <c r="G29" s="27">
        <f t="shared" si="2"/>
        <v>439.82751868119522</v>
      </c>
      <c r="H29" s="27">
        <f t="shared" si="2"/>
        <v>552.1670647664796</v>
      </c>
      <c r="I29" s="27">
        <f t="shared" si="2"/>
        <v>660.57392753490785</v>
      </c>
    </row>
    <row r="30" spans="1:11" ht="15.75" thickBot="1">
      <c r="A30" s="2">
        <v>27</v>
      </c>
      <c r="B30" s="17"/>
      <c r="C30" s="29"/>
      <c r="D30" s="30"/>
      <c r="E30" s="29"/>
      <c r="F30" s="29"/>
      <c r="G30" s="29"/>
      <c r="H30" s="29"/>
      <c r="I30" s="29"/>
    </row>
    <row r="31" spans="1:11">
      <c r="A31" s="2">
        <v>28</v>
      </c>
      <c r="B31" s="19" t="s">
        <v>47</v>
      </c>
      <c r="C31" s="21"/>
      <c r="D31" s="22"/>
      <c r="E31" s="21"/>
      <c r="F31" s="21"/>
      <c r="G31" s="21"/>
      <c r="H31" s="21"/>
      <c r="I31" s="21"/>
    </row>
    <row r="32" spans="1:11">
      <c r="A32" s="2">
        <v>29</v>
      </c>
      <c r="B32" s="1" t="s">
        <v>50</v>
      </c>
      <c r="C32" s="21"/>
      <c r="D32" s="31"/>
      <c r="E32" s="21">
        <f>E29*0.13</f>
        <v>23.932999999999812</v>
      </c>
      <c r="F32" s="21">
        <f>(F29*0.13)</f>
        <v>34.43971266626901</v>
      </c>
      <c r="G32" s="21">
        <f>(G29*0.13)</f>
        <v>57.177577428555381</v>
      </c>
      <c r="H32" s="21">
        <f>(H29*0.13)</f>
        <v>71.781718419642345</v>
      </c>
      <c r="I32" s="21">
        <f>(I29*0.13)</f>
        <v>85.874610579538029</v>
      </c>
    </row>
    <row r="33" spans="1:9" ht="15.75" thickBot="1">
      <c r="A33" s="2">
        <v>30</v>
      </c>
      <c r="B33" s="32" t="s">
        <v>51</v>
      </c>
      <c r="C33" s="33"/>
      <c r="D33" s="34"/>
      <c r="E33" s="35">
        <v>0</v>
      </c>
      <c r="F33" s="33">
        <f>E32+F32</f>
        <v>58.372712666268825</v>
      </c>
      <c r="G33" s="33">
        <f>F33+G32</f>
        <v>115.55029009482421</v>
      </c>
      <c r="H33" s="33">
        <f t="shared" ref="H33:I33" si="3">G33+H32</f>
        <v>187.33200851446657</v>
      </c>
      <c r="I33" s="33">
        <f t="shared" si="3"/>
        <v>273.20661909400462</v>
      </c>
    </row>
    <row r="34" spans="1:9">
      <c r="A34" s="2">
        <v>31</v>
      </c>
      <c r="B34" s="1" t="s">
        <v>53</v>
      </c>
      <c r="C34" s="21"/>
      <c r="D34" s="22"/>
      <c r="E34" s="21">
        <f>(E4*0.0085)*0.13</f>
        <v>23.103892500000001</v>
      </c>
      <c r="F34" s="21">
        <f t="shared" ref="F34:I34" si="4">(F4*0.0085)*0.13</f>
        <v>24.041287057663293</v>
      </c>
      <c r="G34" s="21">
        <f t="shared" si="4"/>
        <v>25.081099408142727</v>
      </c>
      <c r="H34" s="21">
        <f t="shared" si="4"/>
        <v>26.109566606566965</v>
      </c>
      <c r="I34" s="21">
        <f t="shared" si="4"/>
        <v>27.134351189926079</v>
      </c>
    </row>
    <row r="35" spans="1:9">
      <c r="A35" s="2">
        <v>32</v>
      </c>
      <c r="B35" s="36" t="s">
        <v>51</v>
      </c>
      <c r="C35" s="21"/>
      <c r="D35" s="22"/>
      <c r="E35" s="21">
        <f>E32+E34</f>
        <v>47.036892499999809</v>
      </c>
      <c r="F35" s="21">
        <f>F33+F34</f>
        <v>82.413999723932122</v>
      </c>
      <c r="G35" s="21">
        <f t="shared" ref="G35:I35" si="5">G33+G34</f>
        <v>140.63138950296693</v>
      </c>
      <c r="H35" s="21">
        <f t="shared" si="5"/>
        <v>213.44157512103354</v>
      </c>
      <c r="I35" s="21">
        <f t="shared" si="5"/>
        <v>300.34097028393069</v>
      </c>
    </row>
    <row r="36" spans="1:9">
      <c r="A36" s="2">
        <v>33</v>
      </c>
      <c r="B36" s="37" t="s">
        <v>55</v>
      </c>
      <c r="C36" s="21"/>
      <c r="D36" s="21"/>
      <c r="E36" s="21"/>
      <c r="F36" s="21"/>
      <c r="G36" s="21"/>
      <c r="H36" s="21"/>
      <c r="I36" s="21"/>
    </row>
    <row r="37" spans="1:9">
      <c r="A37" s="2">
        <v>34</v>
      </c>
      <c r="B37" s="1" t="s">
        <v>60</v>
      </c>
    </row>
    <row r="38" spans="1:9">
      <c r="A38" s="2">
        <v>35</v>
      </c>
      <c r="B38" s="1" t="s">
        <v>56</v>
      </c>
    </row>
    <row r="39" spans="1:9">
      <c r="A39" s="2">
        <v>36</v>
      </c>
      <c r="B39" s="1" t="s">
        <v>57</v>
      </c>
    </row>
    <row r="40" spans="1:9">
      <c r="A40" s="2">
        <v>37</v>
      </c>
      <c r="B40" s="1" t="s">
        <v>58</v>
      </c>
    </row>
    <row r="41" spans="1:9">
      <c r="A41" s="2">
        <v>38</v>
      </c>
      <c r="B41" s="1" t="s">
        <v>59</v>
      </c>
    </row>
    <row r="42" spans="1:9">
      <c r="A42" s="2">
        <v>39</v>
      </c>
      <c r="B42" s="1" t="s">
        <v>61</v>
      </c>
    </row>
    <row r="43" spans="1:9">
      <c r="A43" s="2">
        <v>40</v>
      </c>
      <c r="B43" s="1" t="s">
        <v>62</v>
      </c>
    </row>
  </sheetData>
  <mergeCells count="1">
    <mergeCell ref="A1:I1"/>
  </mergeCells>
  <printOptions gridLines="1"/>
  <pageMargins left="0.7" right="0.7" top="0.6" bottom="0.6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F23"/>
  <sheetViews>
    <sheetView workbookViewId="0">
      <selection activeCell="C11" sqref="C11"/>
    </sheetView>
  </sheetViews>
  <sheetFormatPr defaultRowHeight="15"/>
  <cols>
    <col min="1" max="1" width="13.5703125" customWidth="1"/>
  </cols>
  <sheetData>
    <row r="2" spans="1:6">
      <c r="B2" t="s">
        <v>22</v>
      </c>
    </row>
    <row r="3" spans="1:6"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>
      <c r="A4" t="s">
        <v>15</v>
      </c>
      <c r="B4">
        <v>4.476892305355748E-2</v>
      </c>
      <c r="C4">
        <v>4.9181953113021523E-2</v>
      </c>
      <c r="D4">
        <v>5.152437752223369E-2</v>
      </c>
      <c r="E4">
        <v>4.8935940903203405E-2</v>
      </c>
      <c r="F4">
        <v>4.6867288216547322E-2</v>
      </c>
    </row>
    <row r="5" spans="1:6">
      <c r="A5" t="s">
        <v>13</v>
      </c>
      <c r="B5">
        <v>3.9462745934562379E-2</v>
      </c>
      <c r="C5">
        <v>4.8241337379691142E-2</v>
      </c>
      <c r="D5">
        <v>4.6398216331921184E-2</v>
      </c>
      <c r="E5">
        <v>4.3749513685522309E-2</v>
      </c>
      <c r="F5">
        <v>3.9680531656966216E-2</v>
      </c>
    </row>
    <row r="6" spans="1:6">
      <c r="A6" t="s">
        <v>14</v>
      </c>
      <c r="B6">
        <v>2.4309096516644205E-2</v>
      </c>
      <c r="C6">
        <v>3.4641517087517374E-3</v>
      </c>
      <c r="D6">
        <v>-7.7276930181197218E-3</v>
      </c>
      <c r="E6">
        <v>-7.5333599743758091E-3</v>
      </c>
      <c r="F6">
        <v>2.9075776077677794E-3</v>
      </c>
    </row>
    <row r="7" spans="1:6">
      <c r="A7" t="s">
        <v>0</v>
      </c>
      <c r="B7">
        <v>2.4129786277634846E-2</v>
      </c>
      <c r="C7">
        <v>2.7091775904695064E-2</v>
      </c>
      <c r="D7">
        <v>2.7578394153324609E-2</v>
      </c>
      <c r="E7">
        <v>2.5747892653094486E-2</v>
      </c>
      <c r="F7">
        <v>2.3930978764057489E-2</v>
      </c>
    </row>
    <row r="8" spans="1:6">
      <c r="A8" t="s">
        <v>1</v>
      </c>
      <c r="B8">
        <v>5.7973116180489739E-2</v>
      </c>
      <c r="C8">
        <v>5.8202062377427727E-2</v>
      </c>
      <c r="D8">
        <v>5.8476647868050929E-2</v>
      </c>
      <c r="E8">
        <v>5.8730594538622609E-2</v>
      </c>
      <c r="F8">
        <v>5.8692775396069298E-2</v>
      </c>
    </row>
    <row r="9" spans="1:6">
      <c r="A9" t="s">
        <v>16</v>
      </c>
      <c r="B9">
        <v>1.8796729033056684E-2</v>
      </c>
      <c r="C9">
        <v>1.84495884749016E-2</v>
      </c>
      <c r="D9">
        <v>1.8115367401276578E-2</v>
      </c>
      <c r="E9">
        <v>1.7792709913020031E-2</v>
      </c>
      <c r="F9">
        <v>1.7482312267158861E-2</v>
      </c>
    </row>
    <row r="10" spans="1:6">
      <c r="A10" t="s">
        <v>17</v>
      </c>
      <c r="B10">
        <v>0.72487832116554296</v>
      </c>
      <c r="C10">
        <v>0.29635158512644</v>
      </c>
      <c r="D10">
        <v>6.9717277734439628E-2</v>
      </c>
      <c r="E10">
        <v>7.0731289604384462E-2</v>
      </c>
      <c r="F10">
        <v>6.0790869502404296E-2</v>
      </c>
    </row>
    <row r="11" spans="1:6">
      <c r="A11" t="s">
        <v>18</v>
      </c>
      <c r="B11">
        <v>3.5539029503813338E-2</v>
      </c>
      <c r="C11">
        <v>3.4352362962827065E-2</v>
      </c>
      <c r="D11">
        <v>3.4498654307810663E-2</v>
      </c>
      <c r="E11">
        <v>3.4085144306574305E-2</v>
      </c>
      <c r="F11">
        <v>3.4559340236804084E-2</v>
      </c>
    </row>
    <row r="12" spans="1:6">
      <c r="A12" t="s">
        <v>19</v>
      </c>
      <c r="B12">
        <v>-1.2E-2</v>
      </c>
      <c r="C12">
        <v>-1.2E-2</v>
      </c>
      <c r="D12">
        <v>-1.2E-2</v>
      </c>
      <c r="E12">
        <v>-1.2E-2</v>
      </c>
      <c r="F12">
        <v>-1.2E-2</v>
      </c>
    </row>
    <row r="13" spans="1:6">
      <c r="A13" t="s">
        <v>20</v>
      </c>
      <c r="B13">
        <v>0.01</v>
      </c>
      <c r="C13">
        <v>-0.05</v>
      </c>
      <c r="D13">
        <v>-0.03</v>
      </c>
      <c r="E13">
        <v>0</v>
      </c>
      <c r="F13">
        <v>0</v>
      </c>
    </row>
    <row r="14" spans="1:6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t="s">
        <v>2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t="s">
        <v>3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6">
      <c r="B18" t="s">
        <v>23</v>
      </c>
    </row>
    <row r="19" spans="1:6">
      <c r="A19" t="s">
        <v>24</v>
      </c>
      <c r="B19">
        <v>0.35</v>
      </c>
      <c r="C19">
        <v>0.75</v>
      </c>
      <c r="D19">
        <v>0.5</v>
      </c>
      <c r="E19">
        <v>0.2</v>
      </c>
      <c r="F19">
        <v>0.05</v>
      </c>
    </row>
    <row r="20" spans="1:6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t="s">
        <v>3</v>
      </c>
      <c r="C22">
        <v>0.03</v>
      </c>
      <c r="D22">
        <v>0.03</v>
      </c>
      <c r="E22">
        <v>0.03</v>
      </c>
      <c r="F22">
        <v>0.03</v>
      </c>
    </row>
    <row r="23" spans="1:6">
      <c r="A23" t="s">
        <v>1</v>
      </c>
      <c r="B23">
        <v>1.4999999999999999E-2</v>
      </c>
      <c r="C23">
        <v>0.01</v>
      </c>
      <c r="D23">
        <v>0</v>
      </c>
      <c r="E23">
        <v>0</v>
      </c>
      <c r="F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GF Table</vt:lpstr>
      <vt:lpstr>Base Growth Rates</vt:lpstr>
      <vt:lpstr>Sheet3</vt:lpstr>
      <vt:lpstr>'GF Table'!Print_Area</vt:lpstr>
      <vt:lpstr>'GF Table'!Print_Titles</vt:lpstr>
    </vt:vector>
  </TitlesOfParts>
  <Company>State of North Carolina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L Knuffman</dc:creator>
  <cp:lastModifiedBy>ckerr</cp:lastModifiedBy>
  <cp:lastPrinted>2012-09-24T20:24:03Z</cp:lastPrinted>
  <dcterms:created xsi:type="dcterms:W3CDTF">2012-08-15T14:19:35Z</dcterms:created>
  <dcterms:modified xsi:type="dcterms:W3CDTF">2012-09-26T21:18:19Z</dcterms:modified>
</cp:coreProperties>
</file>