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14220" windowHeight="5520"/>
  </bookViews>
  <sheets>
    <sheet name="Staff Expend" sheetId="1" r:id="rId1"/>
    <sheet name="Prog Expend" sheetId="4" r:id="rId2"/>
    <sheet name="Program List" sheetId="7" r:id="rId3"/>
  </sheets>
  <calcPr calcId="145621"/>
</workbook>
</file>

<file path=xl/calcChain.xml><?xml version="1.0" encoding="utf-8"?>
<calcChain xmlns="http://schemas.openxmlformats.org/spreadsheetml/2006/main">
  <c r="F13" i="1" l="1"/>
  <c r="C13" i="1"/>
  <c r="G41" i="1"/>
  <c r="G31" i="1"/>
  <c r="I44" i="1"/>
  <c r="I40" i="1"/>
  <c r="I42" i="1" s="1"/>
  <c r="I43" i="1" s="1"/>
  <c r="I38" i="1"/>
  <c r="I37" i="1"/>
  <c r="I39" i="1" s="1"/>
  <c r="I34" i="1"/>
  <c r="I30" i="1"/>
  <c r="I32" i="1" s="1"/>
  <c r="I33" i="1" s="1"/>
  <c r="I35" i="1" s="1"/>
  <c r="I28" i="1"/>
  <c r="I27" i="1"/>
  <c r="I29" i="1" s="1"/>
  <c r="G21" i="1"/>
  <c r="I18" i="1"/>
  <c r="I17" i="1"/>
  <c r="I19" i="1" l="1"/>
  <c r="I45" i="1"/>
  <c r="G45" i="1"/>
  <c r="G35" i="1"/>
  <c r="G25" i="1"/>
  <c r="I24" i="1"/>
  <c r="I20" i="1"/>
  <c r="I22" i="1" s="1"/>
  <c r="I23" i="1" s="1"/>
  <c r="I25" i="1" l="1"/>
  <c r="F26" i="4"/>
  <c r="C26" i="4"/>
  <c r="F9" i="4"/>
  <c r="C9" i="4"/>
  <c r="A27" i="4"/>
  <c r="G33" i="4"/>
  <c r="G40" i="4" s="1"/>
  <c r="G16" i="4" l="1"/>
  <c r="A10" i="4"/>
  <c r="G23" i="4" l="1"/>
</calcChain>
</file>

<file path=xl/sharedStrings.xml><?xml version="1.0" encoding="utf-8"?>
<sst xmlns="http://schemas.openxmlformats.org/spreadsheetml/2006/main" count="192" uniqueCount="120">
  <si>
    <t>This is expenditure for fiscal year:</t>
  </si>
  <si>
    <t>District Number:</t>
  </si>
  <si>
    <t>District Type:</t>
  </si>
  <si>
    <t>District Name:</t>
  </si>
  <si>
    <t>Name of person completing this report:</t>
  </si>
  <si>
    <t>Title:</t>
  </si>
  <si>
    <t>Phone no.:</t>
  </si>
  <si>
    <t>E-mail address:</t>
  </si>
  <si>
    <t>DISTRICT IDENTIFICATION</t>
  </si>
  <si>
    <t>Each Career and Technical Education Program has its own unique OE Program Code and applicable UFARS Program Code. Refer to Appendix III for these codes.</t>
  </si>
  <si>
    <t>PROGRAM IDENTIFICATION INFORMATION</t>
  </si>
  <si>
    <t>OE PROGRAM CODE</t>
  </si>
  <si>
    <t>PROGRAM NAME</t>
  </si>
  <si>
    <t>UFARS PROGRAM CODE</t>
  </si>
  <si>
    <t>PROGRAM STAFFING INFORMATION</t>
  </si>
  <si>
    <t>Name of staff member:</t>
  </si>
  <si>
    <t>File Folder Number:</t>
  </si>
  <si>
    <t>Assigned hours within this program per day:</t>
  </si>
  <si>
    <t>Extended days:</t>
  </si>
  <si>
    <t>Extended salary:</t>
  </si>
  <si>
    <t>Student Organizaton Advisory salary:</t>
  </si>
  <si>
    <t>Salary for additional assignments (describe below):</t>
  </si>
  <si>
    <t>Base salary:*</t>
  </si>
  <si>
    <t>Assigned hours per day:**</t>
  </si>
  <si>
    <t>Assighed teacher preparation hours per day:***</t>
  </si>
  <si>
    <t>*** List total preparation time assigned to the teacher per day. Preparation time within the program will be calculated as per statute.</t>
  </si>
  <si>
    <t>Technical Tutor/Paraprofessional</t>
  </si>
  <si>
    <t>Horticulture and Landscaping Management</t>
  </si>
  <si>
    <t>Health Sciences &amp; Technology Education</t>
  </si>
  <si>
    <t>Emergency Medical Services</t>
  </si>
  <si>
    <t>Teacher-Coordinator, Health Youth Apprenticeship</t>
  </si>
  <si>
    <t>Family and Consumer Science</t>
  </si>
  <si>
    <t>Early Childhood, Guidance &amp; Education Careers</t>
  </si>
  <si>
    <t>Creative Design</t>
  </si>
  <si>
    <t>Hospitality Service Careers</t>
  </si>
  <si>
    <t>Law Enforcement Careers</t>
  </si>
  <si>
    <t>Banking and Finance</t>
  </si>
  <si>
    <t>Administrative Support Occupations</t>
  </si>
  <si>
    <t>Truck/Diesel Mechanics</t>
  </si>
  <si>
    <t>Auto Body Mechanics</t>
  </si>
  <si>
    <t>Auto Mechanics</t>
  </si>
  <si>
    <t>Commercial Photography</t>
  </si>
  <si>
    <t>Drafting/CAD Occupations</t>
  </si>
  <si>
    <t>Electronics Occupations</t>
  </si>
  <si>
    <t>Communications Technology Occupations</t>
  </si>
  <si>
    <t>Machine Shop Occupations</t>
  </si>
  <si>
    <t>Welding Occupations</t>
  </si>
  <si>
    <t>Program Name</t>
  </si>
  <si>
    <t>Secondary Career and Technical Education Program Expenditure Worksheet</t>
  </si>
  <si>
    <r>
      <t>GENERAL INFORMATION AND INSTRUCTIONS:</t>
    </r>
    <r>
      <rPr>
        <sz val="9"/>
        <color theme="1"/>
        <rFont val="Calibri"/>
        <family val="2"/>
        <scheme val="minor"/>
      </rPr>
      <t xml:space="preserve"> According to Minnesota Statutes </t>
    </r>
    <r>
      <rPr>
        <sz val="9"/>
        <color theme="1"/>
        <rFont val="Calibri"/>
        <family val="2"/>
      </rPr>
      <t>§ 124D.4531, districts may levy for secondary Career and Technical Education (CTE) programs on a current funding basis. Expenditures must be made in state-approved career and technical education programs for activities identified in statute. Complete a separate Staffing Expenditure Worksheet for each secondary CTE program within the district/center and submit information via the CTE Levy Web-Based System on or before October 15 following the program year.</t>
    </r>
  </si>
  <si>
    <t>PROGRAM EXPENDITURE INFORMATION</t>
  </si>
  <si>
    <t>UFARS OBJ CODE</t>
  </si>
  <si>
    <t>ITEM</t>
  </si>
  <si>
    <t>AMOUNT</t>
  </si>
  <si>
    <t>Descriptions provided in the UFARS Manual are to be used as guidelines when entering expenditures.</t>
  </si>
  <si>
    <t>140/143</t>
  </si>
  <si>
    <t>Licensed Staff (from the Staffing Expenditure Worksheet)</t>
  </si>
  <si>
    <t>Staff Extended Time (from the Staffing Expenditure Worksheet)</t>
  </si>
  <si>
    <t>Staff Travel</t>
  </si>
  <si>
    <r>
      <rPr>
        <sz val="9"/>
        <color theme="1"/>
        <rFont val="Calibri"/>
        <family val="2"/>
      </rPr>
      <t xml:space="preserve">• </t>
    </r>
    <r>
      <rPr>
        <sz val="9"/>
        <color theme="1"/>
        <rFont val="Calibri"/>
        <family val="2"/>
        <scheme val="minor"/>
      </rPr>
      <t>Between instructional sites</t>
    </r>
  </si>
  <si>
    <r>
      <rPr>
        <sz val="9"/>
        <color theme="1"/>
        <rFont val="Calibri"/>
        <family val="2"/>
      </rPr>
      <t xml:space="preserve">• </t>
    </r>
    <r>
      <rPr>
        <sz val="9"/>
        <color theme="1"/>
        <rFont val="Calibri"/>
        <family val="2"/>
        <scheme val="minor"/>
      </rPr>
      <t>For professional development</t>
    </r>
  </si>
  <si>
    <r>
      <rPr>
        <sz val="9"/>
        <color theme="1"/>
        <rFont val="Calibri"/>
        <family val="2"/>
      </rPr>
      <t xml:space="preserve">• </t>
    </r>
    <r>
      <rPr>
        <sz val="9"/>
        <color theme="1"/>
        <rFont val="Calibri"/>
        <family val="2"/>
        <scheme val="minor"/>
      </rPr>
      <t>For student organization activity</t>
    </r>
  </si>
  <si>
    <t>305/394</t>
  </si>
  <si>
    <t>Contracted Services (approved by the state)</t>
  </si>
  <si>
    <t>Specialized CTE Instructional Supplies</t>
  </si>
  <si>
    <t>Various</t>
  </si>
  <si>
    <t>Curriculum Development Activities</t>
  </si>
  <si>
    <t>Prog Code 610</t>
  </si>
  <si>
    <t>Program Total</t>
  </si>
  <si>
    <r>
      <t>GENERAL INFORMATION AND INSTRUCTIONS:</t>
    </r>
    <r>
      <rPr>
        <sz val="9"/>
        <color theme="1"/>
        <rFont val="Calibri"/>
        <family val="2"/>
        <scheme val="minor"/>
      </rPr>
      <t xml:space="preserve"> According to Minnesota Statutes </t>
    </r>
    <r>
      <rPr>
        <sz val="9"/>
        <color theme="1"/>
        <rFont val="Calibri"/>
        <family val="2"/>
      </rPr>
      <t>§ 124D.4531, districts may levy for secondary Career and Technical Education (CTE) programs on a current funding basis. Expenditures must be made in state-approved career and technical education programs for activities identified in statute. Complete a separate Program Expenditure Informaton section for each secondary CTE program within the district/center and submit information via the CTE Levy Web-Based System on or before October 15 following the program year.</t>
    </r>
  </si>
  <si>
    <t>PROGRAM INFORMATION</t>
  </si>
  <si>
    <t>Career &amp; Technical Education             1500 Highway 36 West                 Roseville MN 55113-4266</t>
  </si>
  <si>
    <t>Secondary Career and Technical Education                       Staffing Expenditure Worksheet</t>
  </si>
  <si>
    <t>Program portion of prep time</t>
  </si>
  <si>
    <t>Total hours devoted to program</t>
  </si>
  <si>
    <t>Total assigned hours per day</t>
  </si>
  <si>
    <t>Percentage of base salary assigned to program</t>
  </si>
  <si>
    <t>Calculated portion of base salary assigned to program</t>
  </si>
  <si>
    <t>Salary additions</t>
  </si>
  <si>
    <t>TOTAL SALARY ASSIGNED TO PROGRAM</t>
  </si>
  <si>
    <t>Percentage of instructional hours devoted to program</t>
  </si>
  <si>
    <t>Total for assignment:</t>
  </si>
  <si>
    <t>Assigned instructional salary within program</t>
  </si>
  <si>
    <t>OE Program Code</t>
  </si>
  <si>
    <t>UFARS Program Code</t>
  </si>
  <si>
    <t>Diversified Occupations</t>
  </si>
  <si>
    <t>Transition-Disabled - Other</t>
  </si>
  <si>
    <t>Licensed Career and Technical Administration</t>
  </si>
  <si>
    <t>Support Service Facilitation</t>
  </si>
  <si>
    <t>Vocational Evaluation</t>
  </si>
  <si>
    <t>Work Experience-Disadvantaged</t>
  </si>
  <si>
    <t>Work Experience-Handicapped</t>
  </si>
  <si>
    <t>Work Experience/Career Exploration (Handicapped)</t>
  </si>
  <si>
    <t>Work Experience/Career Exploration (Disadvantaged)</t>
  </si>
  <si>
    <t xml:space="preserve">Employment Placement </t>
  </si>
  <si>
    <t>Diversified Youth Apprenticeship</t>
  </si>
  <si>
    <t>Agricultural Cooperative Work Experience</t>
  </si>
  <si>
    <t>Agricultural Combined Program</t>
  </si>
  <si>
    <t>Marketing Occupations</t>
  </si>
  <si>
    <t>Teacher-Coordinator, Marketing Occupations</t>
  </si>
  <si>
    <t>Dental Assisting</t>
  </si>
  <si>
    <t>Allied Health</t>
  </si>
  <si>
    <t>Teacher-Coordinator, Health Occupations</t>
  </si>
  <si>
    <t>Service Occupations Co-Op Programs</t>
  </si>
  <si>
    <t>Teacher-Coordinator, Business &amp; Office Cooperative Programs</t>
  </si>
  <si>
    <t>Air Conditioning, Heating, and Refrigeration Services</t>
  </si>
  <si>
    <t>Vehicle Service Occupations</t>
  </si>
  <si>
    <t>Metals/Fabrication</t>
  </si>
  <si>
    <t>Auto/Truck Service and Repair Occupations</t>
  </si>
  <si>
    <t>Aviation Occupations</t>
  </si>
  <si>
    <t>Construction Occupations - General</t>
  </si>
  <si>
    <t>Construction Occupations - Finishing</t>
  </si>
  <si>
    <t>Information Technology</t>
  </si>
  <si>
    <t>Manufacturing Technology</t>
  </si>
  <si>
    <t>Principals of Technology Career &amp; Technology Education</t>
  </si>
  <si>
    <t>Transportation Careers/Truck Driving</t>
  </si>
  <si>
    <t>Teacher-Coordinator, Trade and Industrial Co-op Programs</t>
  </si>
  <si>
    <t>Teacher-Coordinator, Trade &amp; Industrial Youth Apprenticeship</t>
  </si>
  <si>
    <t>* Base salary per master agreement. Do not include salary for extended time or extended assignments, or cost of fringe benefits.</t>
  </si>
  <si>
    <t>** List total instructional hours in a day. Do not list contract time outside the instructional day. E.g., for teachers teaching five of six instructional hours, list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</si>
</sst>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00000"/>
    <numFmt numFmtId="165" formatCode="000"/>
    <numFmt numFmtId="166" formatCode="0000"/>
    <numFmt numFmtId="167" formatCode="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4">
    <xf numFmtId="0" fontId="0" fillId="0" borderId="0" xfId="0"/>
    <xf numFmtId="43" fontId="0" fillId="0" borderId="0" xfId="1" applyFont="1"/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0" fillId="0" borderId="0" xfId="0" applyProtection="1"/>
    <xf numFmtId="0" fontId="2" fillId="0" borderId="0" xfId="0" applyFont="1" applyAlignment="1" applyProtection="1">
      <alignment horizontal="right"/>
    </xf>
    <xf numFmtId="43" fontId="0" fillId="0" borderId="0" xfId="1" applyFont="1" applyProtection="1">
      <protection locked="0"/>
    </xf>
    <xf numFmtId="43" fontId="0" fillId="0" borderId="0" xfId="1" applyFont="1" applyProtection="1"/>
    <xf numFmtId="164" fontId="0" fillId="0" borderId="0" xfId="0" applyNumberFormat="1" applyProtection="1">
      <protection locked="0"/>
    </xf>
    <xf numFmtId="0" fontId="0" fillId="0" borderId="0" xfId="1" applyNumberFormat="1" applyFont="1"/>
    <xf numFmtId="0" fontId="0" fillId="0" borderId="0" xfId="0" applyProtection="1">
      <protection locked="0"/>
    </xf>
    <xf numFmtId="43" fontId="0" fillId="0" borderId="0" xfId="0" applyNumberFormat="1"/>
    <xf numFmtId="0" fontId="3" fillId="2" borderId="0" xfId="0" applyFont="1" applyFill="1"/>
    <xf numFmtId="0" fontId="0" fillId="2" borderId="0" xfId="0" applyFill="1"/>
    <xf numFmtId="164" fontId="0" fillId="2" borderId="0" xfId="0" applyNumberFormat="1" applyFill="1" applyProtection="1">
      <protection locked="0"/>
    </xf>
    <xf numFmtId="43" fontId="0" fillId="2" borderId="0" xfId="1" applyFont="1" applyFill="1" applyProtection="1">
      <protection locked="0"/>
    </xf>
    <xf numFmtId="43" fontId="0" fillId="2" borderId="0" xfId="1" applyFont="1" applyFill="1"/>
    <xf numFmtId="0" fontId="3" fillId="2" borderId="0" xfId="0" applyFont="1" applyFill="1" applyAlignment="1">
      <alignment horizontal="right"/>
    </xf>
    <xf numFmtId="43" fontId="0" fillId="2" borderId="0" xfId="0" applyNumberFormat="1" applyFill="1"/>
    <xf numFmtId="0" fontId="3" fillId="0" borderId="0" xfId="0" applyFont="1" applyFill="1" applyAlignment="1">
      <alignment horizontal="right"/>
    </xf>
    <xf numFmtId="43" fontId="0" fillId="0" borderId="0" xfId="1" applyFont="1" applyFill="1"/>
    <xf numFmtId="0" fontId="0" fillId="0" borderId="0" xfId="0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Alignment="1">
      <alignment horizontal="center" vertical="center"/>
    </xf>
    <xf numFmtId="0" fontId="0" fillId="2" borderId="0" xfId="0" applyFill="1" applyAlignment="1" applyProtection="1">
      <protection locked="0"/>
    </xf>
    <xf numFmtId="0" fontId="3" fillId="0" borderId="0" xfId="0" applyFont="1" applyAlignment="1" applyProtection="1">
      <protection locked="0"/>
    </xf>
    <xf numFmtId="43" fontId="0" fillId="2" borderId="0" xfId="1" applyFont="1" applyFill="1" applyProtection="1"/>
    <xf numFmtId="165" fontId="0" fillId="0" borderId="0" xfId="0" applyNumberFormat="1"/>
    <xf numFmtId="165" fontId="0" fillId="0" borderId="0" xfId="0" applyNumberFormat="1" applyAlignment="1" applyProtection="1">
      <alignment horizontal="center" vertical="center" wrapText="1"/>
    </xf>
    <xf numFmtId="164" fontId="10" fillId="0" borderId="0" xfId="0" quotePrefix="1" applyNumberFormat="1" applyFont="1" applyFill="1" applyBorder="1" applyAlignment="1" applyProtection="1">
      <alignment horizontal="center"/>
    </xf>
    <xf numFmtId="0" fontId="9" fillId="0" borderId="0" xfId="0" applyFont="1" applyBorder="1" applyAlignment="1" applyProtection="1">
      <alignment horizontal="left"/>
    </xf>
    <xf numFmtId="165" fontId="0" fillId="0" borderId="0" xfId="0" applyNumberFormat="1" applyProtection="1"/>
    <xf numFmtId="164" fontId="9" fillId="0" borderId="0" xfId="0" quotePrefix="1" applyNumberFormat="1" applyFont="1" applyBorder="1" applyAlignment="1" applyProtection="1">
      <alignment horizontal="center"/>
    </xf>
    <xf numFmtId="164" fontId="10" fillId="0" borderId="0" xfId="0" applyNumberFormat="1" applyFont="1" applyBorder="1" applyAlignment="1" applyProtection="1">
      <alignment horizontal="center"/>
    </xf>
    <xf numFmtId="164" fontId="9" fillId="0" borderId="0" xfId="0" applyNumberFormat="1" applyFont="1" applyBorder="1" applyAlignment="1" applyProtection="1">
      <alignment horizontal="center"/>
    </xf>
    <xf numFmtId="164" fontId="9" fillId="0" borderId="0" xfId="0" quotePrefix="1" applyNumberFormat="1" applyFont="1" applyFill="1" applyBorder="1" applyAlignment="1" applyProtection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 applyProtection="1">
      <protection locked="0"/>
    </xf>
    <xf numFmtId="0" fontId="0" fillId="2" borderId="0" xfId="0" applyFill="1" applyAlignment="1" applyProtection="1">
      <protection locked="0"/>
    </xf>
    <xf numFmtId="0" fontId="4" fillId="0" borderId="0" xfId="0" applyFont="1" applyAlignment="1">
      <alignment horizontal="left" vertical="center" wrapText="1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>
      <alignment horizontal="left" vertical="center"/>
    </xf>
    <xf numFmtId="0" fontId="3" fillId="0" borderId="0" xfId="0" applyFont="1" applyAlignment="1" applyProtection="1">
      <alignment horizontal="centerContinuous" vertical="center" wrapText="1"/>
    </xf>
    <xf numFmtId="0" fontId="0" fillId="0" borderId="0" xfId="0" applyAlignment="1" applyProtection="1">
      <alignment vertical="center" wrapText="1"/>
    </xf>
    <xf numFmtId="0" fontId="0" fillId="0" borderId="0" xfId="0" applyAlignment="1" applyProtection="1">
      <alignment horizontal="centerContinuous" vertical="center" wrapText="1"/>
    </xf>
    <xf numFmtId="0" fontId="5" fillId="0" borderId="0" xfId="0" applyFont="1" applyAlignment="1" applyProtection="1">
      <alignment horizontal="centerContinuous" vertical="center" wrapText="1"/>
    </xf>
    <xf numFmtId="0" fontId="2" fillId="0" borderId="0" xfId="0" applyFont="1" applyAlignment="1" applyProtection="1">
      <alignment horizontal="centerContinuous" vertical="center" wrapText="1"/>
    </xf>
    <xf numFmtId="0" fontId="0" fillId="0" borderId="0" xfId="0" applyAlignment="1" applyProtection="1">
      <alignment vertical="center"/>
    </xf>
    <xf numFmtId="0" fontId="4" fillId="0" borderId="0" xfId="0" applyFont="1" applyAlignment="1">
      <alignment horizontal="centerContinuous" vertical="center" wrapText="1"/>
    </xf>
    <xf numFmtId="0" fontId="2" fillId="0" borderId="0" xfId="0" applyFont="1" applyProtection="1"/>
    <xf numFmtId="0" fontId="3" fillId="0" borderId="0" xfId="0" applyFont="1" applyBorder="1"/>
    <xf numFmtId="166" fontId="0" fillId="0" borderId="0" xfId="0" applyNumberFormat="1" applyBorder="1" applyProtection="1">
      <protection locked="0"/>
    </xf>
    <xf numFmtId="167" fontId="0" fillId="0" borderId="0" xfId="0" applyNumberFormat="1" applyBorder="1" applyProtection="1">
      <protection locked="0"/>
    </xf>
    <xf numFmtId="0" fontId="0" fillId="0" borderId="0" xfId="0" applyBorder="1" applyAlignment="1" applyProtection="1">
      <protection locked="0"/>
    </xf>
    <xf numFmtId="0" fontId="2" fillId="0" borderId="0" xfId="0" applyFont="1" applyAlignment="1" applyProtection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Continuous"/>
    </xf>
    <xf numFmtId="0" fontId="7" fillId="0" borderId="0" xfId="0" applyFont="1" applyAlignment="1">
      <alignment horizontal="centerContinuous"/>
    </xf>
    <xf numFmtId="0" fontId="0" fillId="0" borderId="0" xfId="0" applyAlignment="1" applyProtection="1">
      <alignment horizontal="centerContinuous"/>
    </xf>
    <xf numFmtId="0" fontId="2" fillId="0" borderId="0" xfId="0" applyFont="1" applyAlignment="1" applyProtection="1">
      <alignment horizontal="centerContinuous"/>
    </xf>
    <xf numFmtId="0" fontId="0" fillId="0" borderId="0" xfId="0" applyAlignment="1" applyProtection="1">
      <alignment horizontal="centerContinuous"/>
      <protection locked="0"/>
    </xf>
    <xf numFmtId="0" fontId="3" fillId="0" borderId="0" xfId="0" applyFont="1" applyAlignment="1">
      <alignment horizontal="centerContinuous" vertical="center"/>
    </xf>
    <xf numFmtId="166" fontId="0" fillId="0" borderId="0" xfId="0" applyNumberFormat="1" applyAlignment="1" applyProtection="1">
      <alignment horizontal="centerContinuous"/>
      <protection locked="0"/>
    </xf>
    <xf numFmtId="0" fontId="3" fillId="0" borderId="0" xfId="0" applyFont="1" applyAlignment="1">
      <alignment horizontal="centerContinuous"/>
    </xf>
    <xf numFmtId="167" fontId="0" fillId="0" borderId="0" xfId="0" applyNumberFormat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 vertical="center"/>
      <protection locked="0"/>
    </xf>
    <xf numFmtId="0" fontId="3" fillId="0" borderId="0" xfId="0" applyFont="1" applyAlignment="1">
      <alignment horizontal="centerContinuous" vertical="center" wrapText="1"/>
    </xf>
    <xf numFmtId="165" fontId="0" fillId="0" borderId="0" xfId="0" applyNumberForma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 wrapText="1"/>
    </xf>
    <xf numFmtId="0" fontId="4" fillId="0" borderId="0" xfId="0" applyFont="1" applyAlignment="1">
      <alignment horizontal="centerContinuous" vertical="center"/>
    </xf>
    <xf numFmtId="43" fontId="4" fillId="0" borderId="0" xfId="1" applyFont="1" applyAlignment="1" applyProtection="1">
      <alignment horizontal="centerContinuous" vertical="center"/>
    </xf>
    <xf numFmtId="0" fontId="0" fillId="0" borderId="0" xfId="0" applyFont="1" applyAlignment="1">
      <alignment horizontal="centerContinuous" vertical="center"/>
    </xf>
    <xf numFmtId="43" fontId="0" fillId="0" borderId="0" xfId="1" applyFont="1" applyAlignment="1" applyProtection="1">
      <alignment horizontal="centerContinuous" vertical="center"/>
      <protection locked="0"/>
    </xf>
    <xf numFmtId="0" fontId="4" fillId="0" borderId="0" xfId="0" applyFont="1" applyAlignment="1">
      <alignment horizontal="centerContinuous"/>
    </xf>
    <xf numFmtId="43" fontId="0" fillId="0" borderId="0" xfId="1" applyFont="1" applyAlignment="1" applyProtection="1">
      <alignment horizontal="centerContinuous"/>
    </xf>
    <xf numFmtId="0" fontId="3" fillId="0" borderId="0" xfId="0" applyFont="1" applyAlignment="1" applyProtection="1">
      <alignment horizontal="centerContinuous"/>
    </xf>
    <xf numFmtId="43" fontId="0" fillId="0" borderId="0" xfId="1" applyFont="1" applyAlignment="1" applyProtection="1">
      <alignment horizontal="centerContinuous"/>
      <protection locked="0"/>
    </xf>
    <xf numFmtId="0" fontId="0" fillId="0" borderId="0" xfId="0" applyFont="1" applyAlignment="1">
      <alignment horizontal="centerContinuous" vertical="center" wrapText="1"/>
    </xf>
    <xf numFmtId="43" fontId="0" fillId="0" borderId="0" xfId="1" applyFont="1" applyAlignment="1">
      <alignment horizontal="centerContinuous"/>
    </xf>
    <xf numFmtId="43" fontId="4" fillId="0" borderId="0" xfId="1" applyFont="1" applyAlignment="1" applyProtection="1">
      <alignment horizontal="left" vertical="center"/>
    </xf>
    <xf numFmtId="0" fontId="4" fillId="0" borderId="0" xfId="0" applyFont="1" applyAlignment="1">
      <alignment horizontal="left"/>
    </xf>
    <xf numFmtId="43" fontId="4" fillId="0" borderId="0" xfId="1" applyFont="1" applyAlignment="1" applyProtection="1">
      <alignment horizontal="left" vertic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1029495</xdr:colOff>
      <xdr:row>0</xdr:row>
      <xdr:rowOff>542925</xdr:rowOff>
    </xdr:to>
    <xdr:pic>
      <xdr:nvPicPr>
        <xdr:cNvPr id="1027" name="Picture 3" descr="Minnesota Department of Educati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1"/>
          <a:ext cx="1029494" cy="542924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1029495</xdr:colOff>
      <xdr:row>0</xdr:row>
      <xdr:rowOff>542925</xdr:rowOff>
    </xdr:to>
    <xdr:pic>
      <xdr:nvPicPr>
        <xdr:cNvPr id="2" name="Picture 3" descr="Minnesota Department of Educati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1"/>
          <a:ext cx="1029494" cy="5429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9"/>
  <sheetViews>
    <sheetView tabSelected="1" zoomScaleNormal="100" workbookViewId="0">
      <selection activeCell="L11" sqref="L11"/>
    </sheetView>
  </sheetViews>
  <sheetFormatPr defaultRowHeight="15" x14ac:dyDescent="0.25"/>
  <cols>
    <col min="1" max="1" width="20" customWidth="1"/>
    <col min="2" max="3" width="12.7109375" customWidth="1"/>
    <col min="4" max="4" width="14.7109375" customWidth="1"/>
    <col min="5" max="5" width="9.7109375" customWidth="1"/>
    <col min="6" max="6" width="6.7109375" customWidth="1"/>
    <col min="7" max="7" width="15.7109375" customWidth="1"/>
    <col min="8" max="8" width="1.7109375" customWidth="1"/>
    <col min="9" max="9" width="10.140625" bestFit="1" customWidth="1"/>
  </cols>
  <sheetData>
    <row r="1" spans="1:7" ht="45" customHeight="1" x14ac:dyDescent="0.25">
      <c r="A1" s="5"/>
      <c r="B1" s="50" t="s">
        <v>71</v>
      </c>
      <c r="C1" s="50"/>
      <c r="D1" s="52" t="s">
        <v>72</v>
      </c>
      <c r="E1" s="52"/>
      <c r="F1" s="52"/>
      <c r="G1" s="52"/>
    </row>
    <row r="2" spans="1:7" s="3" customFormat="1" ht="65.099999999999994" customHeight="1" x14ac:dyDescent="0.25">
      <c r="A2" s="53" t="s">
        <v>49</v>
      </c>
      <c r="B2" s="54"/>
      <c r="C2" s="54"/>
      <c r="D2" s="54"/>
      <c r="E2" s="54"/>
      <c r="F2" s="54"/>
      <c r="G2" s="54"/>
    </row>
    <row r="3" spans="1:7" ht="15" customHeight="1" x14ac:dyDescent="0.25">
      <c r="A3" s="5"/>
      <c r="B3" s="5"/>
      <c r="C3" s="5"/>
      <c r="D3" s="6" t="s">
        <v>0</v>
      </c>
      <c r="E3" s="11"/>
      <c r="F3" s="5"/>
      <c r="G3" s="5"/>
    </row>
    <row r="4" spans="1:7" ht="15" customHeight="1" x14ac:dyDescent="0.25">
      <c r="A4" s="57" t="s">
        <v>8</v>
      </c>
      <c r="B4" s="5"/>
      <c r="C4" s="5"/>
      <c r="D4" s="6"/>
      <c r="E4" s="11"/>
      <c r="F4" s="5"/>
      <c r="G4" s="5"/>
    </row>
    <row r="5" spans="1:7" ht="14.25" customHeight="1" x14ac:dyDescent="0.25">
      <c r="A5" s="55"/>
      <c r="B5" s="58" t="s">
        <v>1</v>
      </c>
      <c r="C5" s="59"/>
      <c r="D5" s="58" t="s">
        <v>2</v>
      </c>
      <c r="E5" s="60"/>
      <c r="F5" s="5"/>
      <c r="G5" s="5"/>
    </row>
    <row r="6" spans="1:7" x14ac:dyDescent="0.25">
      <c r="A6" s="51"/>
      <c r="B6" s="58" t="s">
        <v>3</v>
      </c>
      <c r="C6" s="61"/>
      <c r="D6" s="61"/>
      <c r="E6" s="61"/>
      <c r="F6" s="5"/>
      <c r="G6" s="5"/>
    </row>
    <row r="7" spans="1:7" x14ac:dyDescent="0.25">
      <c r="A7" s="51"/>
      <c r="B7" s="47" t="s">
        <v>4</v>
      </c>
      <c r="C7" s="48"/>
      <c r="D7" s="48"/>
      <c r="E7" s="41"/>
      <c r="F7" s="41"/>
      <c r="G7" s="41"/>
    </row>
    <row r="8" spans="1:7" x14ac:dyDescent="0.25">
      <c r="A8" s="51"/>
      <c r="B8" s="2" t="s">
        <v>5</v>
      </c>
      <c r="C8" s="41"/>
      <c r="D8" s="41"/>
      <c r="E8" s="2" t="s">
        <v>6</v>
      </c>
      <c r="F8" s="41"/>
      <c r="G8" s="41"/>
    </row>
    <row r="9" spans="1:7" x14ac:dyDescent="0.25">
      <c r="A9" s="51"/>
      <c r="B9" s="2" t="s">
        <v>7</v>
      </c>
      <c r="C9" s="41"/>
      <c r="D9" s="41"/>
      <c r="E9" s="41"/>
      <c r="F9" s="41"/>
      <c r="G9" s="41"/>
    </row>
    <row r="10" spans="1:7" x14ac:dyDescent="0.25">
      <c r="A10" s="62" t="s">
        <v>10</v>
      </c>
      <c r="B10" s="56"/>
      <c r="C10" s="56"/>
      <c r="D10" s="56"/>
      <c r="E10" s="56"/>
      <c r="F10" s="56"/>
      <c r="G10" s="56"/>
    </row>
    <row r="11" spans="1:7" ht="45" customHeight="1" x14ac:dyDescent="0.25">
      <c r="A11" s="23"/>
      <c r="B11" s="56" t="s">
        <v>9</v>
      </c>
      <c r="C11" s="56"/>
      <c r="D11" s="56"/>
      <c r="E11" s="56"/>
      <c r="F11" s="56"/>
      <c r="G11" s="56"/>
    </row>
    <row r="12" spans="1:7" x14ac:dyDescent="0.25">
      <c r="A12" s="68" t="s">
        <v>11</v>
      </c>
      <c r="B12" s="68"/>
      <c r="C12" s="68" t="s">
        <v>12</v>
      </c>
      <c r="D12" s="68"/>
      <c r="E12" s="68"/>
      <c r="F12" s="67" t="s">
        <v>13</v>
      </c>
      <c r="G12" s="67"/>
    </row>
    <row r="13" spans="1:7" ht="24.95" customHeight="1" x14ac:dyDescent="0.25">
      <c r="A13" s="44"/>
      <c r="B13" s="44"/>
      <c r="C13" s="45" t="str">
        <f>IF(A13=0,"",VLOOKUP(A13,'Program List'!A2:C55,2,FALSE))</f>
        <v/>
      </c>
      <c r="D13" s="45"/>
      <c r="E13" s="45"/>
      <c r="F13" s="46" t="str">
        <f>IF(A13=0,"",VLOOKUP(A13,'Program List'!A2:C55,3,FALSE))</f>
        <v/>
      </c>
      <c r="G13" s="46"/>
    </row>
    <row r="14" spans="1:7" ht="24.95" customHeight="1" x14ac:dyDescent="0.25">
      <c r="A14" s="26"/>
      <c r="B14" s="26"/>
      <c r="C14" s="40"/>
      <c r="D14" s="40"/>
      <c r="E14" s="40"/>
      <c r="F14" s="27"/>
      <c r="G14" s="27"/>
    </row>
    <row r="15" spans="1:7" x14ac:dyDescent="0.25">
      <c r="A15" s="64" t="s">
        <v>14</v>
      </c>
      <c r="B15" s="63"/>
      <c r="C15" s="63"/>
      <c r="D15" s="63"/>
      <c r="E15" s="63"/>
      <c r="F15" s="63"/>
      <c r="G15" s="63"/>
    </row>
    <row r="16" spans="1:7" x14ac:dyDescent="0.25">
      <c r="A16" s="65"/>
      <c r="B16" s="2" t="s">
        <v>15</v>
      </c>
      <c r="D16" s="41"/>
      <c r="E16" s="41"/>
      <c r="F16" s="41"/>
      <c r="G16" s="41"/>
    </row>
    <row r="17" spans="1:10" x14ac:dyDescent="0.25">
      <c r="A17" s="65"/>
      <c r="B17" s="2" t="s">
        <v>16</v>
      </c>
      <c r="D17" s="9"/>
      <c r="E17" s="2" t="s">
        <v>22</v>
      </c>
      <c r="G17" s="7"/>
      <c r="H17" s="12"/>
      <c r="I17" s="1">
        <f>IF(E18-E20=0,0,E19/(E18-E20))</f>
        <v>0</v>
      </c>
      <c r="J17" t="s">
        <v>80</v>
      </c>
    </row>
    <row r="18" spans="1:10" x14ac:dyDescent="0.25">
      <c r="A18" s="65"/>
      <c r="B18" s="2" t="s">
        <v>23</v>
      </c>
      <c r="D18" s="5"/>
      <c r="E18" s="7"/>
      <c r="G18" s="8"/>
      <c r="I18" s="1">
        <f>IF(E18-E20=0,0,MIN(1,E20*(E19/(E18-E20))))</f>
        <v>0</v>
      </c>
      <c r="J18" t="s">
        <v>73</v>
      </c>
    </row>
    <row r="19" spans="1:10" x14ac:dyDescent="0.25">
      <c r="B19" s="2" t="s">
        <v>17</v>
      </c>
      <c r="E19" s="7"/>
      <c r="G19" s="8"/>
      <c r="I19" s="1">
        <f>I17*(E18-E20)+I18</f>
        <v>0</v>
      </c>
      <c r="J19" t="s">
        <v>74</v>
      </c>
    </row>
    <row r="20" spans="1:10" ht="15" customHeight="1" x14ac:dyDescent="0.25">
      <c r="A20" s="24"/>
      <c r="B20" s="2" t="s">
        <v>24</v>
      </c>
      <c r="E20" s="7"/>
      <c r="G20" s="8"/>
      <c r="I20" s="1">
        <f>E18</f>
        <v>0</v>
      </c>
      <c r="J20" t="s">
        <v>75</v>
      </c>
    </row>
    <row r="21" spans="1:10" ht="15" customHeight="1" x14ac:dyDescent="0.25">
      <c r="A21" s="24"/>
      <c r="B21" s="2"/>
      <c r="E21" s="7"/>
      <c r="F21" s="20" t="s">
        <v>82</v>
      </c>
      <c r="G21" s="21">
        <f>IF(E18-E20=0,0,(((E19/(E18-E20))*(E18-E20)+MIN(1,E20*(E19/(E18-E20))))/E18)*G17)</f>
        <v>0</v>
      </c>
      <c r="I21" s="1"/>
    </row>
    <row r="22" spans="1:10" x14ac:dyDescent="0.25">
      <c r="A22" s="24"/>
      <c r="B22" s="2" t="s">
        <v>18</v>
      </c>
      <c r="C22" s="7"/>
      <c r="E22" s="2" t="s">
        <v>19</v>
      </c>
      <c r="G22" s="7"/>
      <c r="I22" s="1">
        <f>IF(I20=0,0,I19/I20)</f>
        <v>0</v>
      </c>
      <c r="J22" t="s">
        <v>76</v>
      </c>
    </row>
    <row r="23" spans="1:10" x14ac:dyDescent="0.25">
      <c r="A23" s="24"/>
      <c r="B23" s="2" t="s">
        <v>20</v>
      </c>
      <c r="G23" s="7"/>
      <c r="I23" s="1">
        <f>I22*G17</f>
        <v>0</v>
      </c>
      <c r="J23" t="s">
        <v>77</v>
      </c>
    </row>
    <row r="24" spans="1:10" x14ac:dyDescent="0.25">
      <c r="A24" s="24"/>
      <c r="B24" s="2" t="s">
        <v>21</v>
      </c>
      <c r="G24" s="7"/>
      <c r="I24" s="12">
        <f>G22+G23+G24</f>
        <v>0</v>
      </c>
      <c r="J24" t="s">
        <v>78</v>
      </c>
    </row>
    <row r="25" spans="1:10" ht="15" customHeight="1" x14ac:dyDescent="0.25">
      <c r="A25" s="24"/>
      <c r="B25" s="29"/>
      <c r="C25" s="25"/>
      <c r="D25" s="25"/>
      <c r="F25" s="4" t="s">
        <v>81</v>
      </c>
      <c r="G25" s="1">
        <f>SUM(G21:G24)</f>
        <v>0</v>
      </c>
      <c r="H25" s="1"/>
      <c r="I25" s="12">
        <f>I23+I24</f>
        <v>0</v>
      </c>
      <c r="J25" t="s">
        <v>79</v>
      </c>
    </row>
    <row r="26" spans="1:10" x14ac:dyDescent="0.25">
      <c r="A26" s="24"/>
      <c r="B26" s="13" t="s">
        <v>15</v>
      </c>
      <c r="C26" s="14"/>
      <c r="D26" s="42"/>
      <c r="E26" s="42"/>
      <c r="F26" s="42"/>
      <c r="G26" s="42"/>
    </row>
    <row r="27" spans="1:10" x14ac:dyDescent="0.25">
      <c r="A27" s="24"/>
      <c r="B27" s="13" t="s">
        <v>16</v>
      </c>
      <c r="C27" s="14"/>
      <c r="D27" s="15"/>
      <c r="E27" s="13" t="s">
        <v>22</v>
      </c>
      <c r="F27" s="14"/>
      <c r="G27" s="16"/>
      <c r="I27" s="1">
        <f>IF(E28-E30=0,0,E29/(E28-E30))</f>
        <v>0</v>
      </c>
      <c r="J27" t="s">
        <v>80</v>
      </c>
    </row>
    <row r="28" spans="1:10" x14ac:dyDescent="0.25">
      <c r="A28" s="24"/>
      <c r="B28" s="13" t="s">
        <v>23</v>
      </c>
      <c r="C28" s="14"/>
      <c r="D28" s="14"/>
      <c r="E28" s="16"/>
      <c r="F28" s="14"/>
      <c r="G28" s="17"/>
      <c r="I28" s="1">
        <f>IF(E28-E30=0,0,MIN(1,E30*(E29/(E28-E30))))</f>
        <v>0</v>
      </c>
      <c r="J28" t="s">
        <v>73</v>
      </c>
    </row>
    <row r="29" spans="1:10" x14ac:dyDescent="0.25">
      <c r="A29" s="24"/>
      <c r="B29" s="13" t="s">
        <v>17</v>
      </c>
      <c r="C29" s="14"/>
      <c r="D29" s="14"/>
      <c r="E29" s="16"/>
      <c r="F29" s="14"/>
      <c r="G29" s="17"/>
      <c r="I29" s="1">
        <f>I27*(E28-E30)+I28</f>
        <v>0</v>
      </c>
      <c r="J29" t="s">
        <v>74</v>
      </c>
    </row>
    <row r="30" spans="1:10" x14ac:dyDescent="0.25">
      <c r="A30" s="24"/>
      <c r="B30" s="13" t="s">
        <v>24</v>
      </c>
      <c r="C30" s="14"/>
      <c r="D30" s="14"/>
      <c r="E30" s="16"/>
      <c r="F30" s="14"/>
      <c r="G30" s="17"/>
      <c r="I30" s="1">
        <f>E28</f>
        <v>0</v>
      </c>
      <c r="J30" t="s">
        <v>75</v>
      </c>
    </row>
    <row r="31" spans="1:10" x14ac:dyDescent="0.25">
      <c r="A31" s="24"/>
      <c r="B31" s="13"/>
      <c r="C31" s="14"/>
      <c r="D31" s="14"/>
      <c r="E31" s="30"/>
      <c r="F31" s="18" t="s">
        <v>82</v>
      </c>
      <c r="G31" s="21">
        <f>IF(E28-E30=0,0,(((E29/(E28-E30))*(E28-E30)+MIN(1,E30*(E29/(E28-E30))))/E28)*G27)</f>
        <v>0</v>
      </c>
      <c r="I31" s="1"/>
    </row>
    <row r="32" spans="1:10" x14ac:dyDescent="0.25">
      <c r="A32" s="24"/>
      <c r="B32" s="13" t="s">
        <v>18</v>
      </c>
      <c r="C32" s="16"/>
      <c r="D32" s="14"/>
      <c r="E32" s="13" t="s">
        <v>19</v>
      </c>
      <c r="F32" s="14"/>
      <c r="G32" s="16"/>
      <c r="I32" s="1">
        <f>IF(I30=0,0,I29/I30)</f>
        <v>0</v>
      </c>
      <c r="J32" t="s">
        <v>76</v>
      </c>
    </row>
    <row r="33" spans="1:10" x14ac:dyDescent="0.25">
      <c r="A33" s="24"/>
      <c r="B33" s="13" t="s">
        <v>20</v>
      </c>
      <c r="C33" s="14"/>
      <c r="D33" s="14"/>
      <c r="E33" s="14"/>
      <c r="F33" s="14"/>
      <c r="G33" s="16"/>
      <c r="I33" s="1">
        <f>I32*G27</f>
        <v>0</v>
      </c>
      <c r="J33" t="s">
        <v>77</v>
      </c>
    </row>
    <row r="34" spans="1:10" x14ac:dyDescent="0.25">
      <c r="A34" s="24"/>
      <c r="B34" s="13" t="s">
        <v>21</v>
      </c>
      <c r="C34" s="14"/>
      <c r="D34" s="14"/>
      <c r="E34" s="14"/>
      <c r="F34" s="14"/>
      <c r="G34" s="16"/>
      <c r="I34" s="12">
        <f>G32+G33+G34</f>
        <v>0</v>
      </c>
      <c r="J34" t="s">
        <v>78</v>
      </c>
    </row>
    <row r="35" spans="1:10" x14ac:dyDescent="0.25">
      <c r="A35" s="24"/>
      <c r="B35" s="28"/>
      <c r="C35" s="28"/>
      <c r="D35" s="28"/>
      <c r="E35" s="14"/>
      <c r="F35" s="18" t="s">
        <v>81</v>
      </c>
      <c r="G35" s="19">
        <f>SUM(G31:G34)</f>
        <v>0</v>
      </c>
      <c r="I35" s="12">
        <f>I33+I34</f>
        <v>0</v>
      </c>
      <c r="J35" t="s">
        <v>79</v>
      </c>
    </row>
    <row r="36" spans="1:10" x14ac:dyDescent="0.25">
      <c r="A36" s="24"/>
      <c r="B36" s="2" t="s">
        <v>15</v>
      </c>
      <c r="D36" s="61"/>
      <c r="E36" s="61"/>
      <c r="F36" s="61"/>
      <c r="G36" s="61"/>
    </row>
    <row r="37" spans="1:10" x14ac:dyDescent="0.25">
      <c r="A37" s="24"/>
      <c r="B37" s="2" t="s">
        <v>16</v>
      </c>
      <c r="D37" s="9"/>
      <c r="E37" s="2" t="s">
        <v>22</v>
      </c>
      <c r="G37" s="7"/>
      <c r="I37" s="1">
        <f>IF(E38-E40=0,0,E39/(E38-E40))</f>
        <v>0</v>
      </c>
      <c r="J37" t="s">
        <v>80</v>
      </c>
    </row>
    <row r="38" spans="1:10" x14ac:dyDescent="0.25">
      <c r="A38" s="24"/>
      <c r="B38" s="2" t="s">
        <v>23</v>
      </c>
      <c r="D38" s="10"/>
      <c r="E38" s="7"/>
      <c r="G38" s="1"/>
      <c r="I38" s="1">
        <f>IF(E38-E40=0,0,MIN(1,E40*(E39/(E38-E40))))</f>
        <v>0</v>
      </c>
      <c r="J38" t="s">
        <v>73</v>
      </c>
    </row>
    <row r="39" spans="1:10" x14ac:dyDescent="0.25">
      <c r="A39" s="24"/>
      <c r="B39" s="2" t="s">
        <v>17</v>
      </c>
      <c r="E39" s="7"/>
      <c r="G39" s="1"/>
      <c r="I39" s="1">
        <f>I37*(E38-E40)+I38</f>
        <v>0</v>
      </c>
      <c r="J39" t="s">
        <v>74</v>
      </c>
    </row>
    <row r="40" spans="1:10" x14ac:dyDescent="0.25">
      <c r="A40" s="24"/>
      <c r="B40" s="2" t="s">
        <v>24</v>
      </c>
      <c r="E40" s="7"/>
      <c r="G40" s="1"/>
      <c r="I40" s="1">
        <f>E38</f>
        <v>0</v>
      </c>
      <c r="J40" t="s">
        <v>75</v>
      </c>
    </row>
    <row r="41" spans="1:10" x14ac:dyDescent="0.25">
      <c r="A41" s="24"/>
      <c r="B41" s="2"/>
      <c r="E41" s="8"/>
      <c r="F41" s="20" t="s">
        <v>82</v>
      </c>
      <c r="G41" s="21">
        <f>IF(E38-E40=0,0,(((E39/(E38-E40))*(E38-E40)+MIN(1,E40*(E39/(E38-E40))))/E38)*G37)</f>
        <v>0</v>
      </c>
      <c r="I41" s="1"/>
    </row>
    <row r="42" spans="1:10" x14ac:dyDescent="0.25">
      <c r="A42" s="24"/>
      <c r="B42" s="2" t="s">
        <v>18</v>
      </c>
      <c r="C42" s="7"/>
      <c r="E42" s="2" t="s">
        <v>19</v>
      </c>
      <c r="G42" s="7"/>
      <c r="I42" s="1">
        <f>IF(I40=0,0,I39/I40)</f>
        <v>0</v>
      </c>
      <c r="J42" t="s">
        <v>76</v>
      </c>
    </row>
    <row r="43" spans="1:10" x14ac:dyDescent="0.25">
      <c r="A43" s="24"/>
      <c r="B43" s="2" t="s">
        <v>20</v>
      </c>
      <c r="G43" s="7"/>
      <c r="I43" s="1">
        <f>I42*G37</f>
        <v>0</v>
      </c>
      <c r="J43" t="s">
        <v>77</v>
      </c>
    </row>
    <row r="44" spans="1:10" x14ac:dyDescent="0.25">
      <c r="A44" s="24"/>
      <c r="B44" s="2" t="s">
        <v>21</v>
      </c>
      <c r="G44" s="7"/>
      <c r="I44" s="12">
        <f>G42+G43+G44</f>
        <v>0</v>
      </c>
      <c r="J44" t="s">
        <v>78</v>
      </c>
    </row>
    <row r="45" spans="1:10" x14ac:dyDescent="0.25">
      <c r="B45" s="41"/>
      <c r="C45" s="41"/>
      <c r="D45" s="41"/>
      <c r="F45" s="4" t="s">
        <v>81</v>
      </c>
      <c r="G45" s="1">
        <f>SUM(G41:G44)</f>
        <v>0</v>
      </c>
      <c r="I45" s="12">
        <f>I43+I44</f>
        <v>0</v>
      </c>
      <c r="J45" t="s">
        <v>79</v>
      </c>
    </row>
    <row r="47" spans="1:10" x14ac:dyDescent="0.25">
      <c r="A47" s="66" t="s">
        <v>118</v>
      </c>
    </row>
    <row r="48" spans="1:10" x14ac:dyDescent="0.25">
      <c r="A48" t="s">
        <v>119</v>
      </c>
    </row>
    <row r="49" spans="1:1" x14ac:dyDescent="0.25">
      <c r="A49" t="s">
        <v>25</v>
      </c>
    </row>
  </sheetData>
  <sheetProtection selectLockedCells="1"/>
  <printOptions gridLines="1"/>
  <pageMargins left="0.5" right="0.25" top="0.5" bottom="0.25" header="0.3" footer="0.3"/>
  <pageSetup scale="75" orientation="landscape" r:id="rId1"/>
  <headerFooter>
    <oddHeader>&amp;CAPPENDIX I - FOR LOCAL USE ONLY - DO NOT SUBMIT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opLeftCell="A7" zoomScaleNormal="100" workbookViewId="0">
      <selection activeCell="K42" sqref="K42"/>
    </sheetView>
  </sheetViews>
  <sheetFormatPr defaultRowHeight="15" x14ac:dyDescent="0.25"/>
  <cols>
    <col min="1" max="1" width="15.7109375" style="67" customWidth="1"/>
    <col min="2" max="3" width="12.7109375" style="67" customWidth="1"/>
    <col min="4" max="4" width="14.7109375" style="67" customWidth="1"/>
    <col min="5" max="5" width="9.7109375" style="67" customWidth="1"/>
    <col min="6" max="6" width="6.7109375" style="67" customWidth="1"/>
    <col min="7" max="7" width="15.7109375" style="67" customWidth="1"/>
    <col min="8" max="10" width="10.7109375" customWidth="1"/>
  </cols>
  <sheetData>
    <row r="1" spans="1:7" ht="45" customHeight="1" x14ac:dyDescent="0.25">
      <c r="A1" s="69"/>
      <c r="B1" s="50" t="s">
        <v>71</v>
      </c>
      <c r="C1" s="50"/>
      <c r="D1" s="52" t="s">
        <v>48</v>
      </c>
      <c r="E1" s="52"/>
      <c r="F1" s="52"/>
      <c r="G1" s="52"/>
    </row>
    <row r="2" spans="1:7" s="3" customFormat="1" ht="65.099999999999994" customHeight="1" x14ac:dyDescent="0.25">
      <c r="A2" s="53" t="s">
        <v>69</v>
      </c>
      <c r="B2" s="54"/>
      <c r="C2" s="54"/>
      <c r="D2" s="54"/>
      <c r="E2" s="54"/>
      <c r="F2" s="54"/>
      <c r="G2" s="54"/>
    </row>
    <row r="3" spans="1:7" ht="15" customHeight="1" x14ac:dyDescent="0.25">
      <c r="A3" s="69"/>
      <c r="B3" s="69"/>
      <c r="C3" s="69"/>
      <c r="D3" s="70" t="s">
        <v>0</v>
      </c>
      <c r="E3" s="71"/>
      <c r="F3" s="69"/>
      <c r="G3" s="69"/>
    </row>
    <row r="4" spans="1:7" ht="15" customHeight="1" x14ac:dyDescent="0.25">
      <c r="A4" s="52" t="s">
        <v>8</v>
      </c>
      <c r="B4" s="72" t="s">
        <v>1</v>
      </c>
      <c r="C4" s="73"/>
      <c r="D4" s="74" t="s">
        <v>2</v>
      </c>
      <c r="E4" s="75"/>
      <c r="F4" s="69"/>
      <c r="G4" s="69"/>
    </row>
    <row r="5" spans="1:7" x14ac:dyDescent="0.25">
      <c r="A5" s="52"/>
      <c r="B5" s="72" t="s">
        <v>3</v>
      </c>
      <c r="C5" s="71"/>
      <c r="D5" s="71"/>
      <c r="E5" s="71"/>
      <c r="F5" s="69"/>
      <c r="G5" s="69"/>
    </row>
    <row r="6" spans="1:7" ht="5.0999999999999996" customHeight="1" x14ac:dyDescent="0.25">
      <c r="A6" s="52"/>
      <c r="B6" s="52"/>
      <c r="C6" s="52"/>
      <c r="D6" s="52"/>
      <c r="E6" s="52"/>
      <c r="F6" s="52"/>
      <c r="G6" s="52"/>
    </row>
    <row r="7" spans="1:7" ht="30" customHeight="1" x14ac:dyDescent="0.25">
      <c r="A7" s="52" t="s">
        <v>70</v>
      </c>
      <c r="B7" s="56" t="s">
        <v>9</v>
      </c>
      <c r="C7" s="56"/>
      <c r="D7" s="56"/>
      <c r="E7" s="56"/>
      <c r="F7" s="56"/>
      <c r="G7" s="56"/>
    </row>
    <row r="8" spans="1:7" x14ac:dyDescent="0.25">
      <c r="A8" s="68" t="s">
        <v>11</v>
      </c>
      <c r="B8" s="68"/>
      <c r="C8" s="68" t="s">
        <v>12</v>
      </c>
      <c r="D8" s="68"/>
      <c r="E8" s="68"/>
      <c r="F8" s="67" t="s">
        <v>13</v>
      </c>
    </row>
    <row r="9" spans="1:7" ht="24.95" customHeight="1" x14ac:dyDescent="0.25">
      <c r="A9" s="76"/>
      <c r="B9" s="76"/>
      <c r="C9" s="77" t="str">
        <f>IF(A9=0,"",VLOOKUP(A9,#REF!,3,FALSE))</f>
        <v/>
      </c>
      <c r="D9" s="77"/>
      <c r="E9" s="77"/>
      <c r="F9" s="78" t="str">
        <f>IF(A9=0,"",VLOOKUP(A9,#REF!,2,FALSE))</f>
        <v/>
      </c>
      <c r="G9" s="78"/>
    </row>
    <row r="10" spans="1:7" ht="12" customHeight="1" x14ac:dyDescent="0.25">
      <c r="A10" s="79" t="str">
        <f>IF(A9=110,"Allowable Salaries are for direct instruction only. Do not include salary information below.","")</f>
        <v/>
      </c>
      <c r="B10" s="79"/>
      <c r="C10" s="79"/>
      <c r="D10" s="79"/>
      <c r="E10" s="79"/>
      <c r="F10" s="79"/>
      <c r="G10" s="79"/>
    </row>
    <row r="11" spans="1:7" ht="15" customHeight="1" x14ac:dyDescent="0.25">
      <c r="A11" s="80" t="s">
        <v>50</v>
      </c>
      <c r="B11" s="72" t="s">
        <v>54</v>
      </c>
      <c r="C11" s="72"/>
      <c r="D11" s="72"/>
      <c r="E11" s="72"/>
      <c r="F11" s="72"/>
      <c r="G11" s="72"/>
    </row>
    <row r="12" spans="1:7" ht="15" customHeight="1" x14ac:dyDescent="0.25">
      <c r="A12" s="80"/>
      <c r="B12" s="56" t="s">
        <v>51</v>
      </c>
      <c r="C12" s="81" t="s">
        <v>52</v>
      </c>
      <c r="D12" s="81"/>
      <c r="E12" s="81"/>
      <c r="F12" s="81"/>
      <c r="G12" s="82" t="s">
        <v>53</v>
      </c>
    </row>
    <row r="13" spans="1:7" x14ac:dyDescent="0.25">
      <c r="A13" s="80"/>
      <c r="B13" s="56"/>
      <c r="C13" s="81"/>
      <c r="D13" s="81"/>
      <c r="E13" s="81"/>
      <c r="F13" s="81"/>
      <c r="G13" s="82"/>
    </row>
    <row r="14" spans="1:7" ht="24.95" customHeight="1" x14ac:dyDescent="0.25">
      <c r="B14" s="83" t="s">
        <v>55</v>
      </c>
      <c r="C14" s="56" t="s">
        <v>56</v>
      </c>
      <c r="D14" s="56"/>
      <c r="E14" s="56"/>
      <c r="F14" s="43"/>
      <c r="G14" s="84">
        <v>0</v>
      </c>
    </row>
    <row r="15" spans="1:7" ht="24.95" customHeight="1" x14ac:dyDescent="0.25">
      <c r="A15" s="56"/>
      <c r="B15" s="83">
        <v>185</v>
      </c>
      <c r="C15" s="56" t="s">
        <v>57</v>
      </c>
      <c r="D15" s="56"/>
      <c r="E15" s="56"/>
      <c r="F15" s="43"/>
      <c r="G15" s="84">
        <v>0</v>
      </c>
    </row>
    <row r="16" spans="1:7" ht="14.45" customHeight="1" x14ac:dyDescent="0.25">
      <c r="A16" s="56"/>
      <c r="B16" s="83">
        <v>366</v>
      </c>
      <c r="C16" s="91" t="s">
        <v>58</v>
      </c>
      <c r="D16" s="92"/>
      <c r="E16" s="92"/>
      <c r="F16" s="92"/>
      <c r="G16" s="86">
        <f>E17+E18+E19</f>
        <v>0</v>
      </c>
    </row>
    <row r="17" spans="1:7" x14ac:dyDescent="0.25">
      <c r="A17" s="56"/>
      <c r="B17" s="74"/>
      <c r="C17" s="49" t="s">
        <v>59</v>
      </c>
      <c r="D17" s="49"/>
      <c r="E17" s="93">
        <v>0</v>
      </c>
      <c r="F17" s="93"/>
      <c r="G17" s="86"/>
    </row>
    <row r="18" spans="1:7" x14ac:dyDescent="0.25">
      <c r="A18" s="56"/>
      <c r="B18" s="74"/>
      <c r="C18" s="49" t="s">
        <v>60</v>
      </c>
      <c r="D18" s="49"/>
      <c r="E18" s="93">
        <v>0</v>
      </c>
      <c r="F18" s="93"/>
      <c r="G18" s="86"/>
    </row>
    <row r="19" spans="1:7" ht="15" customHeight="1" x14ac:dyDescent="0.25">
      <c r="A19" s="56"/>
      <c r="B19" s="87"/>
      <c r="C19" s="49" t="s">
        <v>61</v>
      </c>
      <c r="D19" s="49"/>
      <c r="E19" s="93">
        <v>0</v>
      </c>
      <c r="F19" s="93"/>
      <c r="G19" s="86"/>
    </row>
    <row r="20" spans="1:7" ht="14.45" customHeight="1" x14ac:dyDescent="0.25">
      <c r="A20" s="56"/>
      <c r="B20" s="83" t="s">
        <v>62</v>
      </c>
      <c r="C20" s="49" t="s">
        <v>63</v>
      </c>
      <c r="D20" s="49"/>
      <c r="E20" s="49"/>
      <c r="F20" s="49"/>
      <c r="G20" s="84">
        <v>0</v>
      </c>
    </row>
    <row r="21" spans="1:7" ht="14.45" customHeight="1" x14ac:dyDescent="0.25">
      <c r="A21" s="56"/>
      <c r="B21" s="83">
        <v>433</v>
      </c>
      <c r="C21" s="49" t="s">
        <v>64</v>
      </c>
      <c r="D21" s="49"/>
      <c r="E21" s="49"/>
      <c r="F21" s="49"/>
      <c r="G21" s="88">
        <v>0</v>
      </c>
    </row>
    <row r="22" spans="1:7" ht="14.45" customHeight="1" x14ac:dyDescent="0.25">
      <c r="A22" s="89" t="s">
        <v>67</v>
      </c>
      <c r="B22" s="83" t="s">
        <v>65</v>
      </c>
      <c r="C22" s="49" t="s">
        <v>66</v>
      </c>
      <c r="D22" s="49"/>
      <c r="E22" s="49"/>
      <c r="F22" s="49"/>
      <c r="G22" s="88">
        <v>0</v>
      </c>
    </row>
    <row r="23" spans="1:7" ht="14.45" customHeight="1" x14ac:dyDescent="0.25">
      <c r="A23" s="56"/>
      <c r="B23" s="74"/>
      <c r="C23" s="92"/>
      <c r="D23" s="92"/>
      <c r="E23" s="91" t="s">
        <v>68</v>
      </c>
      <c r="F23" s="91"/>
      <c r="G23" s="90">
        <f>SUM(G14:G22)</f>
        <v>0</v>
      </c>
    </row>
    <row r="24" spans="1:7" ht="5.0999999999999996" customHeight="1" x14ac:dyDescent="0.25">
      <c r="A24" s="56"/>
      <c r="B24" s="56"/>
      <c r="C24" s="56"/>
      <c r="D24" s="56"/>
      <c r="E24" s="56"/>
      <c r="F24" s="56"/>
      <c r="G24" s="56"/>
    </row>
    <row r="25" spans="1:7" x14ac:dyDescent="0.25">
      <c r="A25" s="68" t="s">
        <v>11</v>
      </c>
      <c r="B25" s="68"/>
      <c r="C25" s="68" t="s">
        <v>12</v>
      </c>
      <c r="D25" s="68"/>
      <c r="E25" s="68"/>
      <c r="F25" s="67" t="s">
        <v>13</v>
      </c>
    </row>
    <row r="26" spans="1:7" ht="24.95" customHeight="1" x14ac:dyDescent="0.25">
      <c r="A26" s="76"/>
      <c r="B26" s="76"/>
      <c r="C26" s="77" t="str">
        <f>IF(A26=0,"",VLOOKUP(A26,#REF!,3,FALSE))</f>
        <v/>
      </c>
      <c r="D26" s="77"/>
      <c r="E26" s="77"/>
      <c r="F26" s="78" t="str">
        <f>IF(A26=0,"",VLOOKUP(A26,#REF!,2,FALSE))</f>
        <v/>
      </c>
      <c r="G26" s="78"/>
    </row>
    <row r="27" spans="1:7" ht="12" customHeight="1" x14ac:dyDescent="0.25">
      <c r="A27" s="79" t="str">
        <f>IF(A26=110,"Allowable Salaries are for direct instruction only. Do not include salary information below.","")</f>
        <v/>
      </c>
      <c r="B27" s="79"/>
      <c r="C27" s="79"/>
      <c r="D27" s="79"/>
      <c r="E27" s="79"/>
      <c r="F27" s="79"/>
      <c r="G27" s="79"/>
    </row>
    <row r="28" spans="1:7" ht="15" customHeight="1" x14ac:dyDescent="0.25">
      <c r="A28" s="80" t="s">
        <v>50</v>
      </c>
      <c r="B28" s="72" t="s">
        <v>54</v>
      </c>
      <c r="C28" s="72"/>
      <c r="D28" s="72"/>
      <c r="E28" s="72"/>
      <c r="F28" s="72"/>
      <c r="G28" s="72"/>
    </row>
    <row r="29" spans="1:7" ht="15" customHeight="1" x14ac:dyDescent="0.25">
      <c r="A29" s="80"/>
      <c r="B29" s="56" t="s">
        <v>51</v>
      </c>
      <c r="C29" s="81" t="s">
        <v>52</v>
      </c>
      <c r="D29" s="81"/>
      <c r="E29" s="81"/>
      <c r="F29" s="81"/>
      <c r="G29" s="82" t="s">
        <v>53</v>
      </c>
    </row>
    <row r="30" spans="1:7" x14ac:dyDescent="0.25">
      <c r="A30" s="80"/>
      <c r="B30" s="56"/>
      <c r="C30" s="81"/>
      <c r="D30" s="81"/>
      <c r="E30" s="81"/>
      <c r="F30" s="81"/>
      <c r="G30" s="82"/>
    </row>
    <row r="31" spans="1:7" ht="24.95" customHeight="1" x14ac:dyDescent="0.25">
      <c r="B31" s="83" t="s">
        <v>55</v>
      </c>
      <c r="C31" s="56" t="s">
        <v>56</v>
      </c>
      <c r="D31" s="56"/>
      <c r="E31" s="56"/>
      <c r="F31" s="43"/>
      <c r="G31" s="84">
        <v>0</v>
      </c>
    </row>
    <row r="32" spans="1:7" ht="24.95" customHeight="1" x14ac:dyDescent="0.25">
      <c r="A32" s="56"/>
      <c r="B32" s="83">
        <v>185</v>
      </c>
      <c r="C32" s="56" t="s">
        <v>57</v>
      </c>
      <c r="D32" s="56"/>
      <c r="E32" s="56"/>
      <c r="F32" s="43"/>
      <c r="G32" s="84">
        <v>0</v>
      </c>
    </row>
    <row r="33" spans="1:7" x14ac:dyDescent="0.25">
      <c r="A33" s="56"/>
      <c r="B33" s="83">
        <v>366</v>
      </c>
      <c r="C33" s="91" t="s">
        <v>58</v>
      </c>
      <c r="D33" s="92"/>
      <c r="E33" s="92"/>
      <c r="F33" s="92"/>
      <c r="G33" s="86">
        <f>E34+E35+E36</f>
        <v>0</v>
      </c>
    </row>
    <row r="34" spans="1:7" x14ac:dyDescent="0.25">
      <c r="A34" s="56"/>
      <c r="B34" s="74"/>
      <c r="C34" s="49" t="s">
        <v>59</v>
      </c>
      <c r="D34" s="49"/>
      <c r="E34" s="93">
        <v>0</v>
      </c>
      <c r="F34" s="93"/>
      <c r="G34" s="86"/>
    </row>
    <row r="35" spans="1:7" x14ac:dyDescent="0.25">
      <c r="A35" s="56"/>
      <c r="B35" s="74"/>
      <c r="C35" s="49" t="s">
        <v>60</v>
      </c>
      <c r="D35" s="49"/>
      <c r="E35" s="93">
        <v>0</v>
      </c>
      <c r="F35" s="93"/>
      <c r="G35" s="86"/>
    </row>
    <row r="36" spans="1:7" ht="15" customHeight="1" x14ac:dyDescent="0.25">
      <c r="A36" s="56"/>
      <c r="B36" s="87"/>
      <c r="C36" s="49" t="s">
        <v>61</v>
      </c>
      <c r="D36" s="49"/>
      <c r="E36" s="93">
        <v>0</v>
      </c>
      <c r="F36" s="93"/>
      <c r="G36" s="86"/>
    </row>
    <row r="37" spans="1:7" x14ac:dyDescent="0.25">
      <c r="A37" s="56"/>
      <c r="B37" s="83" t="s">
        <v>62</v>
      </c>
      <c r="C37" s="49" t="s">
        <v>63</v>
      </c>
      <c r="D37" s="49"/>
      <c r="E37" s="49"/>
      <c r="F37" s="49"/>
      <c r="G37" s="84">
        <v>0</v>
      </c>
    </row>
    <row r="38" spans="1:7" x14ac:dyDescent="0.25">
      <c r="A38" s="56"/>
      <c r="B38" s="83">
        <v>433</v>
      </c>
      <c r="C38" s="49" t="s">
        <v>64</v>
      </c>
      <c r="D38" s="49"/>
      <c r="E38" s="49"/>
      <c r="F38" s="49"/>
      <c r="G38" s="88">
        <v>0</v>
      </c>
    </row>
    <row r="39" spans="1:7" x14ac:dyDescent="0.25">
      <c r="A39" s="89" t="s">
        <v>67</v>
      </c>
      <c r="B39" s="83" t="s">
        <v>65</v>
      </c>
      <c r="C39" s="49" t="s">
        <v>66</v>
      </c>
      <c r="D39" s="49"/>
      <c r="E39" s="49"/>
      <c r="F39" s="49"/>
      <c r="G39" s="88">
        <v>0</v>
      </c>
    </row>
    <row r="40" spans="1:7" x14ac:dyDescent="0.25">
      <c r="A40" s="56"/>
      <c r="B40" s="74"/>
      <c r="C40" s="85"/>
      <c r="D40" s="85"/>
      <c r="E40" s="82" t="s">
        <v>68</v>
      </c>
      <c r="F40" s="82"/>
      <c r="G40" s="90">
        <f>SUM(G31:G39)</f>
        <v>0</v>
      </c>
    </row>
    <row r="41" spans="1:7" x14ac:dyDescent="0.25">
      <c r="G41" s="90"/>
    </row>
    <row r="42" spans="1:7" x14ac:dyDescent="0.25">
      <c r="G42" s="90"/>
    </row>
    <row r="43" spans="1:7" x14ac:dyDescent="0.25">
      <c r="G43" s="90"/>
    </row>
    <row r="44" spans="1:7" x14ac:dyDescent="0.25">
      <c r="G44" s="90"/>
    </row>
    <row r="45" spans="1:7" x14ac:dyDescent="0.25">
      <c r="G45" s="90"/>
    </row>
    <row r="46" spans="1:7" x14ac:dyDescent="0.25">
      <c r="G46" s="90"/>
    </row>
    <row r="47" spans="1:7" x14ac:dyDescent="0.25">
      <c r="G47" s="90"/>
    </row>
    <row r="48" spans="1:7" x14ac:dyDescent="0.25">
      <c r="G48" s="90"/>
    </row>
    <row r="49" spans="7:7" x14ac:dyDescent="0.25">
      <c r="G49" s="90"/>
    </row>
    <row r="50" spans="7:7" x14ac:dyDescent="0.25">
      <c r="G50" s="90"/>
    </row>
    <row r="51" spans="7:7" x14ac:dyDescent="0.25">
      <c r="G51" s="90"/>
    </row>
    <row r="52" spans="7:7" x14ac:dyDescent="0.25">
      <c r="G52" s="90"/>
    </row>
    <row r="53" spans="7:7" x14ac:dyDescent="0.25">
      <c r="G53" s="90"/>
    </row>
    <row r="54" spans="7:7" x14ac:dyDescent="0.25">
      <c r="G54" s="90"/>
    </row>
    <row r="55" spans="7:7" x14ac:dyDescent="0.25">
      <c r="G55" s="90"/>
    </row>
    <row r="56" spans="7:7" x14ac:dyDescent="0.25">
      <c r="G56" s="90"/>
    </row>
    <row r="57" spans="7:7" x14ac:dyDescent="0.25">
      <c r="G57" s="90"/>
    </row>
    <row r="58" spans="7:7" x14ac:dyDescent="0.25">
      <c r="G58" s="90"/>
    </row>
    <row r="59" spans="7:7" x14ac:dyDescent="0.25">
      <c r="G59" s="90"/>
    </row>
    <row r="60" spans="7:7" x14ac:dyDescent="0.25">
      <c r="G60" s="90"/>
    </row>
    <row r="61" spans="7:7" x14ac:dyDescent="0.25">
      <c r="G61" s="90"/>
    </row>
    <row r="62" spans="7:7" x14ac:dyDescent="0.25">
      <c r="G62" s="90"/>
    </row>
    <row r="63" spans="7:7" x14ac:dyDescent="0.25">
      <c r="G63" s="90"/>
    </row>
    <row r="64" spans="7:7" x14ac:dyDescent="0.25">
      <c r="G64" s="90"/>
    </row>
    <row r="65" spans="7:7" x14ac:dyDescent="0.25">
      <c r="G65" s="90"/>
    </row>
    <row r="66" spans="7:7" x14ac:dyDescent="0.25">
      <c r="G66" s="90"/>
    </row>
    <row r="67" spans="7:7" x14ac:dyDescent="0.25">
      <c r="G67" s="90"/>
    </row>
  </sheetData>
  <sheetProtection selectLockedCells="1"/>
  <printOptions gridLines="1"/>
  <pageMargins left="0.7" right="0.7" top="0.5" bottom="0.5" header="0.3" footer="0.3"/>
  <pageSetup orientation="portrait" r:id="rId1"/>
  <headerFooter>
    <oddHeader>&amp;CAPPENDIX II - FOR LOCAL USE ONLY - DO NOT SUBMIT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opLeftCell="A13" zoomScale="75" zoomScaleNormal="75" workbookViewId="0">
      <selection activeCell="E8" sqref="E8"/>
    </sheetView>
  </sheetViews>
  <sheetFormatPr defaultRowHeight="15" x14ac:dyDescent="0.25"/>
  <cols>
    <col min="1" max="1" width="11.5703125" customWidth="1"/>
    <col min="2" max="2" width="53.28515625" bestFit="1" customWidth="1"/>
    <col min="3" max="3" width="10.85546875" style="31" customWidth="1"/>
  </cols>
  <sheetData>
    <row r="1" spans="1:3" ht="43.15" x14ac:dyDescent="0.3">
      <c r="A1" s="22" t="s">
        <v>83</v>
      </c>
      <c r="B1" s="22" t="s">
        <v>47</v>
      </c>
      <c r="C1" s="32" t="s">
        <v>84</v>
      </c>
    </row>
    <row r="2" spans="1:3" ht="14.45" x14ac:dyDescent="0.3">
      <c r="A2" s="33">
        <v>23</v>
      </c>
      <c r="B2" s="34" t="s">
        <v>86</v>
      </c>
      <c r="C2" s="35">
        <v>380</v>
      </c>
    </row>
    <row r="3" spans="1:3" ht="14.45" x14ac:dyDescent="0.3">
      <c r="A3" s="36">
        <v>110</v>
      </c>
      <c r="B3" s="34" t="s">
        <v>87</v>
      </c>
      <c r="C3" s="35">
        <v>30</v>
      </c>
    </row>
    <row r="4" spans="1:3" ht="14.45" x14ac:dyDescent="0.3">
      <c r="A4" s="36">
        <v>670</v>
      </c>
      <c r="B4" s="34" t="s">
        <v>88</v>
      </c>
      <c r="C4" s="35">
        <v>371</v>
      </c>
    </row>
    <row r="5" spans="1:3" ht="14.45" x14ac:dyDescent="0.3">
      <c r="A5" s="36">
        <v>710</v>
      </c>
      <c r="B5" s="34" t="s">
        <v>89</v>
      </c>
      <c r="C5" s="35">
        <v>380</v>
      </c>
    </row>
    <row r="6" spans="1:3" ht="14.45" x14ac:dyDescent="0.3">
      <c r="A6" s="36">
        <v>745</v>
      </c>
      <c r="B6" s="34" t="s">
        <v>90</v>
      </c>
      <c r="C6" s="35">
        <v>371</v>
      </c>
    </row>
    <row r="7" spans="1:3" ht="14.45" x14ac:dyDescent="0.3">
      <c r="A7" s="36">
        <v>750</v>
      </c>
      <c r="B7" s="34" t="s">
        <v>91</v>
      </c>
      <c r="C7" s="35">
        <v>380</v>
      </c>
    </row>
    <row r="8" spans="1:3" ht="14.45" x14ac:dyDescent="0.3">
      <c r="A8" s="36">
        <v>755</v>
      </c>
      <c r="B8" s="34" t="s">
        <v>92</v>
      </c>
      <c r="C8" s="35">
        <v>380</v>
      </c>
    </row>
    <row r="9" spans="1:3" ht="14.45" x14ac:dyDescent="0.3">
      <c r="A9" s="36">
        <v>756</v>
      </c>
      <c r="B9" s="34" t="s">
        <v>93</v>
      </c>
      <c r="C9" s="35">
        <v>371</v>
      </c>
    </row>
    <row r="10" spans="1:3" ht="14.45" x14ac:dyDescent="0.3">
      <c r="A10" s="36">
        <v>790</v>
      </c>
      <c r="B10" s="34" t="s">
        <v>26</v>
      </c>
      <c r="C10" s="35">
        <v>380</v>
      </c>
    </row>
    <row r="11" spans="1:3" ht="14.45" x14ac:dyDescent="0.3">
      <c r="A11" s="36">
        <v>1050</v>
      </c>
      <c r="B11" s="34" t="s">
        <v>94</v>
      </c>
      <c r="C11" s="35">
        <v>371</v>
      </c>
    </row>
    <row r="12" spans="1:3" ht="14.45" x14ac:dyDescent="0.3">
      <c r="A12" s="37">
        <v>9090</v>
      </c>
      <c r="B12" s="34" t="s">
        <v>85</v>
      </c>
      <c r="C12" s="35">
        <v>371</v>
      </c>
    </row>
    <row r="13" spans="1:3" ht="14.45" x14ac:dyDescent="0.3">
      <c r="A13" s="36">
        <v>9095</v>
      </c>
      <c r="B13" s="34" t="s">
        <v>95</v>
      </c>
      <c r="C13" s="35">
        <v>371</v>
      </c>
    </row>
    <row r="14" spans="1:3" ht="14.45" x14ac:dyDescent="0.3">
      <c r="A14" s="36">
        <v>10500</v>
      </c>
      <c r="B14" s="34" t="s">
        <v>27</v>
      </c>
      <c r="C14" s="35">
        <v>301</v>
      </c>
    </row>
    <row r="15" spans="1:3" ht="14.45" x14ac:dyDescent="0.3">
      <c r="A15" s="36">
        <v>19090</v>
      </c>
      <c r="B15" s="34" t="s">
        <v>96</v>
      </c>
      <c r="C15" s="35">
        <v>301</v>
      </c>
    </row>
    <row r="16" spans="1:3" ht="14.45" x14ac:dyDescent="0.3">
      <c r="A16" s="36">
        <v>19901</v>
      </c>
      <c r="B16" s="34" t="s">
        <v>97</v>
      </c>
      <c r="C16" s="35">
        <v>301</v>
      </c>
    </row>
    <row r="17" spans="1:3" ht="14.45" x14ac:dyDescent="0.3">
      <c r="A17" s="38">
        <v>40800</v>
      </c>
      <c r="B17" s="34" t="s">
        <v>98</v>
      </c>
      <c r="C17" s="35">
        <v>311</v>
      </c>
    </row>
    <row r="18" spans="1:3" ht="14.45" x14ac:dyDescent="0.3">
      <c r="A18" s="36">
        <v>49090</v>
      </c>
      <c r="B18" s="34" t="s">
        <v>99</v>
      </c>
      <c r="C18" s="35">
        <v>311</v>
      </c>
    </row>
    <row r="19" spans="1:3" ht="14.45" x14ac:dyDescent="0.3">
      <c r="A19" s="39">
        <v>70101</v>
      </c>
      <c r="B19" s="34" t="s">
        <v>100</v>
      </c>
      <c r="C19" s="35">
        <v>321</v>
      </c>
    </row>
    <row r="20" spans="1:3" ht="14.45" x14ac:dyDescent="0.3">
      <c r="A20" s="36">
        <v>70208</v>
      </c>
      <c r="B20" s="34" t="s">
        <v>101</v>
      </c>
      <c r="C20" s="35">
        <v>321</v>
      </c>
    </row>
    <row r="21" spans="1:3" ht="14.45" x14ac:dyDescent="0.3">
      <c r="A21" s="37">
        <v>70300</v>
      </c>
      <c r="B21" s="34" t="s">
        <v>28</v>
      </c>
      <c r="C21" s="35">
        <v>321</v>
      </c>
    </row>
    <row r="22" spans="1:3" ht="14.45" x14ac:dyDescent="0.3">
      <c r="A22" s="36">
        <v>70907</v>
      </c>
      <c r="B22" s="34" t="s">
        <v>29</v>
      </c>
      <c r="C22" s="35">
        <v>321</v>
      </c>
    </row>
    <row r="23" spans="1:3" ht="14.45" x14ac:dyDescent="0.3">
      <c r="A23" s="36">
        <v>79090</v>
      </c>
      <c r="B23" s="34" t="s">
        <v>102</v>
      </c>
      <c r="C23" s="35">
        <v>321</v>
      </c>
    </row>
    <row r="24" spans="1:3" ht="14.45" x14ac:dyDescent="0.3">
      <c r="A24" s="38">
        <v>79095</v>
      </c>
      <c r="B24" s="34" t="s">
        <v>30</v>
      </c>
      <c r="C24" s="35">
        <v>321</v>
      </c>
    </row>
    <row r="25" spans="1:3" ht="14.45" x14ac:dyDescent="0.3">
      <c r="A25" s="36">
        <v>90101</v>
      </c>
      <c r="B25" s="34" t="s">
        <v>31</v>
      </c>
      <c r="C25" s="35">
        <v>331</v>
      </c>
    </row>
    <row r="26" spans="1:3" ht="14.45" x14ac:dyDescent="0.3">
      <c r="A26" s="36">
        <v>90201</v>
      </c>
      <c r="B26" s="34" t="s">
        <v>32</v>
      </c>
      <c r="C26" s="35">
        <v>365</v>
      </c>
    </row>
    <row r="27" spans="1:3" ht="14.45" x14ac:dyDescent="0.3">
      <c r="A27" s="37">
        <v>90204</v>
      </c>
      <c r="B27" s="34" t="s">
        <v>33</v>
      </c>
      <c r="C27" s="35">
        <v>365</v>
      </c>
    </row>
    <row r="28" spans="1:3" ht="14.45" x14ac:dyDescent="0.3">
      <c r="A28" s="36">
        <v>90301</v>
      </c>
      <c r="B28" s="34" t="s">
        <v>34</v>
      </c>
      <c r="C28" s="35">
        <v>365</v>
      </c>
    </row>
    <row r="29" spans="1:3" ht="14.45" x14ac:dyDescent="0.3">
      <c r="A29" s="36">
        <v>90401</v>
      </c>
      <c r="B29" s="34" t="s">
        <v>35</v>
      </c>
      <c r="C29" s="35">
        <v>365</v>
      </c>
    </row>
    <row r="30" spans="1:3" ht="14.45" x14ac:dyDescent="0.3">
      <c r="A30" s="36">
        <v>99090</v>
      </c>
      <c r="B30" s="34" t="s">
        <v>103</v>
      </c>
      <c r="C30" s="35">
        <v>365</v>
      </c>
    </row>
    <row r="31" spans="1:3" ht="14.45" x14ac:dyDescent="0.3">
      <c r="A31" s="37">
        <v>140120</v>
      </c>
      <c r="B31" s="34" t="s">
        <v>36</v>
      </c>
      <c r="C31" s="35">
        <v>341</v>
      </c>
    </row>
    <row r="32" spans="1:3" ht="14.45" x14ac:dyDescent="0.3">
      <c r="A32" s="36">
        <v>140710</v>
      </c>
      <c r="B32" s="34" t="s">
        <v>37</v>
      </c>
      <c r="C32" s="35">
        <v>341</v>
      </c>
    </row>
    <row r="33" spans="1:3" ht="14.45" x14ac:dyDescent="0.3">
      <c r="A33" s="38">
        <v>149090</v>
      </c>
      <c r="B33" s="34" t="s">
        <v>104</v>
      </c>
      <c r="C33" s="35">
        <v>341</v>
      </c>
    </row>
    <row r="34" spans="1:3" ht="14.45" x14ac:dyDescent="0.3">
      <c r="A34" s="39">
        <v>170100</v>
      </c>
      <c r="B34" s="34" t="s">
        <v>105</v>
      </c>
      <c r="C34" s="35">
        <v>361</v>
      </c>
    </row>
    <row r="35" spans="1:3" ht="14.45" x14ac:dyDescent="0.3">
      <c r="A35" s="37">
        <v>170301</v>
      </c>
      <c r="B35" s="34" t="s">
        <v>39</v>
      </c>
      <c r="C35" s="35">
        <v>361</v>
      </c>
    </row>
    <row r="36" spans="1:3" ht="14.45" x14ac:dyDescent="0.3">
      <c r="A36" s="37">
        <v>170302</v>
      </c>
      <c r="B36" s="34" t="s">
        <v>40</v>
      </c>
      <c r="C36" s="35">
        <v>361</v>
      </c>
    </row>
    <row r="37" spans="1:3" ht="14.45" x14ac:dyDescent="0.3">
      <c r="A37" s="37">
        <v>170303</v>
      </c>
      <c r="B37" s="34" t="s">
        <v>106</v>
      </c>
      <c r="C37" s="35">
        <v>361</v>
      </c>
    </row>
    <row r="38" spans="1:3" ht="14.45" x14ac:dyDescent="0.3">
      <c r="A38" s="36">
        <v>170321</v>
      </c>
      <c r="B38" s="34" t="s">
        <v>107</v>
      </c>
      <c r="C38" s="35">
        <v>361</v>
      </c>
    </row>
    <row r="39" spans="1:3" ht="14.45" x14ac:dyDescent="0.3">
      <c r="A39" s="39">
        <v>170322</v>
      </c>
      <c r="B39" s="34" t="s">
        <v>108</v>
      </c>
      <c r="C39" s="35">
        <v>361</v>
      </c>
    </row>
    <row r="40" spans="1:3" ht="14.45" x14ac:dyDescent="0.3">
      <c r="A40" s="38">
        <v>170400</v>
      </c>
      <c r="B40" s="34" t="s">
        <v>109</v>
      </c>
      <c r="C40" s="35">
        <v>361</v>
      </c>
    </row>
    <row r="41" spans="1:3" ht="14.45" x14ac:dyDescent="0.3">
      <c r="A41" s="37">
        <v>170900</v>
      </c>
      <c r="B41" s="34" t="s">
        <v>41</v>
      </c>
      <c r="C41" s="35">
        <v>361</v>
      </c>
    </row>
    <row r="42" spans="1:3" ht="14.45" x14ac:dyDescent="0.3">
      <c r="A42" s="37">
        <v>171000</v>
      </c>
      <c r="B42" s="34" t="s">
        <v>110</v>
      </c>
      <c r="C42" s="35">
        <v>361</v>
      </c>
    </row>
    <row r="43" spans="1:3" ht="14.45" x14ac:dyDescent="0.3">
      <c r="A43" s="37">
        <v>171016</v>
      </c>
      <c r="B43" s="34" t="s">
        <v>111</v>
      </c>
      <c r="C43" s="35">
        <v>361</v>
      </c>
    </row>
    <row r="44" spans="1:3" ht="14.45" x14ac:dyDescent="0.3">
      <c r="A44" s="39">
        <v>171200</v>
      </c>
      <c r="B44" s="34" t="s">
        <v>38</v>
      </c>
      <c r="C44" s="35">
        <v>361</v>
      </c>
    </row>
    <row r="45" spans="1:3" ht="14.45" x14ac:dyDescent="0.3">
      <c r="A45" s="37">
        <v>171300</v>
      </c>
      <c r="B45" s="34" t="s">
        <v>42</v>
      </c>
      <c r="C45" s="35">
        <v>361</v>
      </c>
    </row>
    <row r="46" spans="1:3" ht="14.45" x14ac:dyDescent="0.3">
      <c r="A46" s="37">
        <v>171500</v>
      </c>
      <c r="B46" s="34" t="s">
        <v>43</v>
      </c>
      <c r="C46" s="35">
        <v>361</v>
      </c>
    </row>
    <row r="47" spans="1:3" ht="14.45" x14ac:dyDescent="0.3">
      <c r="A47" s="37">
        <v>171502</v>
      </c>
      <c r="B47" s="34" t="s">
        <v>44</v>
      </c>
      <c r="C47" s="35">
        <v>361</v>
      </c>
    </row>
    <row r="48" spans="1:3" ht="14.45" x14ac:dyDescent="0.3">
      <c r="A48" s="38">
        <v>171512</v>
      </c>
      <c r="B48" s="34" t="s">
        <v>112</v>
      </c>
      <c r="C48" s="35">
        <v>361</v>
      </c>
    </row>
    <row r="49" spans="1:3" ht="14.45" x14ac:dyDescent="0.3">
      <c r="A49" s="37">
        <v>171710</v>
      </c>
      <c r="B49" s="34" t="s">
        <v>113</v>
      </c>
      <c r="C49" s="35">
        <v>361</v>
      </c>
    </row>
    <row r="50" spans="1:3" ht="14.45" x14ac:dyDescent="0.3">
      <c r="A50" s="36">
        <v>171720</v>
      </c>
      <c r="B50" s="34" t="s">
        <v>114</v>
      </c>
      <c r="C50" s="35">
        <v>361</v>
      </c>
    </row>
    <row r="51" spans="1:3" ht="14.45" x14ac:dyDescent="0.3">
      <c r="A51" s="37">
        <v>172302</v>
      </c>
      <c r="B51" s="34" t="s">
        <v>45</v>
      </c>
      <c r="C51" s="35">
        <v>361</v>
      </c>
    </row>
    <row r="52" spans="1:3" ht="14.45" x14ac:dyDescent="0.3">
      <c r="A52" s="38">
        <v>172306</v>
      </c>
      <c r="B52" s="34" t="s">
        <v>46</v>
      </c>
      <c r="C52" s="35">
        <v>361</v>
      </c>
    </row>
    <row r="53" spans="1:3" ht="14.45" x14ac:dyDescent="0.3">
      <c r="A53" s="36">
        <v>178803</v>
      </c>
      <c r="B53" s="34" t="s">
        <v>115</v>
      </c>
      <c r="C53" s="35">
        <v>361</v>
      </c>
    </row>
    <row r="54" spans="1:3" ht="14.45" x14ac:dyDescent="0.3">
      <c r="A54" s="38">
        <v>179090</v>
      </c>
      <c r="B54" s="34" t="s">
        <v>116</v>
      </c>
      <c r="C54" s="35">
        <v>361</v>
      </c>
    </row>
    <row r="55" spans="1:3" ht="14.45" x14ac:dyDescent="0.3">
      <c r="A55" s="38">
        <v>179095</v>
      </c>
      <c r="B55" s="34" t="s">
        <v>117</v>
      </c>
      <c r="C55" s="35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 Expend</vt:lpstr>
      <vt:lpstr>Prog Expend</vt:lpstr>
      <vt:lpstr>Program List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Dan</dc:creator>
  <cp:lastModifiedBy>McKenzie, Jacqui</cp:lastModifiedBy>
  <cp:lastPrinted>2013-02-22T17:02:51Z</cp:lastPrinted>
  <dcterms:created xsi:type="dcterms:W3CDTF">2011-04-11T14:32:13Z</dcterms:created>
  <dcterms:modified xsi:type="dcterms:W3CDTF">2013-05-08T18:23:11Z</dcterms:modified>
</cp:coreProperties>
</file>