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5" windowWidth="5580" windowHeight="8325"/>
  </bookViews>
  <sheets>
    <sheet name="Labor-Task" sheetId="5" r:id="rId1"/>
    <sheet name="ODCs" sheetId="6" r:id="rId2"/>
    <sheet name="Enclosure A" sheetId="2" r:id="rId3"/>
    <sheet name="Enclosure B" sheetId="7" r:id="rId4"/>
  </sheets>
  <definedNames>
    <definedName name="_xlnm.Print_Area" localSheetId="3">'Enclosure B'!$A$1:$A$29</definedName>
  </definedNames>
  <calcPr calcId="125725"/>
</workbook>
</file>

<file path=xl/calcChain.xml><?xml version="1.0" encoding="utf-8"?>
<calcChain xmlns="http://schemas.openxmlformats.org/spreadsheetml/2006/main">
  <c r="J11" i="6"/>
  <c r="J12"/>
  <c r="J13"/>
  <c r="J14"/>
  <c r="J15"/>
  <c r="I11"/>
  <c r="I12"/>
  <c r="I13"/>
  <c r="I14"/>
  <c r="I15"/>
  <c r="I16"/>
  <c r="J16" s="1"/>
  <c r="G11"/>
  <c r="G12"/>
  <c r="G13"/>
  <c r="G14"/>
  <c r="G15"/>
  <c r="G16"/>
  <c r="O19" i="5"/>
  <c r="P19" s="1"/>
  <c r="O20"/>
  <c r="P20" s="1"/>
  <c r="O21"/>
  <c r="P21" s="1"/>
  <c r="O22"/>
  <c r="P22" s="1"/>
  <c r="O23"/>
  <c r="P23" s="1"/>
  <c r="O24"/>
  <c r="P24" s="1"/>
  <c r="O25"/>
  <c r="P25" s="1"/>
  <c r="O26"/>
  <c r="P26" s="1"/>
  <c r="K26"/>
  <c r="K19"/>
  <c r="K20"/>
  <c r="K21"/>
  <c r="K22"/>
  <c r="K23"/>
  <c r="K24"/>
  <c r="K25"/>
  <c r="I10" i="6"/>
  <c r="J10" s="1"/>
  <c r="G10"/>
  <c r="O18" i="5"/>
  <c r="K18"/>
  <c r="P18" l="1"/>
</calcChain>
</file>

<file path=xl/sharedStrings.xml><?xml version="1.0" encoding="utf-8"?>
<sst xmlns="http://schemas.openxmlformats.org/spreadsheetml/2006/main" count="128" uniqueCount="121">
  <si>
    <t>MOST FAVORED CUSTOMER (MFC)</t>
  </si>
  <si>
    <t>PRICE OFFERED TO GSA (including IFF)</t>
  </si>
  <si>
    <t>SUPPORTING INVOICE NUMBER</t>
  </si>
  <si>
    <t>541-1</t>
  </si>
  <si>
    <t>Project Mgr</t>
  </si>
  <si>
    <t>Hourly</t>
  </si>
  <si>
    <t>PRICE OFFERED TO GSA (excluding IFF)</t>
  </si>
  <si>
    <t>Photographer</t>
  </si>
  <si>
    <t>SIN(s) Proposed:</t>
  </si>
  <si>
    <t>Service Proposed:</t>
  </si>
  <si>
    <t>Unit of Issue:</t>
  </si>
  <si>
    <t>Most Favored Customer (MFC):</t>
  </si>
  <si>
    <t>Discount Offered to GSA (excluding IFF):</t>
  </si>
  <si>
    <r>
      <t xml:space="preserve">Price Offered to GSA </t>
    </r>
    <r>
      <rPr>
        <b/>
        <i/>
        <u/>
        <sz val="10"/>
        <color theme="1"/>
        <rFont val="Arial"/>
        <family val="2"/>
      </rPr>
      <t xml:space="preserve">(excluding </t>
    </r>
    <r>
      <rPr>
        <b/>
        <i/>
        <sz val="10"/>
        <color theme="1"/>
        <rFont val="Arial"/>
        <family val="2"/>
      </rPr>
      <t xml:space="preserve"> IFF):</t>
    </r>
  </si>
  <si>
    <r>
      <t xml:space="preserve">Price Offered to GSA </t>
    </r>
    <r>
      <rPr>
        <b/>
        <i/>
        <u/>
        <sz val="10"/>
        <color theme="1"/>
        <rFont val="Arial"/>
        <family val="2"/>
      </rPr>
      <t>(including</t>
    </r>
    <r>
      <rPr>
        <b/>
        <i/>
        <sz val="10"/>
        <color theme="1"/>
        <rFont val="Arial"/>
        <family val="2"/>
      </rPr>
      <t xml:space="preserve"> IFF):</t>
    </r>
  </si>
  <si>
    <t>SINS(s) Proposed:</t>
  </si>
  <si>
    <t>Enter the name of the ODC element.</t>
  </si>
  <si>
    <t>Invoicing/Supplier Quotations:</t>
  </si>
  <si>
    <t>SIN(s) PROPOSED</t>
  </si>
  <si>
    <t>UNIT OF ISSUE (e.g. Hour, Task, Sq ft)</t>
  </si>
  <si>
    <t>All Commercial Customers</t>
  </si>
  <si>
    <t>DISCOUNT OFFERED TO GSA (off CPL or Market Prices) (%)</t>
  </si>
  <si>
    <t>Products, Services and Labor acquired from a third party.  Other Direct Costs are established at Not-To-Exceed Amounts</t>
  </si>
  <si>
    <t>Other Direct Costs (ODCs)</t>
  </si>
  <si>
    <t>Labor/Task Pricing</t>
  </si>
  <si>
    <t>Enclosure A</t>
  </si>
  <si>
    <t>SUPPORT PRODUCT/ LABOR (ODCs)</t>
  </si>
  <si>
    <t>COMMERCIAL MARKUP (%)</t>
  </si>
  <si>
    <t>COMMERCIAL PRICE INCLUDING MARKUP</t>
  </si>
  <si>
    <t>CEILING PRICE/RATE OFFERED TO GSA (including IFF)</t>
  </si>
  <si>
    <t>ENCLOSURE A</t>
  </si>
  <si>
    <t>ENCLOSURE B</t>
  </si>
  <si>
    <r>
      <t xml:space="preserve">Enter fully burdened direct labor Title or Task </t>
    </r>
    <r>
      <rPr>
        <u/>
        <sz val="10"/>
        <color theme="1"/>
        <rFont val="Arial"/>
        <family val="2"/>
      </rPr>
      <t>name.</t>
    </r>
  </si>
  <si>
    <r>
      <t xml:space="preserve">Commercial Price (dollar amount) </t>
    </r>
    <r>
      <rPr>
        <u/>
        <sz val="10"/>
        <color theme="1"/>
        <rFont val="Arial"/>
        <family val="2"/>
      </rPr>
      <t>discounted by</t>
    </r>
    <r>
      <rPr>
        <sz val="10"/>
        <color theme="1"/>
        <rFont val="Arial"/>
        <family val="2"/>
      </rPr>
      <t xml:space="preserve"> the GSA discount percentage (X%).</t>
    </r>
  </si>
  <si>
    <t>Discounted GSA price (dollar amount) (Price Offered to GSA (excluding IFF)) / .9925 (This formula incorporates the 0.75% Industrial Funding Fee). The price inclusive of IFF is referred to as the GSA Net Price.</t>
  </si>
  <si>
    <t>Supporting Invoice Number:</t>
  </si>
  <si>
    <r>
      <t xml:space="preserve">Enter the discount (X%) from commercial pricing (Commercial Price List rates) </t>
    </r>
    <r>
      <rPr>
        <b/>
        <sz val="10"/>
        <color theme="1"/>
        <rFont val="Arial"/>
        <family val="2"/>
      </rPr>
      <t xml:space="preserve">offered to GSA </t>
    </r>
    <r>
      <rPr>
        <sz val="10"/>
        <color theme="1"/>
        <rFont val="Arial"/>
        <family val="2"/>
      </rPr>
      <t>for the direct labor or task element entry.</t>
    </r>
  </si>
  <si>
    <t xml:space="preserve">Instructions - Direct Labor or Task entries: </t>
  </si>
  <si>
    <t xml:space="preserve">Instructions - Other Direct Costs (ODCs): </t>
  </si>
  <si>
    <r>
      <t xml:space="preserve">Place the invoice or supplier quotation </t>
    </r>
    <r>
      <rPr>
        <u/>
        <sz val="10"/>
        <color theme="1"/>
        <rFont val="Arial"/>
        <family val="2"/>
      </rPr>
      <t>number</t>
    </r>
    <r>
      <rPr>
        <sz val="10"/>
        <color theme="1"/>
        <rFont val="Arial"/>
        <family val="2"/>
      </rPr>
      <t xml:space="preserve"> in the </t>
    </r>
    <r>
      <rPr>
        <u/>
        <sz val="10"/>
        <color theme="1"/>
        <rFont val="Arial"/>
        <family val="2"/>
      </rPr>
      <t>Invoice column</t>
    </r>
    <r>
      <rPr>
        <sz val="10"/>
        <color theme="1"/>
        <rFont val="Arial"/>
        <family val="2"/>
      </rPr>
      <t xml:space="preserve"> for each direct labor or task element entry. </t>
    </r>
    <r>
      <rPr>
        <u/>
        <sz val="10"/>
        <color theme="1"/>
        <rFont val="Arial"/>
        <family val="2"/>
      </rPr>
      <t xml:space="preserve">Order supporting invoices or quotes </t>
    </r>
    <r>
      <rPr>
        <b/>
        <u/>
        <sz val="10"/>
        <color theme="1"/>
        <rFont val="Arial"/>
        <family val="2"/>
      </rPr>
      <t>sequentially</t>
    </r>
    <r>
      <rPr>
        <u/>
        <sz val="10"/>
        <color theme="1"/>
        <rFont val="Arial"/>
        <family val="2"/>
      </rPr>
      <t>,</t>
    </r>
    <r>
      <rPr>
        <sz val="10"/>
        <color theme="1"/>
        <rFont val="Arial"/>
        <family val="2"/>
      </rPr>
      <t xml:space="preserve"> as entries appear in your Pricing file, </t>
    </r>
    <r>
      <rPr>
        <u/>
        <sz val="10"/>
        <color theme="1"/>
        <rFont val="Arial"/>
        <family val="2"/>
      </rPr>
      <t>to facilitate review.</t>
    </r>
  </si>
  <si>
    <r>
      <t xml:space="preserve">Place the invoice or supplier quotation </t>
    </r>
    <r>
      <rPr>
        <u/>
        <sz val="10"/>
        <color theme="1"/>
        <rFont val="Arial"/>
        <family val="2"/>
      </rPr>
      <t>number</t>
    </r>
    <r>
      <rPr>
        <sz val="10"/>
        <color theme="1"/>
        <rFont val="Arial"/>
        <family val="2"/>
      </rPr>
      <t xml:space="preserve"> in the </t>
    </r>
    <r>
      <rPr>
        <u/>
        <sz val="10"/>
        <color theme="1"/>
        <rFont val="Arial"/>
        <family val="2"/>
      </rPr>
      <t>Invoice column</t>
    </r>
    <r>
      <rPr>
        <sz val="10"/>
        <color theme="1"/>
        <rFont val="Arial"/>
        <family val="2"/>
      </rPr>
      <t xml:space="preserve"> for each ODC entry. </t>
    </r>
    <r>
      <rPr>
        <u/>
        <sz val="10"/>
        <color theme="1"/>
        <rFont val="Arial"/>
        <family val="2"/>
      </rPr>
      <t xml:space="preserve">Order supporting invoices or quotes </t>
    </r>
    <r>
      <rPr>
        <b/>
        <u/>
        <sz val="10"/>
        <color theme="1"/>
        <rFont val="Arial"/>
        <family val="2"/>
      </rPr>
      <t>sequentially</t>
    </r>
    <r>
      <rPr>
        <u/>
        <sz val="10"/>
        <color theme="1"/>
        <rFont val="Arial"/>
        <family val="2"/>
      </rPr>
      <t>,</t>
    </r>
    <r>
      <rPr>
        <sz val="10"/>
        <color theme="1"/>
        <rFont val="Arial"/>
        <family val="2"/>
      </rPr>
      <t xml:space="preserve"> as entries appear in your Pricing file, </t>
    </r>
    <r>
      <rPr>
        <u/>
        <sz val="10"/>
        <color theme="1"/>
        <rFont val="Arial"/>
        <family val="2"/>
      </rPr>
      <t>to facilitate review.</t>
    </r>
  </si>
  <si>
    <t>Enter the unit of issue for the ODC element (Ex.: Hourly, Per Shipment, Per Event).</t>
  </si>
  <si>
    <t>CEILING PRICE/RATE OFFERED TO GSA (excluding IFF)</t>
  </si>
  <si>
    <t xml:space="preserve">COMMERCIAL PRICE EXCLUDING MARKUP </t>
  </si>
  <si>
    <t>Commercial Price Excluding Markup (CPL):</t>
  </si>
  <si>
    <t>Commercial Markup (%):</t>
  </si>
  <si>
    <t xml:space="preserve">Enter the MFC name corresponding to the ODC entry (i.e.: Company name or Category of Customers). The MFC is the company or category of customers that receives the most favorable (lowest) markup added to the commercial pricing (Commercial Price Excluding Markup rate). If no firm is offered a reduced markup from the Commercial Price excluding Markup rate, the MFC is ‘All Commercial Customers’. </t>
  </si>
  <si>
    <r>
      <t xml:space="preserve">Enter the markup (X%) applied to the commercial pricing (Commercial Price Excluding Markup rate) </t>
    </r>
    <r>
      <rPr>
        <b/>
        <sz val="10"/>
        <color theme="1"/>
        <rFont val="Arial"/>
        <family val="2"/>
      </rPr>
      <t xml:space="preserve">offered to the MFC </t>
    </r>
    <r>
      <rPr>
        <sz val="10"/>
        <color theme="1"/>
        <rFont val="Arial"/>
        <family val="2"/>
      </rPr>
      <t>for the ODC element entry.</t>
    </r>
  </si>
  <si>
    <t>Commercial Price Including Markup (CPL):</t>
  </si>
  <si>
    <t>Markup Offered To GSA (%):</t>
  </si>
  <si>
    <r>
      <t xml:space="preserve">Enter the markup (X%) applied to the commercial pricing (Commercial Price Excluding Markup rate) </t>
    </r>
    <r>
      <rPr>
        <b/>
        <sz val="10"/>
        <color theme="1"/>
        <rFont val="Arial"/>
        <family val="2"/>
      </rPr>
      <t xml:space="preserve">offered to GSA </t>
    </r>
    <r>
      <rPr>
        <sz val="10"/>
        <color theme="1"/>
        <rFont val="Arial"/>
        <family val="2"/>
      </rPr>
      <t>for the ODC element entry.</t>
    </r>
  </si>
  <si>
    <t>Support Product/Labor (ODCs):</t>
  </si>
  <si>
    <r>
      <t xml:space="preserve">Enter the commercial price paid (dollar amount) </t>
    </r>
    <r>
      <rPr>
        <b/>
        <u/>
        <sz val="10"/>
        <color theme="1"/>
        <rFont val="Arial"/>
        <family val="2"/>
      </rPr>
      <t>including markup</t>
    </r>
    <r>
      <rPr>
        <sz val="10"/>
        <color theme="1"/>
        <rFont val="Arial"/>
        <family val="2"/>
      </rPr>
      <t xml:space="preserve"> to acquire the ODC element from a third party provider, supported by a commercial invoice or supplier quote. A Maximum Ceiling Price (i.e. Not-To-Exceed Price) will be established from the invoice or quotation price.</t>
    </r>
  </si>
  <si>
    <t xml:space="preserve">Ceiling Price/Rate Offered to GSA (excluding IFF): </t>
  </si>
  <si>
    <r>
      <t xml:space="preserve">Enter the commercial price paid (dollar amount) </t>
    </r>
    <r>
      <rPr>
        <b/>
        <u/>
        <sz val="10"/>
        <color theme="1"/>
        <rFont val="Arial"/>
        <family val="2"/>
      </rPr>
      <t>including GSA Offered markup</t>
    </r>
    <r>
      <rPr>
        <sz val="10"/>
        <color theme="1"/>
        <rFont val="Arial"/>
        <family val="2"/>
      </rPr>
      <t xml:space="preserve"> to acquire the ODC element from a third party provider.</t>
    </r>
  </si>
  <si>
    <t>Ceiling Price/Rate Offered to GSA (including IFF):</t>
  </si>
  <si>
    <t>GSA price with proposed markup (dollar amount) (Price Offered to GSA (excluding IFF)) / .9925 (This formula incorporates the 0.75% Industrial Funding Fee). The price inclusive of IFF is referred to as the GSA Net Price.</t>
  </si>
  <si>
    <t>Contractor Name:</t>
  </si>
  <si>
    <t>COMMERCIAL PRICE LIST (CPL) OR MARKET PRICES</t>
  </si>
  <si>
    <r>
      <t>MARKUP OFFERED TO GSA (%)</t>
    </r>
    <r>
      <rPr>
        <b/>
        <sz val="12"/>
        <color theme="1"/>
        <rFont val="Calibri"/>
        <family val="2"/>
        <scheme val="minor"/>
      </rPr>
      <t>*</t>
    </r>
  </si>
  <si>
    <t>Schedule 541 - Proposal Price List Preparation Spreadsheet (Labor/Task)</t>
  </si>
  <si>
    <t>Schedule 541 - Proposal Price List Preparation Spreadsheet (ODCs)</t>
  </si>
  <si>
    <t>Enclosure B</t>
  </si>
  <si>
    <t>Enter unit of issue for the labor or task element (Example: Hourly).</t>
  </si>
  <si>
    <r>
      <rPr>
        <b/>
        <u/>
        <sz val="10"/>
        <color theme="1"/>
        <rFont val="Arial"/>
        <family val="2"/>
      </rPr>
      <t>Note: Pass Through Other Direct Costs</t>
    </r>
    <r>
      <rPr>
        <u/>
        <sz val="10"/>
        <color theme="1"/>
        <rFont val="Arial"/>
        <family val="2"/>
      </rPr>
      <t>:</t>
    </r>
    <r>
      <rPr>
        <sz val="10"/>
        <color theme="1"/>
        <rFont val="Arial"/>
        <family val="2"/>
      </rPr>
      <t xml:space="preserve">  Priced at actual cost (price invoiced to your firm) plus Industrial Funding Fee (IFF) and are established at maximum ceiling price/rate.  “</t>
    </r>
    <r>
      <rPr>
        <b/>
        <sz val="10"/>
        <color theme="1"/>
        <rFont val="Arial"/>
        <family val="2"/>
      </rPr>
      <t>Pass Through Other Direct Costs” is/are GSA’s preferred method for use when contracting for Other Direct Costs.</t>
    </r>
  </si>
  <si>
    <t>Note: The table above is an example, for further instructions, see tab:</t>
  </si>
  <si>
    <r>
      <t>Note: If Proposing ODCs With A Markup</t>
    </r>
    <r>
      <rPr>
        <sz val="10"/>
        <color theme="1"/>
        <rFont val="Arial"/>
        <family val="2"/>
      </rPr>
      <t>:  Commercial Markup Relationship.  The contractor must demonstrate a clear/documented relationship between what was charged to their firm (i.e. invoice reflecting actual cost paid or a supplier quote) versus what they charged to their customer (i.e. actual invoice amount to your customer which reflects the total cost billed inclusive of any claimed markup) to establish their standard commercial practice and markup rate(s).  Supporting pricing documentation may consist of copies of invoices, contracts, quote sheets, etc. and MUST be included in the Offer.  There must be a clear and relevant relationship between the supporting document and the proposed price it is meant to substantiate.  The Government will attempt negotiation of a more favorable markup in comparison to the contractor’s MFC.</t>
    </r>
  </si>
  <si>
    <r>
      <t xml:space="preserve">* Note: ODCs are </t>
    </r>
    <r>
      <rPr>
        <b/>
        <i/>
        <u/>
        <sz val="12"/>
        <color theme="1"/>
        <rFont val="Calibri"/>
        <family val="2"/>
        <scheme val="minor"/>
      </rPr>
      <t>normally</t>
    </r>
    <r>
      <rPr>
        <b/>
        <i/>
        <sz val="12"/>
        <color theme="1"/>
        <rFont val="Calibri"/>
        <family val="2"/>
        <scheme val="minor"/>
      </rPr>
      <t xml:space="preserve"> priced at actual cost (plus IFF), however, if your firm has a standard commercial markup and have documentation to demonstrate this markup relationship, the Government may allow a negotiated discounted markup rate. See Enclosure B for additional information.</t>
    </r>
  </si>
  <si>
    <t>Enter the commercial price paid (dollar amount) excluding markup to acquire the ODC element from a third party provider.</t>
  </si>
  <si>
    <t xml:space="preserve">Note: Order entries in the Pricing for Direct Labor as they appear on the Commercial Price List or Market Rate Sheet (Market Prices), to facilitate sequential review. </t>
  </si>
  <si>
    <t>SERVICE PROPOSED (e.g. Labor Category or Job Title/Task)</t>
  </si>
  <si>
    <t>MINIMUM EDUCATION / CERTIFICATION LEVEL</t>
  </si>
  <si>
    <t>MINIMUM YEARS OF EXPERIENCE (cannot be a range)</t>
  </si>
  <si>
    <t>CONTRACTOR OR CUSTOMER SITE</t>
  </si>
  <si>
    <t>DOMESTIC OR OVERSEAS</t>
  </si>
  <si>
    <t>Both</t>
  </si>
  <si>
    <t>COMMERCIAL MFC PRICE</t>
  </si>
  <si>
    <t>Masters Degree</t>
  </si>
  <si>
    <t>MOST FAVORED FEDERAL AGENCY (MFC) PRICE**</t>
  </si>
  <si>
    <t>MOST FAVORED FEDERAL AGENCY (MFC)**</t>
  </si>
  <si>
    <t>U. S. A. F.</t>
  </si>
  <si>
    <t xml:space="preserve">Note: The table above is an example, for further instructions, see tab: </t>
  </si>
  <si>
    <t>MOST FAVORED COMMERCIAL CUSTOMER (MFC)*</t>
  </si>
  <si>
    <t>Domestic Only</t>
  </si>
  <si>
    <t>DISCOUNT OFFERED TO COMMERCIAL MFC (%)</t>
  </si>
  <si>
    <t>Minimum Education /Certification Level:</t>
  </si>
  <si>
    <t xml:space="preserve">Commercial Price List (CPL) or Market Prices: </t>
  </si>
  <si>
    <t>Enter the fully burdened/undiscounted direct labor or task element commercial pricing (Commercial Price List rate) (dollar amount).</t>
  </si>
  <si>
    <t>Enter the minimum education required, as well as, any other certifications required for the specified labor category.</t>
  </si>
  <si>
    <t>Minimum Years of Experience:</t>
  </si>
  <si>
    <t>Enter the minimum number of years experience required for the specified labor category.</t>
  </si>
  <si>
    <t>Contractor or Customer Site:</t>
  </si>
  <si>
    <t>Domestic or Overseas:</t>
  </si>
  <si>
    <t>Enter the physical location(s) where the services can/will be performed. For example, Contractor Site, Customer Site or Both.</t>
  </si>
  <si>
    <t>Enter the geographic location(s) where services can/will be performed.  For example, Domestic Only, Overseas Only or Both.</t>
  </si>
  <si>
    <t>Most Favored Commercial Customer (MFC):</t>
  </si>
  <si>
    <t>Enter the Most Favored Commercial Customer name corresponding to the direct labor or task entry (i.e.: Company name or Category of Customers). The Most Favored Commercial Customer is the company or category of customers that receives the most favorable discount, if any, from commercial pricing (Commercial Price List rates). If no discount is offered to any commercial customer from the Commercial Price List rates, the Most Favored Commercial Customer is ‘All Commercial Customers’. The Most Favored Commercial Customer discount is "0%" if no commercial firm obtains a discount from the Commercial Price List rates.</t>
  </si>
  <si>
    <r>
      <t xml:space="preserve">Enter the discount (X%) from the commercial pricing (Commercial Price List rates) </t>
    </r>
    <r>
      <rPr>
        <b/>
        <sz val="10"/>
        <color theme="1"/>
        <rFont val="Arial"/>
        <family val="2"/>
      </rPr>
      <t xml:space="preserve">offered to the Most Favored Commercial Customer </t>
    </r>
    <r>
      <rPr>
        <sz val="10"/>
        <color theme="1"/>
        <rFont val="Arial"/>
        <family val="2"/>
      </rPr>
      <t>for the direct labor or task element entry.</t>
    </r>
  </si>
  <si>
    <t>Commercial MFC Price:</t>
  </si>
  <si>
    <r>
      <t xml:space="preserve">Enter the fully burdened direct labor or task element commercial pricing (Commercial Price List rate) </t>
    </r>
    <r>
      <rPr>
        <u/>
        <sz val="10"/>
        <color theme="1"/>
        <rFont val="Arial"/>
        <family val="2"/>
      </rPr>
      <t>discounted by</t>
    </r>
    <r>
      <rPr>
        <sz val="10"/>
        <color theme="1"/>
        <rFont val="Arial"/>
        <family val="2"/>
      </rPr>
      <t xml:space="preserve"> the Most Favored Commercial Customer discount percentage (X%) (dollar amount).</t>
    </r>
  </si>
  <si>
    <t>Discount Offered to Commercial MFC (%):</t>
  </si>
  <si>
    <t>Most Favored Federal Agency (MFC):</t>
  </si>
  <si>
    <t>Most Favored Federal Agency MFC Price:</t>
  </si>
  <si>
    <t xml:space="preserve">If applicable, enter the Most Favored Federal Agency Customer name corresponding to the direct labor or task entry. The Most Favored Federal Agengy Customer is the Federal Agency that receives the most favorable discount, if any, from commercial pricing (Commercial Price List rates). </t>
  </si>
  <si>
    <t>Enter the discounted direct labor or task element Most Favored Federal Agency Customer rate (dollar amount).</t>
  </si>
  <si>
    <t>**Note: Most Favored Federal Agency is sales directly to a Federal Agency as a prime contractor.  If no sales exist to Federal Agencies for the offered sevices, enter "N/A".</t>
  </si>
  <si>
    <t>*Note: GSA considers prime contractors to Federal Agencies as commercial customers.</t>
  </si>
  <si>
    <t xml:space="preserve">Full Products and Broad Services Offerings </t>
  </si>
  <si>
    <t>Offeror must provide a full and broad offering on services and/or products. Offers will not be accepted with only limited item/offering (product, labor category, training course, or fixed-price service)</t>
  </si>
  <si>
    <t>unless it represents a total solution for the Special Item Numbers (SINs). </t>
  </si>
  <si>
    <t>Fair and Reasonable Pricing</t>
  </si>
  <si>
    <t xml:space="preserve">To determine fair and reasonable pricing, the GSA Contracting Officer may consider many factors, including pricing on competitor contracts, historical pricing, and currently available pricing in other venues.  </t>
  </si>
  <si>
    <t>Offers which provide Most Favored Customer pricing, but which are not highly competitive will not be found fair and reasonable and will not be accepted.  </t>
  </si>
  <si>
    <t>This document must be completed and submitted with your offer.</t>
  </si>
  <si>
    <t>541-1000</t>
  </si>
  <si>
    <r>
      <t xml:space="preserve">Enter SIN, SIN(s), or ‘All’ applicable to the labor or task element entry.  </t>
    </r>
    <r>
      <rPr>
        <b/>
        <sz val="10"/>
        <color theme="1"/>
        <rFont val="Arial"/>
        <family val="2"/>
      </rPr>
      <t>NOTE:</t>
    </r>
    <r>
      <rPr>
        <sz val="10"/>
        <color theme="1"/>
        <rFont val="Arial"/>
        <family val="2"/>
      </rPr>
      <t xml:space="preserve"> ODC SIN 541-1000 should </t>
    </r>
    <r>
      <rPr>
        <u/>
        <sz val="10"/>
        <color theme="1"/>
        <rFont val="Arial"/>
        <family val="2"/>
      </rPr>
      <t>not</t>
    </r>
    <r>
      <rPr>
        <sz val="10"/>
        <color theme="1"/>
        <rFont val="Arial"/>
        <family val="2"/>
      </rPr>
      <t xml:space="preserve"> be included in this section.</t>
    </r>
  </si>
  <si>
    <t xml:space="preserve">Enter 541-1000 for ODCs which support any/all SIN(s) (i.e. 541-1, 541-2, 541-3, 541-4A, 541-4B, 541-4C, 541-4D, 541-4E, 541-4F, 541-4G and 541-5). </t>
  </si>
  <si>
    <t xml:space="preserve">            Advertising and Integrated Marketing Solutions (AIMS )                                             7FCB-H2-07-0541-B                                                                                                 Page 2 of 4</t>
  </si>
  <si>
    <t xml:space="preserve">            Advertising and Integrated Marketing Solutions (AIMS )                                                                                                                           7FCB-H2-07-0541-B                                                                                                                                                                                       Page 1 of 4</t>
  </si>
  <si>
    <t>Advertising and Integrated Marketing Solutions (AIMS )          7FCB-H2-07-0541-B                                       Page 3 of 4</t>
  </si>
  <si>
    <t>Advertising and Integrated Marketing Solutions (AIMS )          7FCB-H2-07-0541-B                                       Page 4 of 4</t>
  </si>
</sst>
</file>

<file path=xl/styles.xml><?xml version="1.0" encoding="utf-8"?>
<styleSheet xmlns="http://schemas.openxmlformats.org/spreadsheetml/2006/main">
  <numFmts count="2">
    <numFmt numFmtId="8" formatCode="&quot;$&quot;#,##0.00_);[Red]\(&quot;$&quot;#,##0.00\)"/>
    <numFmt numFmtId="44" formatCode="_(&quot;$&quot;* #,##0.00_);_(&quot;$&quot;* \(#,##0.00\);_(&quot;$&quot;* &quot;-&quot;??_);_(@_)"/>
  </numFmts>
  <fonts count="16">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u/>
      <sz val="10"/>
      <color theme="1"/>
      <name val="Arial"/>
      <family val="2"/>
    </font>
    <font>
      <b/>
      <i/>
      <sz val="10"/>
      <color theme="1"/>
      <name val="Arial"/>
      <family val="2"/>
    </font>
    <font>
      <sz val="10"/>
      <color theme="1"/>
      <name val="Arial"/>
      <family val="2"/>
    </font>
    <font>
      <u/>
      <sz val="10"/>
      <color theme="1"/>
      <name val="Arial"/>
      <family val="2"/>
    </font>
    <font>
      <b/>
      <sz val="10"/>
      <color theme="1"/>
      <name val="Arial"/>
      <family val="2"/>
    </font>
    <font>
      <b/>
      <i/>
      <u/>
      <sz val="10"/>
      <color theme="1"/>
      <name val="Arial"/>
      <family val="2"/>
    </font>
    <font>
      <b/>
      <sz val="12"/>
      <color theme="1"/>
      <name val="Arial"/>
      <family val="2"/>
    </font>
    <font>
      <u/>
      <sz val="11"/>
      <color theme="10"/>
      <name val="Calibri"/>
      <family val="2"/>
    </font>
    <font>
      <b/>
      <i/>
      <sz val="12"/>
      <color theme="1"/>
      <name val="Calibri"/>
      <family val="2"/>
      <scheme val="minor"/>
    </font>
    <font>
      <b/>
      <i/>
      <u/>
      <sz val="12"/>
      <color theme="1"/>
      <name val="Calibri"/>
      <family val="2"/>
      <scheme val="minor"/>
    </font>
    <font>
      <b/>
      <sz val="11"/>
      <color theme="1"/>
      <name val="Arial"/>
      <family val="2"/>
    </font>
    <font>
      <b/>
      <sz val="14"/>
      <color indexed="10"/>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alignment vertical="top"/>
      <protection locked="0"/>
    </xf>
  </cellStyleXfs>
  <cellXfs count="70">
    <xf numFmtId="0" fontId="0" fillId="0" borderId="0" xfId="0"/>
    <xf numFmtId="0" fontId="0" fillId="0" borderId="0" xfId="0" applyAlignment="1">
      <alignment wrapText="1"/>
    </xf>
    <xf numFmtId="0" fontId="0" fillId="0" borderId="1" xfId="0" applyBorder="1"/>
    <xf numFmtId="0" fontId="2" fillId="0" borderId="0" xfId="0" applyFont="1"/>
    <xf numFmtId="0" fontId="0" fillId="0" borderId="2" xfId="0" applyBorder="1"/>
    <xf numFmtId="0" fontId="0" fillId="0" borderId="0" xfId="0" applyBorder="1"/>
    <xf numFmtId="0" fontId="4" fillId="0" borderId="0" xfId="0" applyFont="1"/>
    <xf numFmtId="0" fontId="5" fillId="0" borderId="0" xfId="0" applyFont="1"/>
    <xf numFmtId="0" fontId="4" fillId="0" borderId="0" xfId="0" applyFont="1" applyAlignment="1">
      <alignment wrapText="1"/>
    </xf>
    <xf numFmtId="0" fontId="6" fillId="0" borderId="0" xfId="0" applyFont="1" applyAlignment="1">
      <alignment wrapText="1"/>
    </xf>
    <xf numFmtId="0" fontId="2" fillId="0" borderId="1" xfId="0" applyFont="1" applyBorder="1" applyAlignment="1">
      <alignment horizontal="center" wrapText="1"/>
    </xf>
    <xf numFmtId="0" fontId="6" fillId="2" borderId="0" xfId="0" applyFont="1" applyFill="1" applyAlignment="1"/>
    <xf numFmtId="0" fontId="2" fillId="0" borderId="0" xfId="0" applyFont="1" applyAlignment="1">
      <alignment horizontal="center"/>
    </xf>
    <xf numFmtId="0" fontId="0" fillId="0" borderId="1" xfId="0" applyBorder="1" applyAlignment="1">
      <alignment horizontal="center"/>
    </xf>
    <xf numFmtId="44" fontId="0" fillId="0" borderId="1" xfId="1" applyFont="1" applyBorder="1" applyAlignment="1">
      <alignment horizontal="center"/>
    </xf>
    <xf numFmtId="44" fontId="0" fillId="0" borderId="1" xfId="0" applyNumberFormat="1" applyBorder="1" applyAlignment="1">
      <alignment horizontal="center"/>
    </xf>
    <xf numFmtId="0" fontId="0" fillId="0" borderId="1" xfId="0" applyBorder="1" applyAlignment="1">
      <alignment horizontal="center" wrapText="1"/>
    </xf>
    <xf numFmtId="8" fontId="0" fillId="0" borderId="0" xfId="0" applyNumberFormat="1"/>
    <xf numFmtId="9" fontId="0" fillId="0" borderId="0" xfId="0" applyNumberFormat="1"/>
    <xf numFmtId="0" fontId="2" fillId="0" borderId="0" xfId="0" applyFont="1" applyBorder="1" applyAlignment="1">
      <alignment horizontal="center" wrapText="1"/>
    </xf>
    <xf numFmtId="0" fontId="0" fillId="0" borderId="0" xfId="0" applyBorder="1" applyAlignment="1">
      <alignment horizontal="center"/>
    </xf>
    <xf numFmtId="44" fontId="0" fillId="0" borderId="0" xfId="1" applyFont="1" applyBorder="1" applyAlignment="1">
      <alignment horizontal="center"/>
    </xf>
    <xf numFmtId="0" fontId="0" fillId="0" borderId="0" xfId="0" applyBorder="1" applyAlignment="1">
      <alignment horizontal="center" wrapText="1"/>
    </xf>
    <xf numFmtId="9" fontId="0" fillId="0" borderId="0" xfId="0" applyNumberFormat="1" applyBorder="1" applyAlignment="1">
      <alignment horizontal="center"/>
    </xf>
    <xf numFmtId="0" fontId="6" fillId="0" borderId="0" xfId="0" applyFont="1" applyAlignment="1">
      <alignment vertical="top" wrapText="1"/>
    </xf>
    <xf numFmtId="0" fontId="5"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xf>
    <xf numFmtId="0" fontId="8" fillId="0" borderId="0" xfId="0" applyFont="1" applyAlignment="1">
      <alignment horizontal="left"/>
    </xf>
    <xf numFmtId="44" fontId="0" fillId="0" borderId="1" xfId="1" applyFont="1" applyBorder="1"/>
    <xf numFmtId="0" fontId="11" fillId="0" borderId="0" xfId="3" applyBorder="1" applyAlignment="1" applyProtection="1"/>
    <xf numFmtId="0" fontId="8" fillId="0" borderId="0" xfId="0" applyFont="1" applyAlignment="1">
      <alignment wrapText="1"/>
    </xf>
    <xf numFmtId="0" fontId="4" fillId="0" borderId="0" xfId="0" applyFont="1" applyAlignment="1">
      <alignment horizontal="left" vertical="top" wrapText="1"/>
    </xf>
    <xf numFmtId="0" fontId="0" fillId="0" borderId="4" xfId="0" applyBorder="1" applyAlignment="1">
      <alignment horizontal="center"/>
    </xf>
    <xf numFmtId="0" fontId="2" fillId="0" borderId="4" xfId="0" applyFont="1" applyBorder="1" applyAlignment="1">
      <alignment horizontal="left"/>
    </xf>
    <xf numFmtId="10" fontId="0" fillId="0" borderId="1" xfId="2" applyNumberFormat="1" applyFont="1" applyBorder="1" applyAlignment="1">
      <alignment horizontal="center"/>
    </xf>
    <xf numFmtId="0" fontId="0" fillId="0" borderId="1" xfId="0" applyFill="1" applyBorder="1" applyAlignment="1">
      <alignment horizontal="center"/>
    </xf>
    <xf numFmtId="0" fontId="2" fillId="0" borderId="1" xfId="0" applyFont="1" applyFill="1" applyBorder="1" applyAlignment="1">
      <alignment horizontal="center" wrapText="1"/>
    </xf>
    <xf numFmtId="44" fontId="0" fillId="0" borderId="1" xfId="1" applyFont="1" applyFill="1" applyBorder="1" applyAlignment="1">
      <alignment horizontal="center"/>
    </xf>
    <xf numFmtId="0" fontId="0" fillId="0" borderId="1" xfId="0" applyFill="1" applyBorder="1" applyAlignment="1">
      <alignment horizontal="center" wrapText="1"/>
    </xf>
    <xf numFmtId="10" fontId="0" fillId="0" borderId="1" xfId="0" applyNumberFormat="1" applyFill="1" applyBorder="1" applyAlignment="1">
      <alignment horizontal="center"/>
    </xf>
    <xf numFmtId="0" fontId="0" fillId="0" borderId="1" xfId="0" applyFill="1" applyBorder="1"/>
    <xf numFmtId="44" fontId="0" fillId="0" borderId="1" xfId="1" applyFont="1" applyFill="1" applyBorder="1"/>
    <xf numFmtId="10" fontId="0" fillId="0" borderId="1" xfId="2" applyNumberFormat="1" applyFont="1" applyFill="1" applyBorder="1" applyAlignment="1">
      <alignment horizontal="center"/>
    </xf>
    <xf numFmtId="0" fontId="2" fillId="0" borderId="0" xfId="0" applyFont="1" applyFill="1" applyBorder="1" applyAlignment="1">
      <alignment horizontal="left"/>
    </xf>
    <xf numFmtId="0" fontId="0" fillId="0" borderId="0" xfId="0" applyFill="1" applyBorder="1" applyAlignment="1">
      <alignment horizontal="right"/>
    </xf>
    <xf numFmtId="0" fontId="0" fillId="0" borderId="0" xfId="0" applyFill="1" applyBorder="1"/>
    <xf numFmtId="0" fontId="11" fillId="0" borderId="0" xfId="3" applyFill="1" applyAlignment="1" applyProtection="1"/>
    <xf numFmtId="44" fontId="0" fillId="0" borderId="0" xfId="1" applyFont="1" applyFill="1" applyBorder="1"/>
    <xf numFmtId="10" fontId="0" fillId="0" borderId="0" xfId="2" applyNumberFormat="1" applyFont="1" applyFill="1" applyBorder="1" applyAlignment="1">
      <alignment horizontal="center"/>
    </xf>
    <xf numFmtId="44" fontId="0" fillId="0" borderId="0" xfId="1" applyFont="1" applyFill="1" applyBorder="1" applyAlignment="1">
      <alignment horizontal="center"/>
    </xf>
    <xf numFmtId="0" fontId="2" fillId="0" borderId="0" xfId="0" applyFont="1" applyFill="1" applyBorder="1" applyAlignment="1"/>
    <xf numFmtId="0" fontId="0" fillId="0" borderId="0" xfId="0" applyFill="1"/>
    <xf numFmtId="0" fontId="2" fillId="0" borderId="0" xfId="0" applyFont="1" applyFill="1"/>
    <xf numFmtId="0" fontId="6" fillId="0" borderId="0" xfId="0" applyFont="1" applyFill="1" applyAlignment="1">
      <alignment wrapText="1"/>
    </xf>
    <xf numFmtId="0" fontId="5" fillId="0" borderId="0" xfId="0" applyFont="1" applyFill="1"/>
    <xf numFmtId="0" fontId="6" fillId="0" borderId="0" xfId="0" applyFont="1" applyFill="1"/>
    <xf numFmtId="0" fontId="5" fillId="0" borderId="0" xfId="0" applyFont="1" applyFill="1" applyAlignment="1">
      <alignment wrapText="1"/>
    </xf>
    <xf numFmtId="0" fontId="6" fillId="0" borderId="0" xfId="0" applyFont="1" applyFill="1" applyAlignment="1">
      <alignment vertical="top" wrapText="1"/>
    </xf>
    <xf numFmtId="0" fontId="10" fillId="0" borderId="0" xfId="0" applyFont="1" applyAlignment="1">
      <alignment horizontal="center"/>
    </xf>
    <xf numFmtId="0" fontId="15" fillId="0" borderId="0" xfId="0" applyNumberFormat="1" applyFont="1" applyFill="1" applyAlignment="1"/>
    <xf numFmtId="0" fontId="14" fillId="3" borderId="0" xfId="0" applyFont="1" applyFill="1" applyAlignment="1">
      <alignment horizontal="left"/>
    </xf>
    <xf numFmtId="0" fontId="14" fillId="3" borderId="0" xfId="0" applyFont="1" applyFill="1" applyAlignment="1">
      <alignment horizontal="center"/>
    </xf>
    <xf numFmtId="0" fontId="14" fillId="0" borderId="0" xfId="0" applyFont="1" applyFill="1" applyAlignment="1">
      <alignment horizontal="center"/>
    </xf>
    <xf numFmtId="0" fontId="10"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3" xfId="0" applyFont="1" applyBorder="1" applyAlignment="1">
      <alignment horizontal="center"/>
    </xf>
    <xf numFmtId="0" fontId="12" fillId="0" borderId="0" xfId="0" applyFont="1" applyAlignment="1">
      <alignment horizontal="left" wrapText="1"/>
    </xf>
    <xf numFmtId="0" fontId="3" fillId="0" borderId="0" xfId="0" applyFont="1" applyBorder="1" applyAlignment="1">
      <alignment horizontal="center"/>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Q31"/>
  <sheetViews>
    <sheetView tabSelected="1" zoomScaleNormal="100" workbookViewId="0">
      <selection activeCell="M13" sqref="M13"/>
    </sheetView>
  </sheetViews>
  <sheetFormatPr defaultRowHeight="15"/>
  <cols>
    <col min="1" max="1" width="10.42578125" customWidth="1"/>
    <col min="2" max="4" width="21.7109375" customWidth="1"/>
    <col min="5" max="5" width="16.42578125" customWidth="1"/>
    <col min="6" max="6" width="13.7109375" customWidth="1"/>
    <col min="7" max="7" width="13.28515625" customWidth="1"/>
    <col min="8" max="8" width="14.42578125" customWidth="1"/>
    <col min="9" max="9" width="13.5703125" customWidth="1"/>
    <col min="10" max="10" width="14" customWidth="1"/>
    <col min="11" max="11" width="13.28515625" customWidth="1"/>
    <col min="12" max="12" width="16.5703125" customWidth="1"/>
    <col min="13" max="13" width="16.28515625" customWidth="1"/>
    <col min="14" max="14" width="14.28515625" customWidth="1"/>
    <col min="15" max="15" width="14.140625" customWidth="1"/>
    <col min="16" max="16" width="14.28515625" customWidth="1"/>
    <col min="17" max="17" width="20.7109375" customWidth="1"/>
  </cols>
  <sheetData>
    <row r="1" spans="1:17">
      <c r="A1" s="11" t="s">
        <v>118</v>
      </c>
      <c r="B1" s="11"/>
      <c r="C1" s="11"/>
      <c r="D1" s="11"/>
      <c r="E1" s="11"/>
      <c r="F1" s="11"/>
      <c r="G1" s="11"/>
      <c r="H1" s="11"/>
      <c r="I1" s="11"/>
      <c r="J1" s="11"/>
      <c r="K1" s="11"/>
      <c r="L1" s="11"/>
      <c r="M1" s="11"/>
      <c r="N1" s="11"/>
      <c r="O1" s="11"/>
      <c r="P1" s="11"/>
      <c r="Q1" s="11"/>
    </row>
    <row r="3" spans="1:17" ht="15.75">
      <c r="A3" s="64" t="s">
        <v>60</v>
      </c>
      <c r="B3" s="64"/>
      <c r="C3" s="64"/>
      <c r="D3" s="64"/>
      <c r="E3" s="64"/>
      <c r="F3" s="64"/>
      <c r="G3" s="64"/>
      <c r="H3" s="64"/>
      <c r="I3" s="64"/>
      <c r="J3" s="64"/>
      <c r="K3" s="64"/>
      <c r="L3" s="64"/>
      <c r="M3" s="64"/>
      <c r="N3" s="64"/>
      <c r="O3" s="64"/>
      <c r="P3" s="64"/>
      <c r="Q3" s="64"/>
    </row>
    <row r="4" spans="1:17" ht="18">
      <c r="A4" s="60" t="s">
        <v>113</v>
      </c>
      <c r="B4" s="59"/>
      <c r="C4" s="59"/>
      <c r="D4" s="59"/>
      <c r="E4" s="59"/>
      <c r="F4" s="59"/>
      <c r="G4" s="59"/>
      <c r="H4" s="59"/>
      <c r="I4" s="59"/>
      <c r="J4" s="59"/>
      <c r="K4" s="59"/>
      <c r="L4" s="59"/>
      <c r="M4" s="59"/>
      <c r="N4" s="59"/>
      <c r="O4" s="59"/>
      <c r="P4" s="59"/>
      <c r="Q4" s="59"/>
    </row>
    <row r="5" spans="1:17" ht="15.75">
      <c r="A5" s="59"/>
      <c r="B5" s="59"/>
      <c r="C5" s="59"/>
      <c r="D5" s="59"/>
      <c r="E5" s="59"/>
      <c r="F5" s="59"/>
      <c r="G5" s="59"/>
      <c r="H5" s="59"/>
      <c r="I5" s="59"/>
      <c r="J5" s="59"/>
      <c r="K5" s="59"/>
      <c r="L5" s="59"/>
      <c r="M5" s="59"/>
      <c r="N5" s="59"/>
      <c r="O5" s="59"/>
      <c r="P5" s="59"/>
      <c r="Q5" s="59"/>
    </row>
    <row r="6" spans="1:17" ht="15.75">
      <c r="A6" s="61" t="s">
        <v>107</v>
      </c>
      <c r="B6" s="62"/>
      <c r="C6" s="62"/>
      <c r="D6" s="62"/>
      <c r="E6" s="62"/>
      <c r="F6" s="62"/>
      <c r="G6" s="62"/>
      <c r="H6" s="62"/>
      <c r="I6" s="62"/>
      <c r="J6" s="62"/>
      <c r="K6" s="62"/>
      <c r="L6" s="62"/>
      <c r="M6" s="62"/>
      <c r="N6" s="63"/>
      <c r="O6" s="59"/>
      <c r="P6" s="59"/>
      <c r="Q6" s="59"/>
    </row>
    <row r="7" spans="1:17" ht="15.75">
      <c r="A7" s="61" t="s">
        <v>108</v>
      </c>
      <c r="B7" s="62"/>
      <c r="C7" s="62"/>
      <c r="D7" s="62"/>
      <c r="E7" s="62"/>
      <c r="F7" s="62"/>
      <c r="G7" s="62"/>
      <c r="H7" s="62"/>
      <c r="I7" s="62"/>
      <c r="J7" s="62"/>
      <c r="K7" s="62"/>
      <c r="L7" s="62"/>
      <c r="M7" s="62"/>
      <c r="N7" s="63"/>
      <c r="O7" s="59"/>
      <c r="P7" s="59"/>
      <c r="Q7" s="59"/>
    </row>
    <row r="8" spans="1:17" ht="15.75">
      <c r="A8" s="61" t="s">
        <v>109</v>
      </c>
      <c r="B8" s="62"/>
      <c r="C8" s="62"/>
      <c r="D8" s="62"/>
      <c r="E8" s="62"/>
      <c r="F8" s="62"/>
      <c r="G8" s="62"/>
      <c r="H8" s="62"/>
      <c r="I8" s="62"/>
      <c r="J8" s="62"/>
      <c r="K8" s="62"/>
      <c r="L8" s="62"/>
      <c r="M8" s="62"/>
      <c r="N8" s="63"/>
      <c r="O8" s="59"/>
      <c r="P8" s="59"/>
      <c r="Q8" s="59"/>
    </row>
    <row r="9" spans="1:17" ht="15.75">
      <c r="A9" s="61"/>
      <c r="B9" s="62"/>
      <c r="C9" s="62"/>
      <c r="D9" s="62"/>
      <c r="E9" s="62"/>
      <c r="F9" s="62"/>
      <c r="G9" s="62"/>
      <c r="H9" s="62"/>
      <c r="I9" s="62"/>
      <c r="J9" s="62"/>
      <c r="K9" s="62"/>
      <c r="L9" s="62"/>
      <c r="M9" s="62"/>
      <c r="N9" s="63"/>
      <c r="O9" s="59"/>
      <c r="P9" s="59"/>
      <c r="Q9" s="59"/>
    </row>
    <row r="10" spans="1:17" ht="15.75">
      <c r="A10" s="61" t="s">
        <v>110</v>
      </c>
      <c r="B10" s="62"/>
      <c r="C10" s="62"/>
      <c r="D10" s="62"/>
      <c r="E10" s="62"/>
      <c r="F10" s="62"/>
      <c r="G10" s="62"/>
      <c r="H10" s="62"/>
      <c r="I10" s="62"/>
      <c r="J10" s="62"/>
      <c r="K10" s="62"/>
      <c r="L10" s="62"/>
      <c r="M10" s="62"/>
      <c r="N10" s="63"/>
      <c r="O10" s="59"/>
      <c r="P10" s="59"/>
      <c r="Q10" s="59"/>
    </row>
    <row r="11" spans="1:17" ht="15.75">
      <c r="A11" s="61" t="s">
        <v>111</v>
      </c>
      <c r="B11" s="62"/>
      <c r="C11" s="62"/>
      <c r="D11" s="62"/>
      <c r="E11" s="62"/>
      <c r="F11" s="62"/>
      <c r="G11" s="62"/>
      <c r="H11" s="62"/>
      <c r="I11" s="62"/>
      <c r="J11" s="62"/>
      <c r="K11" s="62"/>
      <c r="L11" s="62"/>
      <c r="M11" s="62"/>
      <c r="N11" s="63"/>
      <c r="O11" s="59"/>
      <c r="P11" s="59"/>
      <c r="Q11" s="59"/>
    </row>
    <row r="12" spans="1:17" ht="15.75">
      <c r="A12" s="61" t="s">
        <v>112</v>
      </c>
      <c r="B12" s="62"/>
      <c r="C12" s="62"/>
      <c r="D12" s="62"/>
      <c r="E12" s="62"/>
      <c r="F12" s="62"/>
      <c r="G12" s="62"/>
      <c r="H12" s="62"/>
      <c r="I12" s="62"/>
      <c r="J12" s="62"/>
      <c r="K12" s="62"/>
      <c r="L12" s="62"/>
      <c r="M12" s="62"/>
      <c r="N12" s="63"/>
      <c r="O12" s="59"/>
      <c r="P12" s="59"/>
      <c r="Q12" s="59"/>
    </row>
    <row r="14" spans="1:17" ht="15.75" thickBot="1">
      <c r="A14" s="65" t="s">
        <v>57</v>
      </c>
      <c r="B14" s="66"/>
      <c r="C14" s="4"/>
      <c r="D14" s="4"/>
      <c r="E14" s="4"/>
      <c r="F14" s="4"/>
      <c r="G14" s="5"/>
      <c r="H14" s="5"/>
      <c r="I14" s="5"/>
      <c r="J14" s="5"/>
      <c r="K14" s="5"/>
      <c r="L14" s="5"/>
      <c r="M14" s="5"/>
      <c r="N14" s="5"/>
      <c r="O14" s="5"/>
      <c r="P14" s="5"/>
    </row>
    <row r="15" spans="1:17">
      <c r="A15" s="3"/>
      <c r="B15" s="3"/>
      <c r="C15" s="3"/>
      <c r="D15" s="3"/>
      <c r="E15" s="3"/>
      <c r="F15" s="3"/>
      <c r="G15" s="5"/>
      <c r="H15" s="5"/>
      <c r="I15" s="5"/>
      <c r="J15" s="5"/>
      <c r="K15" s="5"/>
      <c r="L15" s="5"/>
      <c r="M15" s="5"/>
      <c r="N15" s="5"/>
      <c r="O15" s="5"/>
      <c r="P15" s="5"/>
    </row>
    <row r="16" spans="1:17" ht="15" customHeight="1">
      <c r="A16" s="67" t="s">
        <v>24</v>
      </c>
      <c r="B16" s="67"/>
      <c r="C16" s="67"/>
      <c r="D16" s="67"/>
      <c r="E16" s="67"/>
      <c r="F16" s="67"/>
      <c r="G16" s="67"/>
      <c r="H16" s="67"/>
      <c r="I16" s="67"/>
      <c r="J16" s="67"/>
      <c r="K16" s="67"/>
      <c r="L16" s="67"/>
      <c r="M16" s="67"/>
      <c r="N16" s="67"/>
      <c r="O16" s="67"/>
      <c r="P16" s="67"/>
      <c r="Q16" s="67"/>
    </row>
    <row r="17" spans="1:17" s="1" customFormat="1" ht="81.75" customHeight="1">
      <c r="A17" s="37" t="s">
        <v>18</v>
      </c>
      <c r="B17" s="37" t="s">
        <v>70</v>
      </c>
      <c r="C17" s="37" t="s">
        <v>71</v>
      </c>
      <c r="D17" s="37" t="s">
        <v>72</v>
      </c>
      <c r="E17" s="37" t="s">
        <v>73</v>
      </c>
      <c r="F17" s="37" t="s">
        <v>74</v>
      </c>
      <c r="G17" s="37" t="s">
        <v>58</v>
      </c>
      <c r="H17" s="37" t="s">
        <v>19</v>
      </c>
      <c r="I17" s="37" t="s">
        <v>82</v>
      </c>
      <c r="J17" s="37" t="s">
        <v>84</v>
      </c>
      <c r="K17" s="37" t="s">
        <v>76</v>
      </c>
      <c r="L17" s="37" t="s">
        <v>79</v>
      </c>
      <c r="M17" s="37" t="s">
        <v>78</v>
      </c>
      <c r="N17" s="37" t="s">
        <v>21</v>
      </c>
      <c r="O17" s="10" t="s">
        <v>6</v>
      </c>
      <c r="P17" s="10" t="s">
        <v>1</v>
      </c>
      <c r="Q17" s="10" t="s">
        <v>2</v>
      </c>
    </row>
    <row r="18" spans="1:17" ht="45">
      <c r="A18" s="36" t="s">
        <v>3</v>
      </c>
      <c r="B18" s="36" t="s">
        <v>4</v>
      </c>
      <c r="C18" s="36" t="s">
        <v>77</v>
      </c>
      <c r="D18" s="36">
        <v>8</v>
      </c>
      <c r="E18" s="36" t="s">
        <v>75</v>
      </c>
      <c r="F18" s="36" t="s">
        <v>83</v>
      </c>
      <c r="G18" s="38">
        <v>150</v>
      </c>
      <c r="H18" s="36" t="s">
        <v>5</v>
      </c>
      <c r="I18" s="39" t="s">
        <v>20</v>
      </c>
      <c r="J18" s="40">
        <v>0.05</v>
      </c>
      <c r="K18" s="38">
        <f>G18-(G18*J18)</f>
        <v>142.5</v>
      </c>
      <c r="L18" s="38" t="s">
        <v>80</v>
      </c>
      <c r="M18" s="38">
        <v>120</v>
      </c>
      <c r="N18" s="40">
        <v>0.1</v>
      </c>
      <c r="O18" s="14">
        <f>G18-(G18*N18)</f>
        <v>135</v>
      </c>
      <c r="P18" s="14">
        <f>O18/0.9925</f>
        <v>136.02015113350126</v>
      </c>
      <c r="Q18" s="13">
        <v>123456</v>
      </c>
    </row>
    <row r="19" spans="1:17">
      <c r="A19" s="41"/>
      <c r="B19" s="41"/>
      <c r="C19" s="41"/>
      <c r="D19" s="41"/>
      <c r="E19" s="41"/>
      <c r="F19" s="41"/>
      <c r="G19" s="42"/>
      <c r="H19" s="41"/>
      <c r="I19" s="41"/>
      <c r="J19" s="43"/>
      <c r="K19" s="38">
        <f t="shared" ref="K19:K26" si="0">G19-(G19*J19)</f>
        <v>0</v>
      </c>
      <c r="L19" s="38"/>
      <c r="M19" s="38"/>
      <c r="N19" s="43"/>
      <c r="O19" s="14">
        <f t="shared" ref="O19:O26" si="1">G19-(G19*N19)</f>
        <v>0</v>
      </c>
      <c r="P19" s="14">
        <f t="shared" ref="P19:P26" si="2">O19/0.9925</f>
        <v>0</v>
      </c>
      <c r="Q19" s="2"/>
    </row>
    <row r="20" spans="1:17">
      <c r="A20" s="41"/>
      <c r="B20" s="41"/>
      <c r="C20" s="41"/>
      <c r="D20" s="41"/>
      <c r="E20" s="41"/>
      <c r="F20" s="41"/>
      <c r="G20" s="42"/>
      <c r="H20" s="41"/>
      <c r="I20" s="41"/>
      <c r="J20" s="43"/>
      <c r="K20" s="38">
        <f t="shared" si="0"/>
        <v>0</v>
      </c>
      <c r="L20" s="38"/>
      <c r="M20" s="38"/>
      <c r="N20" s="43"/>
      <c r="O20" s="14">
        <f t="shared" si="1"/>
        <v>0</v>
      </c>
      <c r="P20" s="14">
        <f t="shared" si="2"/>
        <v>0</v>
      </c>
      <c r="Q20" s="2"/>
    </row>
    <row r="21" spans="1:17">
      <c r="A21" s="41"/>
      <c r="B21" s="41"/>
      <c r="C21" s="41"/>
      <c r="D21" s="41"/>
      <c r="E21" s="41"/>
      <c r="F21" s="41"/>
      <c r="G21" s="42"/>
      <c r="H21" s="41"/>
      <c r="I21" s="41"/>
      <c r="J21" s="43"/>
      <c r="K21" s="38">
        <f t="shared" si="0"/>
        <v>0</v>
      </c>
      <c r="L21" s="38"/>
      <c r="M21" s="38"/>
      <c r="N21" s="43"/>
      <c r="O21" s="14">
        <f t="shared" si="1"/>
        <v>0</v>
      </c>
      <c r="P21" s="14">
        <f t="shared" si="2"/>
        <v>0</v>
      </c>
      <c r="Q21" s="2"/>
    </row>
    <row r="22" spans="1:17">
      <c r="A22" s="41"/>
      <c r="B22" s="41"/>
      <c r="C22" s="41"/>
      <c r="D22" s="41"/>
      <c r="E22" s="41"/>
      <c r="F22" s="41"/>
      <c r="G22" s="42"/>
      <c r="H22" s="41"/>
      <c r="I22" s="41"/>
      <c r="J22" s="43"/>
      <c r="K22" s="38">
        <f t="shared" si="0"/>
        <v>0</v>
      </c>
      <c r="L22" s="38"/>
      <c r="M22" s="38"/>
      <c r="N22" s="43"/>
      <c r="O22" s="14">
        <f t="shared" si="1"/>
        <v>0</v>
      </c>
      <c r="P22" s="14">
        <f t="shared" si="2"/>
        <v>0</v>
      </c>
      <c r="Q22" s="2"/>
    </row>
    <row r="23" spans="1:17">
      <c r="A23" s="41"/>
      <c r="B23" s="41"/>
      <c r="C23" s="41"/>
      <c r="D23" s="41"/>
      <c r="E23" s="41"/>
      <c r="F23" s="41"/>
      <c r="G23" s="42"/>
      <c r="H23" s="41"/>
      <c r="I23" s="41"/>
      <c r="J23" s="43"/>
      <c r="K23" s="38">
        <f t="shared" si="0"/>
        <v>0</v>
      </c>
      <c r="L23" s="38"/>
      <c r="M23" s="38"/>
      <c r="N23" s="43"/>
      <c r="O23" s="14">
        <f t="shared" si="1"/>
        <v>0</v>
      </c>
      <c r="P23" s="14">
        <f t="shared" si="2"/>
        <v>0</v>
      </c>
      <c r="Q23" s="2"/>
    </row>
    <row r="24" spans="1:17">
      <c r="A24" s="41"/>
      <c r="B24" s="41"/>
      <c r="C24" s="41"/>
      <c r="D24" s="41"/>
      <c r="E24" s="41"/>
      <c r="F24" s="41"/>
      <c r="G24" s="42"/>
      <c r="H24" s="41"/>
      <c r="I24" s="41"/>
      <c r="J24" s="43"/>
      <c r="K24" s="38">
        <f t="shared" si="0"/>
        <v>0</v>
      </c>
      <c r="L24" s="38"/>
      <c r="M24" s="38"/>
      <c r="N24" s="43"/>
      <c r="O24" s="14">
        <f t="shared" si="1"/>
        <v>0</v>
      </c>
      <c r="P24" s="14">
        <f t="shared" si="2"/>
        <v>0</v>
      </c>
      <c r="Q24" s="2"/>
    </row>
    <row r="25" spans="1:17">
      <c r="A25" s="41"/>
      <c r="B25" s="41"/>
      <c r="C25" s="41"/>
      <c r="D25" s="41"/>
      <c r="E25" s="41"/>
      <c r="F25" s="41"/>
      <c r="G25" s="42"/>
      <c r="H25" s="41"/>
      <c r="I25" s="41"/>
      <c r="J25" s="43"/>
      <c r="K25" s="38">
        <f t="shared" si="0"/>
        <v>0</v>
      </c>
      <c r="L25" s="38"/>
      <c r="M25" s="38"/>
      <c r="N25" s="43"/>
      <c r="O25" s="14">
        <f t="shared" si="1"/>
        <v>0</v>
      </c>
      <c r="P25" s="14">
        <f t="shared" si="2"/>
        <v>0</v>
      </c>
      <c r="Q25" s="2"/>
    </row>
    <row r="26" spans="1:17">
      <c r="A26" s="41"/>
      <c r="B26" s="41"/>
      <c r="C26" s="41"/>
      <c r="D26" s="41"/>
      <c r="E26" s="41"/>
      <c r="F26" s="41"/>
      <c r="G26" s="42"/>
      <c r="H26" s="41"/>
      <c r="I26" s="41"/>
      <c r="J26" s="43"/>
      <c r="K26" s="38">
        <f t="shared" si="0"/>
        <v>0</v>
      </c>
      <c r="L26" s="38"/>
      <c r="M26" s="38"/>
      <c r="N26" s="43"/>
      <c r="O26" s="14">
        <f t="shared" si="1"/>
        <v>0</v>
      </c>
      <c r="P26" s="14">
        <f t="shared" si="2"/>
        <v>0</v>
      </c>
      <c r="Q26" s="2"/>
    </row>
    <row r="27" spans="1:17" s="5" customFormat="1">
      <c r="A27" s="44" t="s">
        <v>81</v>
      </c>
      <c r="B27" s="45"/>
      <c r="C27" s="46"/>
      <c r="D27" s="46"/>
      <c r="E27" s="47" t="s">
        <v>25</v>
      </c>
      <c r="F27" s="46"/>
      <c r="G27" s="48"/>
      <c r="H27" s="46"/>
      <c r="I27" s="46"/>
      <c r="J27" s="49"/>
      <c r="K27" s="50"/>
      <c r="L27" s="50"/>
      <c r="M27" s="50"/>
      <c r="N27" s="49"/>
      <c r="O27" s="21"/>
      <c r="P27" s="21"/>
    </row>
    <row r="28" spans="1:17" s="5" customFormat="1">
      <c r="A28" s="46"/>
      <c r="B28" s="46"/>
      <c r="C28" s="46"/>
      <c r="D28" s="46"/>
      <c r="E28" s="46"/>
      <c r="F28" s="46"/>
      <c r="G28" s="48"/>
      <c r="H28" s="46"/>
      <c r="I28" s="46"/>
      <c r="J28" s="49"/>
      <c r="K28" s="50"/>
      <c r="L28" s="50"/>
      <c r="M28" s="50"/>
      <c r="N28" s="49"/>
      <c r="O28" s="21"/>
      <c r="P28" s="21"/>
    </row>
    <row r="29" spans="1:17">
      <c r="A29" s="51" t="s">
        <v>106</v>
      </c>
      <c r="B29" s="52"/>
      <c r="C29" s="52"/>
      <c r="D29" s="52"/>
      <c r="E29" s="52"/>
      <c r="F29" s="52"/>
      <c r="G29" s="52"/>
      <c r="H29" s="52"/>
      <c r="I29" s="52"/>
      <c r="J29" s="52"/>
      <c r="K29" s="52"/>
      <c r="L29" s="52"/>
      <c r="M29" s="52"/>
      <c r="N29" s="52"/>
    </row>
    <row r="30" spans="1:17">
      <c r="A30" s="52"/>
      <c r="B30" s="52"/>
      <c r="C30" s="52"/>
      <c r="D30" s="52"/>
      <c r="E30" s="52"/>
      <c r="F30" s="52"/>
      <c r="G30" s="52"/>
      <c r="H30" s="52"/>
      <c r="I30" s="52"/>
      <c r="J30" s="52"/>
      <c r="K30" s="52"/>
      <c r="L30" s="52"/>
      <c r="M30" s="52"/>
      <c r="N30" s="52"/>
    </row>
    <row r="31" spans="1:17">
      <c r="A31" s="53" t="s">
        <v>105</v>
      </c>
      <c r="B31" s="52"/>
      <c r="C31" s="52"/>
      <c r="D31" s="52"/>
      <c r="E31" s="52"/>
      <c r="F31" s="52"/>
      <c r="G31" s="52"/>
      <c r="H31" s="52"/>
      <c r="I31" s="52"/>
      <c r="J31" s="52"/>
      <c r="K31" s="52"/>
      <c r="L31" s="52"/>
      <c r="M31" s="52"/>
      <c r="N31" s="52"/>
    </row>
  </sheetData>
  <mergeCells count="3">
    <mergeCell ref="A3:Q3"/>
    <mergeCell ref="A14:B14"/>
    <mergeCell ref="A16:Q16"/>
  </mergeCells>
  <hyperlinks>
    <hyperlink ref="E27" location="'Enclosure A'!A1" display="Enclosure A"/>
  </hyperlinks>
  <pageMargins left="0.7" right="0.7" top="0.75" bottom="0.75" header="0.3" footer="0.3"/>
  <pageSetup scale="46" orientation="landscape" r:id="rId1"/>
</worksheet>
</file>

<file path=xl/worksheets/sheet2.xml><?xml version="1.0" encoding="utf-8"?>
<worksheet xmlns="http://schemas.openxmlformats.org/spreadsheetml/2006/main" xmlns:r="http://schemas.openxmlformats.org/officeDocument/2006/relationships">
  <dimension ref="A1:K29"/>
  <sheetViews>
    <sheetView zoomScaleNormal="100" workbookViewId="0">
      <selection activeCell="K17" sqref="K17"/>
    </sheetView>
  </sheetViews>
  <sheetFormatPr defaultRowHeight="15"/>
  <cols>
    <col min="1" max="1" width="13.140625" customWidth="1"/>
    <col min="2" max="2" width="21.7109375" customWidth="1"/>
    <col min="3" max="3" width="14.140625" customWidth="1"/>
    <col min="4" max="4" width="14.42578125" customWidth="1"/>
    <col min="5" max="5" width="13.5703125" customWidth="1"/>
    <col min="6" max="6" width="13" customWidth="1"/>
    <col min="7" max="7" width="15" customWidth="1"/>
    <col min="8" max="8" width="14.28515625" customWidth="1"/>
    <col min="9" max="9" width="16.7109375" customWidth="1"/>
    <col min="10" max="10" width="16.42578125" customWidth="1"/>
    <col min="11" max="11" width="20.7109375" customWidth="1"/>
  </cols>
  <sheetData>
    <row r="1" spans="1:11">
      <c r="A1" s="11" t="s">
        <v>117</v>
      </c>
      <c r="B1" s="11"/>
      <c r="C1" s="11"/>
      <c r="D1" s="11"/>
      <c r="E1" s="11"/>
      <c r="F1" s="11"/>
      <c r="G1" s="11"/>
      <c r="H1" s="11"/>
      <c r="I1" s="11"/>
      <c r="J1" s="11"/>
      <c r="K1" s="11"/>
    </row>
    <row r="3" spans="1:11" ht="15.75">
      <c r="A3" s="64" t="s">
        <v>61</v>
      </c>
      <c r="B3" s="64"/>
      <c r="C3" s="64"/>
      <c r="D3" s="64"/>
      <c r="E3" s="64"/>
      <c r="F3" s="64"/>
      <c r="G3" s="64"/>
      <c r="H3" s="64"/>
      <c r="I3" s="64"/>
      <c r="J3" s="64"/>
      <c r="K3" s="64"/>
    </row>
    <row r="5" spans="1:11" ht="15.75" thickBot="1">
      <c r="A5" s="65" t="s">
        <v>57</v>
      </c>
      <c r="B5" s="66"/>
      <c r="C5" s="4"/>
      <c r="D5" s="4"/>
      <c r="E5" s="4"/>
      <c r="F5" s="4"/>
      <c r="G5" s="5"/>
      <c r="H5" s="5"/>
      <c r="I5" s="5"/>
      <c r="J5" s="5"/>
    </row>
    <row r="6" spans="1:11">
      <c r="A6" s="3"/>
      <c r="B6" s="3"/>
      <c r="C6" s="5"/>
      <c r="D6" s="5"/>
      <c r="E6" s="5"/>
      <c r="F6" s="5"/>
      <c r="G6" s="5"/>
      <c r="H6" s="5"/>
      <c r="I6" s="5"/>
      <c r="J6" s="5"/>
    </row>
    <row r="7" spans="1:11" ht="15" customHeight="1">
      <c r="A7" s="69" t="s">
        <v>23</v>
      </c>
      <c r="B7" s="69"/>
      <c r="C7" s="69"/>
      <c r="D7" s="69"/>
      <c r="E7" s="69"/>
      <c r="F7" s="69"/>
      <c r="G7" s="69"/>
      <c r="H7" s="69"/>
      <c r="I7" s="69"/>
      <c r="J7" s="69"/>
    </row>
    <row r="8" spans="1:11" ht="15" customHeight="1">
      <c r="A8" s="67" t="s">
        <v>22</v>
      </c>
      <c r="B8" s="67"/>
      <c r="C8" s="67"/>
      <c r="D8" s="67"/>
      <c r="E8" s="67"/>
      <c r="F8" s="67"/>
      <c r="G8" s="67"/>
      <c r="H8" s="67"/>
      <c r="I8" s="67"/>
      <c r="J8" s="67"/>
    </row>
    <row r="9" spans="1:11" ht="74.25" customHeight="1">
      <c r="A9" s="10" t="s">
        <v>18</v>
      </c>
      <c r="B9" s="10" t="s">
        <v>26</v>
      </c>
      <c r="C9" s="10" t="s">
        <v>43</v>
      </c>
      <c r="D9" s="10" t="s">
        <v>19</v>
      </c>
      <c r="E9" s="10" t="s">
        <v>0</v>
      </c>
      <c r="F9" s="10" t="s">
        <v>27</v>
      </c>
      <c r="G9" s="10" t="s">
        <v>28</v>
      </c>
      <c r="H9" s="10" t="s">
        <v>59</v>
      </c>
      <c r="I9" s="10" t="s">
        <v>42</v>
      </c>
      <c r="J9" s="10" t="s">
        <v>29</v>
      </c>
      <c r="K9" s="10" t="s">
        <v>2</v>
      </c>
    </row>
    <row r="10" spans="1:11" ht="45">
      <c r="A10" s="16" t="s">
        <v>114</v>
      </c>
      <c r="B10" s="13" t="s">
        <v>7</v>
      </c>
      <c r="C10" s="14">
        <v>100</v>
      </c>
      <c r="D10" s="13" t="s">
        <v>5</v>
      </c>
      <c r="E10" s="16" t="s">
        <v>20</v>
      </c>
      <c r="F10" s="35">
        <v>0.1</v>
      </c>
      <c r="G10" s="15">
        <f>SUM(C10)+SUM(C10*F10)</f>
        <v>110</v>
      </c>
      <c r="H10" s="35">
        <v>0.05</v>
      </c>
      <c r="I10" s="15">
        <f>SUM(C10)+SUM(C10*H10)</f>
        <v>105</v>
      </c>
      <c r="J10" s="14">
        <f>I10/0.9925</f>
        <v>105.79345088161209</v>
      </c>
      <c r="K10" s="13">
        <v>123456</v>
      </c>
    </row>
    <row r="11" spans="1:11">
      <c r="A11" s="2"/>
      <c r="B11" s="2"/>
      <c r="C11" s="29"/>
      <c r="D11" s="2"/>
      <c r="E11" s="2"/>
      <c r="F11" s="35"/>
      <c r="G11" s="15">
        <f t="shared" ref="G11:G16" si="0">SUM(C11)+SUM(C11*F11)</f>
        <v>0</v>
      </c>
      <c r="H11" s="35"/>
      <c r="I11" s="15">
        <f t="shared" ref="I11:I16" si="1">SUM(C11)+SUM(C11*H11)</f>
        <v>0</v>
      </c>
      <c r="J11" s="14">
        <f t="shared" ref="J11:J16" si="2">I11/0.9925</f>
        <v>0</v>
      </c>
      <c r="K11" s="2"/>
    </row>
    <row r="12" spans="1:11">
      <c r="A12" s="2"/>
      <c r="B12" s="2"/>
      <c r="C12" s="29"/>
      <c r="D12" s="2"/>
      <c r="E12" s="2"/>
      <c r="F12" s="35"/>
      <c r="G12" s="15">
        <f t="shared" si="0"/>
        <v>0</v>
      </c>
      <c r="H12" s="35"/>
      <c r="I12" s="15">
        <f t="shared" si="1"/>
        <v>0</v>
      </c>
      <c r="J12" s="14">
        <f t="shared" si="2"/>
        <v>0</v>
      </c>
      <c r="K12" s="2"/>
    </row>
    <row r="13" spans="1:11">
      <c r="A13" s="2"/>
      <c r="B13" s="2"/>
      <c r="C13" s="29"/>
      <c r="D13" s="2"/>
      <c r="E13" s="2"/>
      <c r="F13" s="35"/>
      <c r="G13" s="15">
        <f t="shared" si="0"/>
        <v>0</v>
      </c>
      <c r="H13" s="35"/>
      <c r="I13" s="15">
        <f t="shared" si="1"/>
        <v>0</v>
      </c>
      <c r="J13" s="14">
        <f t="shared" si="2"/>
        <v>0</v>
      </c>
      <c r="K13" s="2"/>
    </row>
    <row r="14" spans="1:11">
      <c r="A14" s="2"/>
      <c r="B14" s="2"/>
      <c r="C14" s="29"/>
      <c r="D14" s="2"/>
      <c r="E14" s="2"/>
      <c r="F14" s="35"/>
      <c r="G14" s="15">
        <f t="shared" si="0"/>
        <v>0</v>
      </c>
      <c r="H14" s="35"/>
      <c r="I14" s="15">
        <f t="shared" si="1"/>
        <v>0</v>
      </c>
      <c r="J14" s="14">
        <f t="shared" si="2"/>
        <v>0</v>
      </c>
      <c r="K14" s="2"/>
    </row>
    <row r="15" spans="1:11">
      <c r="A15" s="2"/>
      <c r="B15" s="2"/>
      <c r="C15" s="29"/>
      <c r="D15" s="2"/>
      <c r="E15" s="2"/>
      <c r="F15" s="35"/>
      <c r="G15" s="15">
        <f t="shared" si="0"/>
        <v>0</v>
      </c>
      <c r="H15" s="35"/>
      <c r="I15" s="15">
        <f t="shared" si="1"/>
        <v>0</v>
      </c>
      <c r="J15" s="14">
        <f t="shared" si="2"/>
        <v>0</v>
      </c>
      <c r="K15" s="2"/>
    </row>
    <row r="16" spans="1:11">
      <c r="A16" s="2"/>
      <c r="B16" s="2"/>
      <c r="C16" s="29"/>
      <c r="D16" s="2"/>
      <c r="E16" s="2"/>
      <c r="F16" s="35"/>
      <c r="G16" s="15">
        <f t="shared" si="0"/>
        <v>0</v>
      </c>
      <c r="H16" s="35"/>
      <c r="I16" s="15">
        <f t="shared" si="1"/>
        <v>0</v>
      </c>
      <c r="J16" s="14">
        <f t="shared" si="2"/>
        <v>0</v>
      </c>
      <c r="K16" s="2"/>
    </row>
    <row r="17" spans="1:11">
      <c r="A17" s="34" t="s">
        <v>65</v>
      </c>
      <c r="D17" s="33"/>
      <c r="E17" s="30" t="s">
        <v>62</v>
      </c>
      <c r="F17" s="33"/>
      <c r="G17" s="33"/>
      <c r="H17" s="33"/>
      <c r="I17" s="33"/>
    </row>
    <row r="18" spans="1:11" ht="30" customHeight="1">
      <c r="A18" s="68" t="s">
        <v>67</v>
      </c>
      <c r="B18" s="68"/>
      <c r="C18" s="68"/>
      <c r="D18" s="68"/>
      <c r="E18" s="68"/>
      <c r="F18" s="68"/>
      <c r="G18" s="68"/>
      <c r="H18" s="68"/>
      <c r="I18" s="68"/>
      <c r="J18" s="68"/>
    </row>
    <row r="21" spans="1:11">
      <c r="A21" s="5"/>
      <c r="B21" s="5"/>
      <c r="C21" s="5"/>
      <c r="D21" s="5"/>
      <c r="E21" s="5"/>
      <c r="F21" s="5"/>
      <c r="G21" s="5"/>
      <c r="H21" s="5"/>
      <c r="K21" s="5"/>
    </row>
    <row r="22" spans="1:11">
      <c r="A22" s="19"/>
      <c r="B22" s="19"/>
      <c r="C22" s="19"/>
      <c r="D22" s="19"/>
      <c r="E22" s="19"/>
      <c r="F22" s="19"/>
      <c r="G22" s="19"/>
      <c r="H22" s="19"/>
      <c r="K22" s="19"/>
    </row>
    <row r="23" spans="1:11">
      <c r="A23" s="20"/>
      <c r="B23" s="20"/>
      <c r="C23" s="21"/>
      <c r="D23" s="20"/>
      <c r="E23" s="22"/>
      <c r="F23" s="23"/>
      <c r="G23" s="21"/>
      <c r="H23" s="23"/>
      <c r="K23" s="20"/>
    </row>
    <row r="24" spans="1:11">
      <c r="K24" s="5"/>
    </row>
    <row r="29" spans="1:11">
      <c r="D29" s="17"/>
      <c r="E29" s="18"/>
      <c r="F29" s="17"/>
      <c r="G29" s="18"/>
      <c r="H29" s="17"/>
      <c r="I29" s="17"/>
    </row>
  </sheetData>
  <mergeCells count="5">
    <mergeCell ref="A18:J18"/>
    <mergeCell ref="A3:K3"/>
    <mergeCell ref="A5:B5"/>
    <mergeCell ref="A7:J7"/>
    <mergeCell ref="A8:J8"/>
  </mergeCells>
  <hyperlinks>
    <hyperlink ref="E17" location="'Enclosure B'!A1" display="Enclosure B"/>
  </hyperlinks>
  <pageMargins left="0.7" right="0.7" top="0.75" bottom="0.75" header="0.3" footer="0.3"/>
  <pageSetup scale="46" orientation="landscape" r:id="rId1"/>
</worksheet>
</file>

<file path=xl/worksheets/sheet3.xml><?xml version="1.0" encoding="utf-8"?>
<worksheet xmlns="http://schemas.openxmlformats.org/spreadsheetml/2006/main" xmlns:r="http://schemas.openxmlformats.org/officeDocument/2006/relationships">
  <dimension ref="A1:A38"/>
  <sheetViews>
    <sheetView zoomScaleNormal="100" workbookViewId="0">
      <selection activeCell="A39" sqref="A39"/>
    </sheetView>
  </sheetViews>
  <sheetFormatPr defaultRowHeight="15"/>
  <cols>
    <col min="1" max="1" width="105.140625" bestFit="1" customWidth="1"/>
  </cols>
  <sheetData>
    <row r="1" spans="1:1">
      <c r="A1" s="11" t="s">
        <v>119</v>
      </c>
    </row>
    <row r="2" spans="1:1">
      <c r="A2" s="12" t="s">
        <v>30</v>
      </c>
    </row>
    <row r="3" spans="1:1">
      <c r="A3" s="6" t="s">
        <v>37</v>
      </c>
    </row>
    <row r="4" spans="1:1" s="1" customFormat="1" ht="26.25">
      <c r="A4" s="8" t="s">
        <v>69</v>
      </c>
    </row>
    <row r="5" spans="1:1">
      <c r="A5" s="7" t="s">
        <v>8</v>
      </c>
    </row>
    <row r="6" spans="1:1" ht="26.25">
      <c r="A6" s="54" t="s">
        <v>115</v>
      </c>
    </row>
    <row r="7" spans="1:1">
      <c r="A7" s="55" t="s">
        <v>9</v>
      </c>
    </row>
    <row r="8" spans="1:1">
      <c r="A8" s="56" t="s">
        <v>32</v>
      </c>
    </row>
    <row r="9" spans="1:1">
      <c r="A9" s="55" t="s">
        <v>85</v>
      </c>
    </row>
    <row r="10" spans="1:1">
      <c r="A10" s="56" t="s">
        <v>88</v>
      </c>
    </row>
    <row r="11" spans="1:1">
      <c r="A11" s="55" t="s">
        <v>89</v>
      </c>
    </row>
    <row r="12" spans="1:1">
      <c r="A12" s="56" t="s">
        <v>90</v>
      </c>
    </row>
    <row r="13" spans="1:1">
      <c r="A13" s="55" t="s">
        <v>91</v>
      </c>
    </row>
    <row r="14" spans="1:1">
      <c r="A14" s="56" t="s">
        <v>93</v>
      </c>
    </row>
    <row r="15" spans="1:1">
      <c r="A15" s="55" t="s">
        <v>92</v>
      </c>
    </row>
    <row r="16" spans="1:1" ht="17.25" customHeight="1">
      <c r="A16" s="54" t="s">
        <v>94</v>
      </c>
    </row>
    <row r="17" spans="1:1">
      <c r="A17" s="57" t="s">
        <v>86</v>
      </c>
    </row>
    <row r="18" spans="1:1" ht="26.25">
      <c r="A18" s="54" t="s">
        <v>87</v>
      </c>
    </row>
    <row r="19" spans="1:1">
      <c r="A19" s="55" t="s">
        <v>10</v>
      </c>
    </row>
    <row r="20" spans="1:1">
      <c r="A20" s="56" t="s">
        <v>63</v>
      </c>
    </row>
    <row r="21" spans="1:1">
      <c r="A21" s="55" t="s">
        <v>95</v>
      </c>
    </row>
    <row r="22" spans="1:1" ht="78.75" customHeight="1">
      <c r="A22" s="58" t="s">
        <v>96</v>
      </c>
    </row>
    <row r="23" spans="1:1">
      <c r="A23" s="55" t="s">
        <v>100</v>
      </c>
    </row>
    <row r="24" spans="1:1" ht="26.25">
      <c r="A24" s="54" t="s">
        <v>97</v>
      </c>
    </row>
    <row r="25" spans="1:1">
      <c r="A25" s="55" t="s">
        <v>98</v>
      </c>
    </row>
    <row r="26" spans="1:1" ht="26.25">
      <c r="A26" s="54" t="s">
        <v>99</v>
      </c>
    </row>
    <row r="27" spans="1:1">
      <c r="A27" s="55" t="s">
        <v>101</v>
      </c>
    </row>
    <row r="28" spans="1:1" ht="38.25">
      <c r="A28" s="58" t="s">
        <v>103</v>
      </c>
    </row>
    <row r="29" spans="1:1">
      <c r="A29" s="55" t="s">
        <v>102</v>
      </c>
    </row>
    <row r="30" spans="1:1">
      <c r="A30" s="54" t="s">
        <v>104</v>
      </c>
    </row>
    <row r="31" spans="1:1">
      <c r="A31" s="55" t="s">
        <v>12</v>
      </c>
    </row>
    <row r="32" spans="1:1" ht="26.25">
      <c r="A32" s="54" t="s">
        <v>36</v>
      </c>
    </row>
    <row r="33" spans="1:1">
      <c r="A33" s="55" t="s">
        <v>13</v>
      </c>
    </row>
    <row r="34" spans="1:1">
      <c r="A34" s="56" t="s">
        <v>33</v>
      </c>
    </row>
    <row r="35" spans="1:1">
      <c r="A35" s="55" t="s">
        <v>14</v>
      </c>
    </row>
    <row r="36" spans="1:1" ht="26.25">
      <c r="A36" s="54" t="s">
        <v>34</v>
      </c>
    </row>
    <row r="37" spans="1:1">
      <c r="A37" s="55" t="s">
        <v>35</v>
      </c>
    </row>
    <row r="38" spans="1:1" ht="26.25">
      <c r="A38" s="54" t="s">
        <v>39</v>
      </c>
    </row>
  </sheetData>
  <pageMargins left="0.7" right="0.7" top="0.75" bottom="0.75" header="0.3" footer="0.3"/>
  <pageSetup scale="90" orientation="portrait" horizontalDpi="300" verticalDpi="300" r:id="rId1"/>
</worksheet>
</file>

<file path=xl/worksheets/sheet4.xml><?xml version="1.0" encoding="utf-8"?>
<worksheet xmlns="http://schemas.openxmlformats.org/spreadsheetml/2006/main" xmlns:r="http://schemas.openxmlformats.org/officeDocument/2006/relationships">
  <dimension ref="A1:A29"/>
  <sheetViews>
    <sheetView zoomScaleNormal="100" workbookViewId="0">
      <selection activeCell="A30" sqref="A30"/>
    </sheetView>
  </sheetViews>
  <sheetFormatPr defaultRowHeight="15"/>
  <cols>
    <col min="1" max="1" width="104.85546875" customWidth="1"/>
  </cols>
  <sheetData>
    <row r="1" spans="1:1">
      <c r="A1" s="11" t="s">
        <v>120</v>
      </c>
    </row>
    <row r="2" spans="1:1">
      <c r="A2" s="12" t="s">
        <v>31</v>
      </c>
    </row>
    <row r="3" spans="1:1">
      <c r="A3" s="6" t="s">
        <v>38</v>
      </c>
    </row>
    <row r="4" spans="1:1">
      <c r="A4" s="25" t="s">
        <v>15</v>
      </c>
    </row>
    <row r="5" spans="1:1" ht="26.25">
      <c r="A5" s="26" t="s">
        <v>116</v>
      </c>
    </row>
    <row r="6" spans="1:1">
      <c r="A6" s="25" t="s">
        <v>51</v>
      </c>
    </row>
    <row r="7" spans="1:1">
      <c r="A7" s="27" t="s">
        <v>16</v>
      </c>
    </row>
    <row r="8" spans="1:1">
      <c r="A8" s="25" t="s">
        <v>44</v>
      </c>
    </row>
    <row r="9" spans="1:1">
      <c r="A9" s="24" t="s">
        <v>68</v>
      </c>
    </row>
    <row r="10" spans="1:1">
      <c r="A10" s="25" t="s">
        <v>10</v>
      </c>
    </row>
    <row r="11" spans="1:1">
      <c r="A11" s="27" t="s">
        <v>41</v>
      </c>
    </row>
    <row r="12" spans="1:1">
      <c r="A12" s="7" t="s">
        <v>11</v>
      </c>
    </row>
    <row r="13" spans="1:1" ht="52.5" customHeight="1">
      <c r="A13" s="24" t="s">
        <v>46</v>
      </c>
    </row>
    <row r="14" spans="1:1">
      <c r="A14" s="7" t="s">
        <v>45</v>
      </c>
    </row>
    <row r="15" spans="1:1" ht="26.25">
      <c r="A15" s="9" t="s">
        <v>47</v>
      </c>
    </row>
    <row r="16" spans="1:1">
      <c r="A16" s="25" t="s">
        <v>48</v>
      </c>
    </row>
    <row r="17" spans="1:1" ht="39">
      <c r="A17" s="26" t="s">
        <v>52</v>
      </c>
    </row>
    <row r="18" spans="1:1">
      <c r="A18" s="7" t="s">
        <v>49</v>
      </c>
    </row>
    <row r="19" spans="1:1" ht="26.25">
      <c r="A19" s="9" t="s">
        <v>50</v>
      </c>
    </row>
    <row r="20" spans="1:1">
      <c r="A20" s="25" t="s">
        <v>53</v>
      </c>
    </row>
    <row r="21" spans="1:1" ht="26.25">
      <c r="A21" s="26" t="s">
        <v>54</v>
      </c>
    </row>
    <row r="22" spans="1:1">
      <c r="A22" s="25" t="s">
        <v>55</v>
      </c>
    </row>
    <row r="23" spans="1:1" ht="26.25">
      <c r="A23" s="9" t="s">
        <v>56</v>
      </c>
    </row>
    <row r="24" spans="1:1">
      <c r="A24" s="28" t="s">
        <v>17</v>
      </c>
    </row>
    <row r="25" spans="1:1" ht="26.25">
      <c r="A25" s="26" t="s">
        <v>40</v>
      </c>
    </row>
    <row r="26" spans="1:1">
      <c r="A26" s="26"/>
    </row>
    <row r="27" spans="1:1" ht="39">
      <c r="A27" s="31" t="s">
        <v>64</v>
      </c>
    </row>
    <row r="28" spans="1:1">
      <c r="A28" s="26"/>
    </row>
    <row r="29" spans="1:1" ht="93" customHeight="1">
      <c r="A29" s="32" t="s">
        <v>66</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Labor-Task</vt:lpstr>
      <vt:lpstr>ODCs</vt:lpstr>
      <vt:lpstr>Enclosure A</vt:lpstr>
      <vt:lpstr>Enclosure B</vt:lpstr>
      <vt:lpstr>'Enclosure B'!Print_Area</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kathylsnell</dc:creator>
  <cp:lastModifiedBy>DionEDuarte</cp:lastModifiedBy>
  <cp:lastPrinted>2012-02-03T16:42:19Z</cp:lastPrinted>
  <dcterms:created xsi:type="dcterms:W3CDTF">2011-07-18T18:35:37Z</dcterms:created>
  <dcterms:modified xsi:type="dcterms:W3CDTF">2013-05-31T16:05:11Z</dcterms:modified>
</cp:coreProperties>
</file>