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P22" i="1" l="1"/>
  <c r="P23" i="1"/>
  <c r="P24" i="1"/>
  <c r="P25" i="1"/>
  <c r="P26" i="1"/>
  <c r="P27" i="1"/>
  <c r="P28" i="1"/>
  <c r="P21" i="1"/>
  <c r="M22" i="1"/>
  <c r="M23" i="1"/>
  <c r="M24" i="1"/>
  <c r="M25" i="1"/>
  <c r="M26" i="1"/>
  <c r="M27" i="1"/>
  <c r="M28" i="1"/>
  <c r="M21" i="1"/>
  <c r="J22" i="1"/>
  <c r="J23" i="1"/>
  <c r="J24" i="1"/>
  <c r="J25" i="1"/>
  <c r="J26" i="1"/>
  <c r="J27" i="1"/>
  <c r="J28" i="1"/>
  <c r="J21" i="1"/>
  <c r="G22" i="1"/>
  <c r="G23" i="1"/>
  <c r="G24" i="1"/>
  <c r="G25" i="1"/>
  <c r="G26" i="1"/>
  <c r="G27" i="1"/>
  <c r="G28" i="1"/>
  <c r="G29" i="1"/>
  <c r="G21" i="1"/>
  <c r="D22" i="1"/>
  <c r="D23" i="1"/>
  <c r="D24" i="1"/>
  <c r="D25" i="1"/>
  <c r="D26" i="1"/>
  <c r="D27" i="1"/>
  <c r="D28" i="1"/>
  <c r="D29" i="1"/>
  <c r="D21" i="1"/>
  <c r="P5" i="1"/>
  <c r="P6" i="1"/>
  <c r="P7" i="1"/>
  <c r="P4" i="1"/>
  <c r="M5" i="1"/>
  <c r="M6" i="1"/>
  <c r="M7" i="1"/>
  <c r="M4" i="1"/>
  <c r="J5" i="1"/>
  <c r="J6" i="1"/>
  <c r="J7" i="1"/>
  <c r="J4" i="1"/>
  <c r="G5" i="1"/>
  <c r="G6" i="1"/>
  <c r="G7" i="1"/>
  <c r="G4" i="1"/>
  <c r="D5" i="1"/>
  <c r="D6" i="1"/>
  <c r="D7" i="1"/>
  <c r="D4" i="1"/>
  <c r="C7" i="1"/>
  <c r="E7" i="1"/>
  <c r="F7" i="1"/>
  <c r="H7" i="1"/>
  <c r="I7" i="1"/>
  <c r="K7" i="1"/>
  <c r="L7" i="1"/>
  <c r="N7" i="1"/>
  <c r="O7" i="1"/>
  <c r="B7" i="1"/>
  <c r="P11" i="1"/>
  <c r="P12" i="1"/>
  <c r="P13" i="1"/>
  <c r="P14" i="1"/>
  <c r="P15" i="1"/>
  <c r="P16" i="1"/>
  <c r="P18" i="1"/>
  <c r="P10" i="1"/>
  <c r="M11" i="1"/>
  <c r="M12" i="1"/>
  <c r="M13" i="1"/>
  <c r="M14" i="1"/>
  <c r="M15" i="1"/>
  <c r="M16" i="1"/>
  <c r="M18" i="1"/>
  <c r="M10" i="1"/>
  <c r="J11" i="1"/>
  <c r="J12" i="1"/>
  <c r="J13" i="1"/>
  <c r="J14" i="1"/>
  <c r="J15" i="1"/>
  <c r="J16" i="1"/>
  <c r="J18" i="1"/>
  <c r="J10" i="1"/>
  <c r="G11" i="1"/>
  <c r="G12" i="1"/>
  <c r="G13" i="1"/>
  <c r="G14" i="1"/>
  <c r="G15" i="1"/>
  <c r="G16" i="1"/>
  <c r="G18" i="1"/>
  <c r="G10" i="1"/>
  <c r="D11" i="1"/>
  <c r="D12" i="1"/>
  <c r="D13" i="1"/>
  <c r="D14" i="1"/>
  <c r="D15" i="1"/>
  <c r="D16" i="1"/>
  <c r="D18" i="1"/>
  <c r="D10" i="1"/>
</calcChain>
</file>

<file path=xl/sharedStrings.xml><?xml version="1.0" encoding="utf-8"?>
<sst xmlns="http://schemas.openxmlformats.org/spreadsheetml/2006/main" count="84" uniqueCount="41">
  <si>
    <t>#5  Transfer</t>
  </si>
  <si>
    <t>AY01-02</t>
  </si>
  <si>
    <t>AY02-03</t>
  </si>
  <si>
    <t>AY03-04</t>
  </si>
  <si>
    <t>AY04-05</t>
  </si>
  <si>
    <t>AY05-06</t>
  </si>
  <si>
    <t>Gender</t>
  </si>
  <si>
    <t xml:space="preserve">Transferred </t>
  </si>
  <si>
    <t>Transfer Rate</t>
  </si>
  <si>
    <t xml:space="preserve">cohort 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</si>
  <si>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</si>
  <si>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</si>
  <si>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</si>
  <si>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</si>
  <si>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</si>
  <si>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</si>
  <si>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</si>
  <si>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</si>
  <si>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</si>
  <si>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</si>
  <si>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</si>
  <si>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</si>
  <si>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</si>
  <si>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</si>
  <si>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</si>
  <si>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</si>
  <si>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</si>
  <si>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</si>
  <si>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</si>
  <si>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</si>
  <si>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</si>
  <si>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</si>
  <si>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 xml:space="preserve">Note: The Transfer Cohort is created by evaluating all first time freshmen six years after their entry. </t>
  </si>
  <si>
    <t xml:space="preserve"> Those students who have completed twelve credit units and attempted a transfer level math or English </t>
  </si>
  <si>
    <t xml:space="preserve">course are included in the Transfer Cohort. </t>
  </si>
  <si>
    <t xml:space="preserve"> Transfer rates for years three, four, and five are retrospective and cannot be reported until the cohort </t>
  </si>
  <si>
    <t xml:space="preserve">is finalized at the completion of the sixth year after initial enrollment. Students with multiple college </t>
  </si>
  <si>
    <t xml:space="preserve">enrollments are reported as members of the Transfer Cohort for each college attended. </t>
  </si>
  <si>
    <t>cohort</t>
  </si>
  <si>
    <t>MSJC 6 Year Transfer Rate</t>
  </si>
  <si>
    <t>Data was generated using '6yr to transfer' selection datamart cccco.edu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</si>
</sst>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8"/>
      <color theme="1"/>
      <name val="Comic Sans MS"/>
      <family val="4"/>
    </font>
    <font>
      <sz val="9"/>
      <color theme="1"/>
      <name val="Comic Sans MS"/>
      <family val="4"/>
    </font>
    <font>
      <b/>
      <sz val="11"/>
      <color rgb="FF000000"/>
      <name val="Calibri"/>
      <family val="2"/>
      <scheme val="minor"/>
    </font>
    <font>
      <sz val="10"/>
      <name val="Arial"/>
    </font>
    <font>
      <sz val="8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1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30" fillId="0" borderId="0"/>
  </cellStyleXfs>
  <cellXfs count="55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3" applyFont="1" applyBorder="1" applyAlignment="1">
      <alignment horizontal="center" vertical="center" wrapText="1"/>
    </xf>
    <xf numFmtId="0" fontId="16" fillId="0" borderId="0" xfId="3" applyFont="1" applyBorder="1" applyAlignment="1">
      <alignment horizontal="right"/>
    </xf>
    <xf numFmtId="0" fontId="22" fillId="0" borderId="11" xfId="3" applyFont="1" applyBorder="1" applyAlignment="1">
      <alignment horizontal="center"/>
    </xf>
    <xf numFmtId="0" fontId="29" fillId="33" borderId="30" xfId="3" applyFont="1" applyFill="1" applyBorder="1" applyAlignment="1">
      <alignment wrapText="1"/>
    </xf>
    <xf numFmtId="0" fontId="21" fillId="0" borderId="29" xfId="3" applyFont="1" applyFill="1" applyBorder="1" applyAlignment="1">
      <alignment wrapText="1"/>
    </xf>
    <xf numFmtId="0" fontId="21" fillId="0" borderId="30" xfId="3" applyFont="1" applyFill="1" applyBorder="1" applyAlignment="1">
      <alignment wrapText="1"/>
    </xf>
    <xf numFmtId="0" fontId="21" fillId="0" borderId="24" xfId="3" applyFont="1" applyFill="1" applyBorder="1" applyAlignment="1">
      <alignment horizontal="left" vertical="center" wrapText="1"/>
    </xf>
    <xf numFmtId="0" fontId="22" fillId="0" borderId="21" xfId="3" applyFont="1" applyFill="1" applyBorder="1" applyAlignment="1">
      <alignment horizontal="center" vertical="center" wrapText="1"/>
    </xf>
    <xf numFmtId="0" fontId="23" fillId="0" borderId="0" xfId="3" applyFont="1" applyBorder="1" applyAlignment="1">
      <alignment horizontal="center"/>
    </xf>
    <xf numFmtId="0" fontId="0" fillId="0" borderId="0" xfId="0" applyBorder="1"/>
    <xf numFmtId="0" fontId="23" fillId="0" borderId="10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16" fillId="0" borderId="24" xfId="3" applyFont="1" applyBorder="1"/>
    <xf numFmtId="0" fontId="16" fillId="0" borderId="26" xfId="3" applyFont="1" applyBorder="1"/>
    <xf numFmtId="0" fontId="21" fillId="0" borderId="35" xfId="50" applyFont="1" applyBorder="1" applyAlignment="1" applyProtection="1"/>
    <xf numFmtId="0" fontId="21" fillId="0" borderId="26" xfId="50" applyFont="1" applyBorder="1" applyAlignment="1" applyProtection="1"/>
    <xf numFmtId="0" fontId="21" fillId="0" borderId="31" xfId="50" applyFont="1" applyBorder="1" applyAlignment="1" applyProtection="1"/>
    <xf numFmtId="0" fontId="25" fillId="0" borderId="38" xfId="3" applyFont="1" applyBorder="1" applyAlignment="1">
      <alignment horizontal="center" vertical="center"/>
    </xf>
    <xf numFmtId="0" fontId="16" fillId="0" borderId="34" xfId="3" applyFont="1" applyBorder="1" applyAlignment="1">
      <alignment horizontal="right"/>
    </xf>
    <xf numFmtId="0" fontId="16" fillId="0" borderId="33" xfId="3" applyFont="1" applyBorder="1"/>
    <xf numFmtId="0" fontId="0" fillId="0" borderId="27" xfId="0" applyBorder="1" applyAlignment="1">
      <alignment horizontal="center"/>
    </xf>
    <xf numFmtId="0" fontId="28" fillId="0" borderId="0" xfId="3" applyFont="1" applyAlignment="1">
      <alignment horizontal="left"/>
    </xf>
    <xf numFmtId="0" fontId="27" fillId="0" borderId="0" xfId="3" applyFont="1" applyAlignment="1">
      <alignment horizontal="left"/>
    </xf>
    <xf numFmtId="0" fontId="27" fillId="0" borderId="0" xfId="3" applyFont="1"/>
    <xf numFmtId="0" fontId="25" fillId="0" borderId="39" xfId="3" applyFont="1" applyBorder="1" applyAlignment="1">
      <alignment horizontal="center" vertical="center"/>
    </xf>
    <xf numFmtId="0" fontId="8" fillId="4" borderId="10" xfId="57" applyBorder="1"/>
    <xf numFmtId="0" fontId="25" fillId="0" borderId="37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/>
    </xf>
    <xf numFmtId="0" fontId="25" fillId="0" borderId="25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/>
    </xf>
    <xf numFmtId="9" fontId="23" fillId="0" borderId="10" xfId="1" applyFont="1" applyBorder="1" applyAlignment="1">
      <alignment horizontal="center"/>
    </xf>
    <xf numFmtId="0" fontId="1" fillId="0" borderId="10" xfId="4" applyBorder="1"/>
    <xf numFmtId="9" fontId="1" fillId="0" borderId="10" xfId="1" applyBorder="1"/>
    <xf numFmtId="9" fontId="8" fillId="4" borderId="10" xfId="57" applyNumberFormat="1" applyBorder="1"/>
    <xf numFmtId="3" fontId="23" fillId="0" borderId="10" xfId="3" applyNumberFormat="1" applyFont="1" applyBorder="1" applyAlignment="1">
      <alignment horizontal="center" vertical="center"/>
    </xf>
    <xf numFmtId="9" fontId="23" fillId="0" borderId="10" xfId="1" applyFont="1" applyBorder="1" applyAlignment="1">
      <alignment horizontal="center" vertical="center"/>
    </xf>
    <xf numFmtId="0" fontId="31" fillId="0" borderId="10" xfId="118" applyNumberFormat="1" applyFont="1" applyFill="1" applyBorder="1" applyAlignment="1" applyProtection="1">
      <alignment horizontal="right" vertical="center" wrapText="1"/>
    </xf>
    <xf numFmtId="0" fontId="26" fillId="0" borderId="20" xfId="3" applyFont="1" applyBorder="1" applyAlignment="1">
      <alignment horizontal="center" vertical="center" wrapText="1"/>
    </xf>
    <xf numFmtId="0" fontId="26" fillId="0" borderId="22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/>
    </xf>
    <xf numFmtId="0" fontId="24" fillId="0" borderId="15" xfId="3" applyFont="1" applyBorder="1" applyAlignment="1">
      <alignment horizontal="center"/>
    </xf>
    <xf numFmtId="0" fontId="24" fillId="0" borderId="13" xfId="3" applyFont="1" applyBorder="1" applyAlignment="1">
      <alignment horizontal="center"/>
    </xf>
    <xf numFmtId="0" fontId="24" fillId="0" borderId="32" xfId="3" applyFont="1" applyBorder="1" applyAlignment="1">
      <alignment horizontal="center"/>
    </xf>
    <xf numFmtId="0" fontId="24" fillId="0" borderId="14" xfId="3" applyFont="1" applyBorder="1" applyAlignment="1">
      <alignment horizontal="center"/>
    </xf>
    <xf numFmtId="0" fontId="25" fillId="0" borderId="17" xfId="3" applyFont="1" applyBorder="1" applyAlignment="1">
      <alignment horizontal="center"/>
    </xf>
    <xf numFmtId="0" fontId="25" fillId="0" borderId="36" xfId="3" applyFont="1" applyBorder="1" applyAlignment="1">
      <alignment horizontal="center"/>
    </xf>
    <xf numFmtId="0" fontId="25" fillId="0" borderId="18" xfId="3" applyFont="1" applyBorder="1" applyAlignment="1">
      <alignment horizontal="center"/>
    </xf>
    <xf numFmtId="0" fontId="25" fillId="0" borderId="23" xfId="3" applyFont="1" applyBorder="1" applyAlignment="1">
      <alignment horizontal="center"/>
    </xf>
    <xf numFmtId="0" fontId="25" fillId="0" borderId="19" xfId="3" applyFont="1" applyBorder="1" applyAlignment="1">
      <alignment horizontal="center"/>
    </xf>
  </cellXfs>
  <cellStyles count="119">
    <cellStyle name="20% - Accent1 2" xfId="79"/>
    <cellStyle name="20% - Accent1 3" xfId="24"/>
    <cellStyle name="20% - Accent2 2" xfId="83"/>
    <cellStyle name="20% - Accent2 3" xfId="28"/>
    <cellStyle name="20% - Accent3 2" xfId="87"/>
    <cellStyle name="20% - Accent3 3" xfId="32"/>
    <cellStyle name="20% - Accent4 2" xfId="91"/>
    <cellStyle name="20% - Accent4 3" xfId="36"/>
    <cellStyle name="20% - Accent5 2" xfId="95"/>
    <cellStyle name="20% - Accent5 3" xfId="40"/>
    <cellStyle name="20% - Accent6 2" xfId="99"/>
    <cellStyle name="20% - Accent6 3" xfId="44"/>
    <cellStyle name="40% - Accent1 2" xfId="80"/>
    <cellStyle name="40% - Accent1 3" xfId="25"/>
    <cellStyle name="40% - Accent2 2" xfId="84"/>
    <cellStyle name="40% - Accent2 3" xfId="29"/>
    <cellStyle name="40% - Accent3 2" xfId="88"/>
    <cellStyle name="40% - Accent3 3" xfId="33"/>
    <cellStyle name="40% - Accent4 2" xfId="92"/>
    <cellStyle name="40% - Accent4 3" xfId="37"/>
    <cellStyle name="40% - Accent5 2" xfId="96"/>
    <cellStyle name="40% - Accent5 3" xfId="41"/>
    <cellStyle name="40% - Accent6 2" xfId="100"/>
    <cellStyle name="40% - Accent6 3" xfId="45"/>
    <cellStyle name="60% - Accent1 2" xfId="81"/>
    <cellStyle name="60% - Accent1 3" xfId="26"/>
    <cellStyle name="60% - Accent2 2" xfId="85"/>
    <cellStyle name="60% - Accent2 3" xfId="30"/>
    <cellStyle name="60% - Accent3 2" xfId="89"/>
    <cellStyle name="60% - Accent3 3" xfId="34"/>
    <cellStyle name="60% - Accent4 2" xfId="93"/>
    <cellStyle name="60% - Accent4 3" xfId="38"/>
    <cellStyle name="60% - Accent5 2" xfId="97"/>
    <cellStyle name="60% - Accent5 3" xfId="42"/>
    <cellStyle name="60% - Accent6 2" xfId="101"/>
    <cellStyle name="60% - Accent6 3" xfId="46"/>
    <cellStyle name="Accent1 2" xfId="78"/>
    <cellStyle name="Accent1 3" xfId="23"/>
    <cellStyle name="Accent2 2" xfId="82"/>
    <cellStyle name="Accent2 3" xfId="27"/>
    <cellStyle name="Accent3 2" xfId="86"/>
    <cellStyle name="Accent3 3" xfId="31"/>
    <cellStyle name="Accent4 2" xfId="90"/>
    <cellStyle name="Accent4 3" xfId="35"/>
    <cellStyle name="Accent5 2" xfId="94"/>
    <cellStyle name="Accent5 3" xfId="39"/>
    <cellStyle name="Accent6 2" xfId="98"/>
    <cellStyle name="Accent6 3" xfId="43"/>
    <cellStyle name="Bad 2" xfId="67"/>
    <cellStyle name="Bad 3" xfId="12"/>
    <cellStyle name="Calculation 2" xfId="71"/>
    <cellStyle name="Calculation 3" xfId="16"/>
    <cellStyle name="Check Cell 2" xfId="73"/>
    <cellStyle name="Check Cell 3" xfId="18"/>
    <cellStyle name="Comma 2" xfId="53"/>
    <cellStyle name="Comma 2 2" xfId="56"/>
    <cellStyle name="Comma 3" xfId="102"/>
    <cellStyle name="Comma 4" xfId="5"/>
    <cellStyle name="Explanatory Text 2" xfId="76"/>
    <cellStyle name="Explanatory Text 3" xfId="21"/>
    <cellStyle name="Good 2" xfId="66"/>
    <cellStyle name="Good 3" xfId="11"/>
    <cellStyle name="Heading 1 2" xfId="62"/>
    <cellStyle name="Heading 1 3" xfId="7"/>
    <cellStyle name="Heading 2 2" xfId="63"/>
    <cellStyle name="Heading 2 3" xfId="8"/>
    <cellStyle name="Heading 3 2" xfId="64"/>
    <cellStyle name="Heading 3 3" xfId="9"/>
    <cellStyle name="Heading 4 2" xfId="65"/>
    <cellStyle name="Heading 4 3" xfId="10"/>
    <cellStyle name="Hyperlink" xfId="50" builtinId="8"/>
    <cellStyle name="Hyperlink 2" xfId="54"/>
    <cellStyle name="Input 2" xfId="69"/>
    <cellStyle name="Input 3" xfId="14"/>
    <cellStyle name="Linked Cell 2" xfId="72"/>
    <cellStyle name="Linked Cell 3" xfId="17"/>
    <cellStyle name="Neutral 2" xfId="57"/>
    <cellStyle name="Neutral 3" xfId="68"/>
    <cellStyle name="Neutral 4" xfId="13"/>
    <cellStyle name="Normal" xfId="0" builtinId="0"/>
    <cellStyle name="Normal 10" xfId="4"/>
    <cellStyle name="Normal 11" xfId="3"/>
    <cellStyle name="Normal 12" xfId="118"/>
    <cellStyle name="Normal 2" xfId="48"/>
    <cellStyle name="Normal 2 2" xfId="52"/>
    <cellStyle name="Normal 2 2 2" xfId="55"/>
    <cellStyle name="Normal 3" xfId="47"/>
    <cellStyle name="Normal 3 2" xfId="58"/>
    <cellStyle name="Normal 3 2 2" xfId="108"/>
    <cellStyle name="Normal 3 3" xfId="110"/>
    <cellStyle name="Normal 3 4" xfId="116"/>
    <cellStyle name="Normal 3 5" xfId="112"/>
    <cellStyle name="Normal 3 6" xfId="103"/>
    <cellStyle name="Normal 4" xfId="61"/>
    <cellStyle name="Normal 5" xfId="106"/>
    <cellStyle name="Normal 6" xfId="107"/>
    <cellStyle name="Normal 7" xfId="113"/>
    <cellStyle name="Normal 8" xfId="115"/>
    <cellStyle name="Normal 9" xfId="60"/>
    <cellStyle name="Note 2" xfId="49"/>
    <cellStyle name="Note 3" xfId="75"/>
    <cellStyle name="Note 4" xfId="20"/>
    <cellStyle name="Output 2" xfId="70"/>
    <cellStyle name="Output 3" xfId="15"/>
    <cellStyle name="Percent" xfId="1" builtinId="5"/>
    <cellStyle name="Percent 2" xfId="51"/>
    <cellStyle name="Percent 2 2" xfId="59"/>
    <cellStyle name="Percent 2 2 2" xfId="109"/>
    <cellStyle name="Percent 2 3" xfId="111"/>
    <cellStyle name="Percent 2 4" xfId="117"/>
    <cellStyle name="Percent 2 5" xfId="114"/>
    <cellStyle name="Percent 2 6" xfId="104"/>
    <cellStyle name="Percent 3" xfId="105"/>
    <cellStyle name="Percent 4" xfId="6"/>
    <cellStyle name="Title" xfId="2" builtinId="15" customBuiltin="1"/>
    <cellStyle name="Total 2" xfId="77"/>
    <cellStyle name="Total 3" xfId="22"/>
    <cellStyle name="Warning Text 2" xfId="74"/>
    <cellStyle name="Warning Text 3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workbookViewId="0">
      <selection activeCell="Q10" sqref="Q10"/>
    </sheetView>
  </sheetViews>
  <sheetFormatPr defaultRowHeight="15" x14ac:dyDescent="0.25"/>
  <cols>
    <col min="1" max="1" width="18.28515625" customWidth="1"/>
    <col min="2" max="2" width="10.5703125" bestFit="1" customWidth="1"/>
    <col min="3" max="3" width="6.140625" style="1" bestFit="1" customWidth="1"/>
    <col min="4" max="4" width="7.42578125" bestFit="1" customWidth="1"/>
    <col min="5" max="5" width="10.5703125" bestFit="1" customWidth="1"/>
    <col min="6" max="6" width="6.140625" style="1" bestFit="1" customWidth="1"/>
    <col min="7" max="7" width="7.42578125" bestFit="1" customWidth="1"/>
    <col min="8" max="8" width="10.5703125" bestFit="1" customWidth="1"/>
    <col min="9" max="9" width="6.140625" style="1" bestFit="1" customWidth="1"/>
    <col min="10" max="10" width="7.42578125" bestFit="1" customWidth="1"/>
    <col min="11" max="11" width="10.5703125" bestFit="1" customWidth="1"/>
    <col min="12" max="12" width="6.140625" style="1" bestFit="1" customWidth="1"/>
    <col min="13" max="13" width="7.42578125" bestFit="1" customWidth="1"/>
    <col min="14" max="14" width="10.5703125" bestFit="1" customWidth="1"/>
    <col min="15" max="15" width="6.5703125" bestFit="1" customWidth="1"/>
    <col min="16" max="16" width="7.42578125" bestFit="1" customWidth="1"/>
  </cols>
  <sheetData>
    <row r="1" spans="1:17" x14ac:dyDescent="0.25">
      <c r="A1" s="43" t="s">
        <v>0</v>
      </c>
      <c r="B1" s="45" t="s">
        <v>39</v>
      </c>
      <c r="C1" s="46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9"/>
      <c r="Q1" s="1"/>
    </row>
    <row r="2" spans="1:17" ht="15.75" thickBot="1" x14ac:dyDescent="0.3">
      <c r="A2" s="44"/>
      <c r="B2" s="50" t="s">
        <v>1</v>
      </c>
      <c r="C2" s="51"/>
      <c r="D2" s="52"/>
      <c r="E2" s="52" t="s">
        <v>2</v>
      </c>
      <c r="F2" s="52"/>
      <c r="G2" s="52"/>
      <c r="H2" s="52" t="s">
        <v>3</v>
      </c>
      <c r="I2" s="52"/>
      <c r="J2" s="52"/>
      <c r="K2" s="52" t="s">
        <v>4</v>
      </c>
      <c r="L2" s="52"/>
      <c r="M2" s="52"/>
      <c r="N2" s="52" t="s">
        <v>5</v>
      </c>
      <c r="O2" s="53"/>
      <c r="P2" s="54"/>
      <c r="Q2" s="1"/>
    </row>
    <row r="3" spans="1:17" ht="26.25" thickBot="1" x14ac:dyDescent="0.3">
      <c r="A3" s="3" t="s">
        <v>6</v>
      </c>
      <c r="B3" s="23" t="s">
        <v>7</v>
      </c>
      <c r="C3" s="30" t="s">
        <v>38</v>
      </c>
      <c r="D3" s="32" t="s">
        <v>8</v>
      </c>
      <c r="E3" s="23" t="s">
        <v>7</v>
      </c>
      <c r="F3" s="30" t="s">
        <v>38</v>
      </c>
      <c r="G3" s="32" t="s">
        <v>8</v>
      </c>
      <c r="H3" s="23" t="s">
        <v>7</v>
      </c>
      <c r="I3" s="30" t="s">
        <v>38</v>
      </c>
      <c r="J3" s="32" t="s">
        <v>8</v>
      </c>
      <c r="K3" s="23" t="s">
        <v>7</v>
      </c>
      <c r="L3" s="30" t="s">
        <v>38</v>
      </c>
      <c r="M3" s="32" t="s">
        <v>8</v>
      </c>
      <c r="N3" s="23" t="s">
        <v>7</v>
      </c>
      <c r="O3" s="33" t="s">
        <v>9</v>
      </c>
      <c r="P3" s="34" t="s">
        <v>8</v>
      </c>
      <c r="Q3" s="1"/>
    </row>
    <row r="4" spans="1:17" x14ac:dyDescent="0.25">
      <c r="A4" s="18" t="s">
        <v>10</v>
      </c>
      <c r="B4" s="40">
        <v>258</v>
      </c>
      <c r="C4" s="40">
        <v>758</v>
      </c>
      <c r="D4" s="41">
        <f>B4/C4</f>
        <v>0.34036939313984171</v>
      </c>
      <c r="E4" s="40">
        <v>261</v>
      </c>
      <c r="F4" s="40">
        <v>778</v>
      </c>
      <c r="G4" s="41">
        <f>E4/F4</f>
        <v>0.33547557840616965</v>
      </c>
      <c r="H4" s="42">
        <v>218</v>
      </c>
      <c r="I4" s="42">
        <v>616</v>
      </c>
      <c r="J4" s="41">
        <f>H4/I4</f>
        <v>0.35389610389610388</v>
      </c>
      <c r="K4" s="42">
        <v>249</v>
      </c>
      <c r="L4" s="42">
        <v>706</v>
      </c>
      <c r="M4" s="41">
        <f>K4/L4</f>
        <v>0.35269121813031162</v>
      </c>
      <c r="N4" s="42">
        <v>279</v>
      </c>
      <c r="O4" s="42">
        <v>728</v>
      </c>
      <c r="P4" s="41">
        <f>N4/O4</f>
        <v>0.38324175824175827</v>
      </c>
      <c r="Q4" s="1"/>
    </row>
    <row r="5" spans="1:17" x14ac:dyDescent="0.25">
      <c r="A5" s="19" t="s">
        <v>11</v>
      </c>
      <c r="B5" s="13">
        <v>160</v>
      </c>
      <c r="C5" s="13">
        <v>467</v>
      </c>
      <c r="D5" s="41">
        <f t="shared" ref="D5:D7" si="0">B5/C5</f>
        <v>0.34261241970021411</v>
      </c>
      <c r="E5" s="13">
        <v>146</v>
      </c>
      <c r="F5" s="13">
        <v>404</v>
      </c>
      <c r="G5" s="41">
        <f t="shared" ref="G5:G7" si="1">E5/F5</f>
        <v>0.36138613861386137</v>
      </c>
      <c r="H5" s="42">
        <v>135</v>
      </c>
      <c r="I5" s="42">
        <v>368</v>
      </c>
      <c r="J5" s="41">
        <f t="shared" ref="J5:J7" si="2">H5/I5</f>
        <v>0.36684782608695654</v>
      </c>
      <c r="K5" s="42">
        <v>179</v>
      </c>
      <c r="L5" s="42">
        <v>466</v>
      </c>
      <c r="M5" s="41">
        <f t="shared" ref="M5:M7" si="3">K5/L5</f>
        <v>0.38412017167381973</v>
      </c>
      <c r="N5" s="42">
        <v>164</v>
      </c>
      <c r="O5" s="42">
        <v>428</v>
      </c>
      <c r="P5" s="41">
        <f t="shared" ref="P5:P7" si="4">N5/O5</f>
        <v>0.38317757009345793</v>
      </c>
      <c r="Q5" s="1"/>
    </row>
    <row r="6" spans="1:17" ht="15.75" thickBot="1" x14ac:dyDescent="0.3">
      <c r="A6" s="25" t="s">
        <v>12</v>
      </c>
      <c r="B6" s="13">
        <v>17</v>
      </c>
      <c r="C6" s="13">
        <v>42</v>
      </c>
      <c r="D6" s="41">
        <f t="shared" si="0"/>
        <v>0.40476190476190477</v>
      </c>
      <c r="E6" s="13">
        <v>16</v>
      </c>
      <c r="F6" s="13">
        <v>45</v>
      </c>
      <c r="G6" s="41">
        <f t="shared" si="1"/>
        <v>0.35555555555555557</v>
      </c>
      <c r="H6" s="42">
        <v>8</v>
      </c>
      <c r="I6" s="42">
        <v>35</v>
      </c>
      <c r="J6" s="41">
        <f t="shared" si="2"/>
        <v>0.22857142857142856</v>
      </c>
      <c r="K6" s="42">
        <v>3</v>
      </c>
      <c r="L6" s="42">
        <v>10</v>
      </c>
      <c r="M6" s="41">
        <f t="shared" si="3"/>
        <v>0.3</v>
      </c>
      <c r="N6" s="42">
        <v>5</v>
      </c>
      <c r="O6" s="42">
        <v>12</v>
      </c>
      <c r="P6" s="41">
        <f t="shared" si="4"/>
        <v>0.41666666666666669</v>
      </c>
      <c r="Q6" s="1"/>
    </row>
    <row r="7" spans="1:17" ht="16.5" thickTop="1" thickBot="1" x14ac:dyDescent="0.3">
      <c r="A7" s="24" t="s">
        <v>13</v>
      </c>
      <c r="B7" s="40">
        <f>SUM(B4:B6)</f>
        <v>435</v>
      </c>
      <c r="C7" s="40">
        <f t="shared" ref="C7:O7" si="5">SUM(C4:C6)</f>
        <v>1267</v>
      </c>
      <c r="D7" s="41">
        <f t="shared" si="0"/>
        <v>0.34333070244672453</v>
      </c>
      <c r="E7" s="40">
        <f t="shared" si="5"/>
        <v>423</v>
      </c>
      <c r="F7" s="40">
        <f t="shared" si="5"/>
        <v>1227</v>
      </c>
      <c r="G7" s="41">
        <f t="shared" si="1"/>
        <v>0.34474327628361856</v>
      </c>
      <c r="H7" s="40">
        <f t="shared" si="5"/>
        <v>361</v>
      </c>
      <c r="I7" s="40">
        <f t="shared" si="5"/>
        <v>1019</v>
      </c>
      <c r="J7" s="41">
        <f t="shared" si="2"/>
        <v>0.35426889106967613</v>
      </c>
      <c r="K7" s="40">
        <f t="shared" si="5"/>
        <v>431</v>
      </c>
      <c r="L7" s="40">
        <f t="shared" si="5"/>
        <v>1182</v>
      </c>
      <c r="M7" s="41">
        <f t="shared" si="3"/>
        <v>0.36463620981387479</v>
      </c>
      <c r="N7" s="40">
        <f t="shared" si="5"/>
        <v>448</v>
      </c>
      <c r="O7" s="40">
        <f t="shared" si="5"/>
        <v>1168</v>
      </c>
      <c r="P7" s="41">
        <f t="shared" si="4"/>
        <v>0.38356164383561642</v>
      </c>
      <c r="Q7" s="12"/>
    </row>
    <row r="8" spans="1:17" ht="15.75" thickBot="1" x14ac:dyDescent="0.3">
      <c r="A8" s="4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"/>
    </row>
    <row r="9" spans="1:17" ht="26.25" thickBot="1" x14ac:dyDescent="0.3">
      <c r="A9" s="5" t="s">
        <v>14</v>
      </c>
      <c r="B9" s="23" t="s">
        <v>7</v>
      </c>
      <c r="C9" s="30" t="s">
        <v>38</v>
      </c>
      <c r="D9" s="32" t="s">
        <v>8</v>
      </c>
      <c r="E9" s="23" t="s">
        <v>7</v>
      </c>
      <c r="F9" s="30" t="s">
        <v>38</v>
      </c>
      <c r="G9" s="32" t="s">
        <v>8</v>
      </c>
      <c r="H9" s="23" t="s">
        <v>7</v>
      </c>
      <c r="I9" s="30" t="s">
        <v>38</v>
      </c>
      <c r="J9" s="32" t="s">
        <v>8</v>
      </c>
      <c r="K9" s="23" t="s">
        <v>7</v>
      </c>
      <c r="L9" s="30" t="s">
        <v>38</v>
      </c>
      <c r="M9" s="32" t="s">
        <v>8</v>
      </c>
      <c r="N9" s="23" t="s">
        <v>7</v>
      </c>
      <c r="O9" s="33" t="s">
        <v>9</v>
      </c>
      <c r="P9" s="34" t="s">
        <v>8</v>
      </c>
      <c r="Q9" s="1"/>
    </row>
    <row r="10" spans="1:17" x14ac:dyDescent="0.25">
      <c r="A10" s="20" t="s">
        <v>15</v>
      </c>
      <c r="B10" s="37">
        <v>279</v>
      </c>
      <c r="C10" s="37">
        <v>777</v>
      </c>
      <c r="D10" s="38">
        <f>B10/C10</f>
        <v>0.35907335907335908</v>
      </c>
      <c r="E10" s="37">
        <v>258</v>
      </c>
      <c r="F10" s="37">
        <v>737</v>
      </c>
      <c r="G10" s="38">
        <f>E10/F10</f>
        <v>0.35006784260515605</v>
      </c>
      <c r="H10" s="37">
        <v>224</v>
      </c>
      <c r="I10" s="37">
        <v>617</v>
      </c>
      <c r="J10" s="38">
        <f>H10/I10</f>
        <v>0.36304700162074555</v>
      </c>
      <c r="K10" s="37">
        <v>237</v>
      </c>
      <c r="L10" s="37">
        <v>652</v>
      </c>
      <c r="M10" s="38">
        <f>K10/L10</f>
        <v>0.36349693251533743</v>
      </c>
      <c r="N10" s="37">
        <v>245</v>
      </c>
      <c r="O10" s="37">
        <v>604</v>
      </c>
      <c r="P10" s="38">
        <f>N10/O10</f>
        <v>0.4056291390728477</v>
      </c>
      <c r="Q10" s="1"/>
    </row>
    <row r="11" spans="1:17" x14ac:dyDescent="0.25">
      <c r="A11" s="21" t="s">
        <v>16</v>
      </c>
      <c r="B11" s="37">
        <v>84</v>
      </c>
      <c r="C11" s="37">
        <v>277</v>
      </c>
      <c r="D11" s="38">
        <f t="shared" ref="D11:D18" si="6">B11/C11</f>
        <v>0.30324909747292417</v>
      </c>
      <c r="E11" s="37">
        <v>77</v>
      </c>
      <c r="F11" s="37">
        <v>259</v>
      </c>
      <c r="G11" s="38">
        <f t="shared" ref="G11:G18" si="7">E11/F11</f>
        <v>0.29729729729729731</v>
      </c>
      <c r="H11" s="37">
        <v>74</v>
      </c>
      <c r="I11" s="37">
        <v>211</v>
      </c>
      <c r="J11" s="38">
        <f t="shared" ref="J11:J18" si="8">H11/I11</f>
        <v>0.35071090047393366</v>
      </c>
      <c r="K11" s="37">
        <v>89</v>
      </c>
      <c r="L11" s="37">
        <v>276</v>
      </c>
      <c r="M11" s="38">
        <f t="shared" ref="M11:M18" si="9">K11/L11</f>
        <v>0.32246376811594202</v>
      </c>
      <c r="N11" s="37">
        <v>99</v>
      </c>
      <c r="O11" s="37">
        <v>301</v>
      </c>
      <c r="P11" s="38">
        <f t="shared" ref="P11:P18" si="10">N11/O11</f>
        <v>0.32890365448504982</v>
      </c>
      <c r="Q11" s="1"/>
    </row>
    <row r="12" spans="1:17" x14ac:dyDescent="0.25">
      <c r="A12" s="21" t="s">
        <v>17</v>
      </c>
      <c r="B12" s="37">
        <v>19</v>
      </c>
      <c r="C12" s="37">
        <v>61</v>
      </c>
      <c r="D12" s="38">
        <f t="shared" si="6"/>
        <v>0.31147540983606559</v>
      </c>
      <c r="E12" s="37">
        <v>14</v>
      </c>
      <c r="F12" s="37">
        <v>43</v>
      </c>
      <c r="G12" s="38">
        <f t="shared" si="7"/>
        <v>0.32558139534883723</v>
      </c>
      <c r="H12" s="37">
        <v>10</v>
      </c>
      <c r="I12" s="37">
        <v>26</v>
      </c>
      <c r="J12" s="38">
        <f t="shared" si="8"/>
        <v>0.38461538461538464</v>
      </c>
      <c r="K12" s="37">
        <v>14</v>
      </c>
      <c r="L12" s="37">
        <v>48</v>
      </c>
      <c r="M12" s="38">
        <f t="shared" si="9"/>
        <v>0.29166666666666669</v>
      </c>
      <c r="N12" s="37">
        <v>15</v>
      </c>
      <c r="O12" s="37">
        <v>44</v>
      </c>
      <c r="P12" s="38">
        <f t="shared" si="10"/>
        <v>0.34090909090909088</v>
      </c>
      <c r="Q12" s="1"/>
    </row>
    <row r="13" spans="1:17" x14ac:dyDescent="0.25">
      <c r="A13" s="21" t="s">
        <v>18</v>
      </c>
      <c r="B13" s="37">
        <v>8</v>
      </c>
      <c r="C13" s="37">
        <v>28</v>
      </c>
      <c r="D13" s="38">
        <f t="shared" si="6"/>
        <v>0.2857142857142857</v>
      </c>
      <c r="E13" s="37">
        <v>23</v>
      </c>
      <c r="F13" s="37">
        <v>44</v>
      </c>
      <c r="G13" s="38">
        <f t="shared" si="7"/>
        <v>0.52272727272727271</v>
      </c>
      <c r="H13" s="37">
        <v>9</v>
      </c>
      <c r="I13" s="37">
        <v>23</v>
      </c>
      <c r="J13" s="38">
        <f t="shared" si="8"/>
        <v>0.39130434782608697</v>
      </c>
      <c r="K13" s="37">
        <v>18</v>
      </c>
      <c r="L13" s="37">
        <v>32</v>
      </c>
      <c r="M13" s="38">
        <f t="shared" si="9"/>
        <v>0.5625</v>
      </c>
      <c r="N13" s="37">
        <v>21</v>
      </c>
      <c r="O13" s="37">
        <v>42</v>
      </c>
      <c r="P13" s="38">
        <f t="shared" si="10"/>
        <v>0.5</v>
      </c>
      <c r="Q13" s="1"/>
    </row>
    <row r="14" spans="1:17" x14ac:dyDescent="0.25">
      <c r="A14" s="21" t="s">
        <v>19</v>
      </c>
      <c r="B14" s="37">
        <v>5</v>
      </c>
      <c r="C14" s="37">
        <v>11</v>
      </c>
      <c r="D14" s="38">
        <f t="shared" si="6"/>
        <v>0.45454545454545453</v>
      </c>
      <c r="E14" s="37">
        <v>6</v>
      </c>
      <c r="F14" s="37">
        <v>7</v>
      </c>
      <c r="G14" s="38">
        <f t="shared" si="7"/>
        <v>0.8571428571428571</v>
      </c>
      <c r="H14" s="37">
        <v>1</v>
      </c>
      <c r="I14" s="37">
        <v>8</v>
      </c>
      <c r="J14" s="38">
        <f t="shared" si="8"/>
        <v>0.125</v>
      </c>
      <c r="K14" s="37">
        <v>5</v>
      </c>
      <c r="L14" s="37">
        <v>13</v>
      </c>
      <c r="M14" s="38">
        <f t="shared" si="9"/>
        <v>0.38461538461538464</v>
      </c>
      <c r="N14" s="37">
        <v>5</v>
      </c>
      <c r="O14" s="37">
        <v>14</v>
      </c>
      <c r="P14" s="38">
        <f t="shared" si="10"/>
        <v>0.35714285714285715</v>
      </c>
      <c r="Q14" s="1"/>
    </row>
    <row r="15" spans="1:17" x14ac:dyDescent="0.25">
      <c r="A15" s="21" t="s">
        <v>20</v>
      </c>
      <c r="B15" s="37">
        <v>7</v>
      </c>
      <c r="C15" s="37">
        <v>24</v>
      </c>
      <c r="D15" s="38">
        <f t="shared" si="6"/>
        <v>0.29166666666666669</v>
      </c>
      <c r="E15" s="37">
        <v>9</v>
      </c>
      <c r="F15" s="37">
        <v>30</v>
      </c>
      <c r="G15" s="38">
        <f t="shared" si="7"/>
        <v>0.3</v>
      </c>
      <c r="H15" s="37">
        <v>9</v>
      </c>
      <c r="I15" s="37">
        <v>43</v>
      </c>
      <c r="J15" s="38">
        <f t="shared" si="8"/>
        <v>0.20930232558139536</v>
      </c>
      <c r="K15" s="37">
        <v>21</v>
      </c>
      <c r="L15" s="37">
        <v>50</v>
      </c>
      <c r="M15" s="38">
        <f t="shared" si="9"/>
        <v>0.42</v>
      </c>
      <c r="N15" s="37">
        <v>20</v>
      </c>
      <c r="O15" s="37">
        <v>40</v>
      </c>
      <c r="P15" s="38">
        <f t="shared" si="10"/>
        <v>0.5</v>
      </c>
      <c r="Q15" s="1"/>
    </row>
    <row r="16" spans="1:17" x14ac:dyDescent="0.25">
      <c r="A16" s="21" t="s">
        <v>21</v>
      </c>
      <c r="B16" s="37">
        <v>1</v>
      </c>
      <c r="C16" s="37">
        <v>7</v>
      </c>
      <c r="D16" s="38">
        <f t="shared" si="6"/>
        <v>0.14285714285714285</v>
      </c>
      <c r="E16" s="37">
        <v>4</v>
      </c>
      <c r="F16" s="37">
        <v>11</v>
      </c>
      <c r="G16" s="38">
        <f t="shared" si="7"/>
        <v>0.36363636363636365</v>
      </c>
      <c r="H16" s="37">
        <v>1</v>
      </c>
      <c r="I16" s="37">
        <v>4</v>
      </c>
      <c r="J16" s="38">
        <f t="shared" si="8"/>
        <v>0.25</v>
      </c>
      <c r="K16" s="37">
        <v>5</v>
      </c>
      <c r="L16" s="37">
        <v>9</v>
      </c>
      <c r="M16" s="38">
        <f t="shared" si="9"/>
        <v>0.55555555555555558</v>
      </c>
      <c r="N16" s="37">
        <v>2</v>
      </c>
      <c r="O16" s="37">
        <v>12</v>
      </c>
      <c r="P16" s="38">
        <f t="shared" si="10"/>
        <v>0.16666666666666666</v>
      </c>
      <c r="Q16" s="1"/>
    </row>
    <row r="17" spans="1:16" x14ac:dyDescent="0.25">
      <c r="A17" s="21" t="s">
        <v>22</v>
      </c>
      <c r="B17" s="31"/>
      <c r="C17" s="31"/>
      <c r="D17" s="39"/>
      <c r="E17" s="31"/>
      <c r="F17" s="31"/>
      <c r="G17" s="39"/>
      <c r="H17" s="31"/>
      <c r="I17" s="31"/>
      <c r="J17" s="39"/>
      <c r="K17" s="31"/>
      <c r="L17" s="31"/>
      <c r="M17" s="39"/>
      <c r="N17" s="31"/>
      <c r="O17" s="31"/>
      <c r="P17" s="39"/>
    </row>
    <row r="18" spans="1:16" ht="15.75" thickBot="1" x14ac:dyDescent="0.3">
      <c r="A18" s="22" t="s">
        <v>12</v>
      </c>
      <c r="B18" s="37">
        <v>32</v>
      </c>
      <c r="C18" s="37">
        <v>82</v>
      </c>
      <c r="D18" s="38">
        <f t="shared" si="6"/>
        <v>0.3902439024390244</v>
      </c>
      <c r="E18" s="37">
        <v>32</v>
      </c>
      <c r="F18" s="37">
        <v>96</v>
      </c>
      <c r="G18" s="38">
        <f t="shared" si="7"/>
        <v>0.33333333333333331</v>
      </c>
      <c r="H18" s="37">
        <v>33</v>
      </c>
      <c r="I18" s="37">
        <v>87</v>
      </c>
      <c r="J18" s="38">
        <f t="shared" si="8"/>
        <v>0.37931034482758619</v>
      </c>
      <c r="K18" s="37">
        <v>42</v>
      </c>
      <c r="L18" s="37">
        <v>102</v>
      </c>
      <c r="M18" s="38">
        <f t="shared" si="9"/>
        <v>0.41176470588235292</v>
      </c>
      <c r="N18" s="37">
        <v>41</v>
      </c>
      <c r="O18" s="37">
        <v>111</v>
      </c>
      <c r="P18" s="38">
        <f t="shared" si="10"/>
        <v>0.36936936936936937</v>
      </c>
    </row>
    <row r="19" spans="1:16" ht="15.75" thickBot="1" x14ac:dyDescent="0.3">
      <c r="A19" s="2"/>
      <c r="B19" s="14"/>
      <c r="C19" s="14"/>
      <c r="D19" s="14"/>
      <c r="E19" s="14"/>
      <c r="F19" s="14"/>
      <c r="G19" s="14"/>
      <c r="H19" s="14"/>
      <c r="I19" s="14"/>
      <c r="J19" s="14"/>
      <c r="K19" s="16"/>
      <c r="L19" s="26"/>
      <c r="M19" s="17"/>
      <c r="N19" s="14"/>
      <c r="O19" s="14"/>
      <c r="P19" s="14"/>
    </row>
    <row r="20" spans="1:16" ht="26.25" thickBot="1" x14ac:dyDescent="0.3">
      <c r="A20" s="10" t="s">
        <v>23</v>
      </c>
      <c r="B20" s="23" t="s">
        <v>7</v>
      </c>
      <c r="C20" s="30" t="s">
        <v>38</v>
      </c>
      <c r="D20" s="32" t="s">
        <v>8</v>
      </c>
      <c r="E20" s="23" t="s">
        <v>7</v>
      </c>
      <c r="F20" s="30" t="s">
        <v>38</v>
      </c>
      <c r="G20" s="32" t="s">
        <v>8</v>
      </c>
      <c r="H20" s="23" t="s">
        <v>7</v>
      </c>
      <c r="I20" s="30" t="s">
        <v>38</v>
      </c>
      <c r="J20" s="32" t="s">
        <v>8</v>
      </c>
      <c r="K20" s="23" t="s">
        <v>7</v>
      </c>
      <c r="L20" s="30" t="s">
        <v>38</v>
      </c>
      <c r="M20" s="32" t="s">
        <v>8</v>
      </c>
      <c r="N20" s="23" t="s">
        <v>7</v>
      </c>
      <c r="O20" s="33" t="s">
        <v>9</v>
      </c>
      <c r="P20" s="34" t="s">
        <v>8</v>
      </c>
    </row>
    <row r="21" spans="1:16" x14ac:dyDescent="0.25">
      <c r="A21" s="9" t="s">
        <v>24</v>
      </c>
      <c r="B21" s="35">
        <v>178</v>
      </c>
      <c r="C21" s="35">
        <v>405</v>
      </c>
      <c r="D21" s="36">
        <f>B21/C21</f>
        <v>0.43950617283950616</v>
      </c>
      <c r="E21" s="42">
        <v>174</v>
      </c>
      <c r="F21" s="42">
        <v>376</v>
      </c>
      <c r="G21" s="36">
        <f>E21/F21</f>
        <v>0.46276595744680848</v>
      </c>
      <c r="H21" s="42">
        <v>95</v>
      </c>
      <c r="I21" s="42">
        <v>176</v>
      </c>
      <c r="J21" s="36">
        <f>H21/I21</f>
        <v>0.53977272727272729</v>
      </c>
      <c r="K21" s="42">
        <v>126</v>
      </c>
      <c r="L21" s="42">
        <v>246</v>
      </c>
      <c r="M21" s="36">
        <f>K21/L21</f>
        <v>0.51219512195121952</v>
      </c>
      <c r="N21" s="42">
        <v>101</v>
      </c>
      <c r="O21" s="42">
        <v>213</v>
      </c>
      <c r="P21" s="36">
        <f>N21/O21</f>
        <v>0.47417840375586856</v>
      </c>
    </row>
    <row r="22" spans="1:16" x14ac:dyDescent="0.25">
      <c r="A22" s="7" t="s">
        <v>25</v>
      </c>
      <c r="B22" s="35">
        <v>176</v>
      </c>
      <c r="C22" s="35">
        <v>516</v>
      </c>
      <c r="D22" s="36">
        <f t="shared" ref="D22:D29" si="11">B22/C22</f>
        <v>0.34108527131782945</v>
      </c>
      <c r="E22" s="42">
        <v>181</v>
      </c>
      <c r="F22" s="42">
        <v>532</v>
      </c>
      <c r="G22" s="36">
        <f t="shared" ref="G22:G29" si="12">E22/F22</f>
        <v>0.34022556390977443</v>
      </c>
      <c r="H22" s="42">
        <v>201</v>
      </c>
      <c r="I22" s="42">
        <v>580</v>
      </c>
      <c r="J22" s="36">
        <f t="shared" ref="J22:J28" si="13">H22/I22</f>
        <v>0.34655172413793106</v>
      </c>
      <c r="K22" s="42">
        <v>265</v>
      </c>
      <c r="L22" s="42">
        <v>728</v>
      </c>
      <c r="M22" s="36">
        <f t="shared" ref="M22:M28" si="14">K22/L22</f>
        <v>0.36401098901098899</v>
      </c>
      <c r="N22" s="42">
        <v>290</v>
      </c>
      <c r="O22" s="42">
        <v>759</v>
      </c>
      <c r="P22" s="36">
        <f t="shared" ref="P22:P28" si="15">N22/O22</f>
        <v>0.38208168642951251</v>
      </c>
    </row>
    <row r="23" spans="1:16" x14ac:dyDescent="0.25">
      <c r="A23" s="8" t="s">
        <v>26</v>
      </c>
      <c r="B23" s="35">
        <v>19</v>
      </c>
      <c r="C23" s="35">
        <v>110</v>
      </c>
      <c r="D23" s="36">
        <f t="shared" si="11"/>
        <v>0.17272727272727273</v>
      </c>
      <c r="E23" s="42">
        <v>23</v>
      </c>
      <c r="F23" s="42">
        <v>113</v>
      </c>
      <c r="G23" s="36">
        <f t="shared" si="12"/>
        <v>0.20353982300884957</v>
      </c>
      <c r="H23" s="42">
        <v>27</v>
      </c>
      <c r="I23" s="42">
        <v>93</v>
      </c>
      <c r="J23" s="36">
        <f t="shared" si="13"/>
        <v>0.29032258064516131</v>
      </c>
      <c r="K23" s="42">
        <v>18</v>
      </c>
      <c r="L23" s="42">
        <v>85</v>
      </c>
      <c r="M23" s="36">
        <f t="shared" si="14"/>
        <v>0.21176470588235294</v>
      </c>
      <c r="N23" s="42">
        <v>28</v>
      </c>
      <c r="O23" s="42">
        <v>95</v>
      </c>
      <c r="P23" s="36">
        <f t="shared" si="15"/>
        <v>0.29473684210526313</v>
      </c>
    </row>
    <row r="24" spans="1:16" x14ac:dyDescent="0.25">
      <c r="A24" s="8" t="s">
        <v>27</v>
      </c>
      <c r="B24" s="35">
        <v>16</v>
      </c>
      <c r="C24" s="35">
        <v>54</v>
      </c>
      <c r="D24" s="36">
        <f t="shared" si="11"/>
        <v>0.29629629629629628</v>
      </c>
      <c r="E24" s="42">
        <v>6</v>
      </c>
      <c r="F24" s="42">
        <v>35</v>
      </c>
      <c r="G24" s="36">
        <f t="shared" si="12"/>
        <v>0.17142857142857143</v>
      </c>
      <c r="H24" s="42">
        <v>8</v>
      </c>
      <c r="I24" s="42">
        <v>41</v>
      </c>
      <c r="J24" s="36">
        <f t="shared" si="13"/>
        <v>0.1951219512195122</v>
      </c>
      <c r="K24" s="42">
        <v>8</v>
      </c>
      <c r="L24" s="42">
        <v>28</v>
      </c>
      <c r="M24" s="36">
        <f t="shared" si="14"/>
        <v>0.2857142857142857</v>
      </c>
      <c r="N24" s="42">
        <v>9</v>
      </c>
      <c r="O24" s="42">
        <v>24</v>
      </c>
      <c r="P24" s="36">
        <f t="shared" si="15"/>
        <v>0.375</v>
      </c>
    </row>
    <row r="25" spans="1:16" x14ac:dyDescent="0.25">
      <c r="A25" s="8" t="s">
        <v>28</v>
      </c>
      <c r="B25" s="35">
        <v>11</v>
      </c>
      <c r="C25" s="35">
        <v>54</v>
      </c>
      <c r="D25" s="36">
        <f t="shared" si="11"/>
        <v>0.20370370370370369</v>
      </c>
      <c r="E25" s="42">
        <v>12</v>
      </c>
      <c r="F25" s="42">
        <v>53</v>
      </c>
      <c r="G25" s="36">
        <f t="shared" si="12"/>
        <v>0.22641509433962265</v>
      </c>
      <c r="H25" s="42">
        <v>10</v>
      </c>
      <c r="I25" s="42">
        <v>43</v>
      </c>
      <c r="J25" s="36">
        <f t="shared" si="13"/>
        <v>0.23255813953488372</v>
      </c>
      <c r="K25" s="42">
        <v>2</v>
      </c>
      <c r="L25" s="42">
        <v>16</v>
      </c>
      <c r="M25" s="36">
        <f t="shared" si="14"/>
        <v>0.125</v>
      </c>
      <c r="N25" s="42">
        <v>2</v>
      </c>
      <c r="O25" s="42">
        <v>15</v>
      </c>
      <c r="P25" s="36">
        <f t="shared" si="15"/>
        <v>0.13333333333333333</v>
      </c>
    </row>
    <row r="26" spans="1:16" x14ac:dyDescent="0.25">
      <c r="A26" s="8" t="s">
        <v>29</v>
      </c>
      <c r="B26" s="35">
        <v>14</v>
      </c>
      <c r="C26" s="35">
        <v>49</v>
      </c>
      <c r="D26" s="36">
        <f t="shared" si="11"/>
        <v>0.2857142857142857</v>
      </c>
      <c r="E26" s="42">
        <v>7</v>
      </c>
      <c r="F26" s="42">
        <v>40</v>
      </c>
      <c r="G26" s="36">
        <f t="shared" si="12"/>
        <v>0.17499999999999999</v>
      </c>
      <c r="H26" s="42">
        <v>9</v>
      </c>
      <c r="I26" s="42">
        <v>33</v>
      </c>
      <c r="J26" s="36">
        <f t="shared" si="13"/>
        <v>0.27272727272727271</v>
      </c>
      <c r="K26" s="42">
        <v>4</v>
      </c>
      <c r="L26" s="42">
        <v>29</v>
      </c>
      <c r="M26" s="36">
        <f t="shared" si="14"/>
        <v>0.13793103448275862</v>
      </c>
      <c r="N26" s="42">
        <v>5</v>
      </c>
      <c r="O26" s="42">
        <v>23</v>
      </c>
      <c r="P26" s="36">
        <f t="shared" si="15"/>
        <v>0.21739130434782608</v>
      </c>
    </row>
    <row r="27" spans="1:16" x14ac:dyDescent="0.25">
      <c r="A27" s="6" t="s">
        <v>30</v>
      </c>
      <c r="B27" s="35">
        <v>17</v>
      </c>
      <c r="C27" s="35">
        <v>60</v>
      </c>
      <c r="D27" s="36">
        <f t="shared" si="11"/>
        <v>0.28333333333333333</v>
      </c>
      <c r="E27" s="42">
        <v>15</v>
      </c>
      <c r="F27" s="42">
        <v>62</v>
      </c>
      <c r="G27" s="36">
        <f t="shared" si="12"/>
        <v>0.24193548387096775</v>
      </c>
      <c r="H27" s="42">
        <v>11</v>
      </c>
      <c r="I27" s="42">
        <v>43</v>
      </c>
      <c r="J27" s="36">
        <f t="shared" si="13"/>
        <v>0.2558139534883721</v>
      </c>
      <c r="K27" s="42">
        <v>5</v>
      </c>
      <c r="L27" s="42">
        <v>39</v>
      </c>
      <c r="M27" s="36">
        <f t="shared" si="14"/>
        <v>0.12820512820512819</v>
      </c>
      <c r="N27" s="42">
        <v>10</v>
      </c>
      <c r="O27" s="42">
        <v>30</v>
      </c>
      <c r="P27" s="36">
        <f t="shared" si="15"/>
        <v>0.33333333333333331</v>
      </c>
    </row>
    <row r="28" spans="1:16" x14ac:dyDescent="0.25">
      <c r="A28" s="6" t="s">
        <v>31</v>
      </c>
      <c r="B28" s="35">
        <v>3</v>
      </c>
      <c r="C28" s="35">
        <v>15</v>
      </c>
      <c r="D28" s="36">
        <f t="shared" si="11"/>
        <v>0.2</v>
      </c>
      <c r="E28" s="42">
        <v>4</v>
      </c>
      <c r="F28" s="42">
        <v>15</v>
      </c>
      <c r="G28" s="36">
        <f t="shared" si="12"/>
        <v>0.26666666666666666</v>
      </c>
      <c r="H28" s="42">
        <v>0</v>
      </c>
      <c r="I28" s="42">
        <v>10</v>
      </c>
      <c r="J28" s="36">
        <f t="shared" si="13"/>
        <v>0</v>
      </c>
      <c r="K28" s="42">
        <v>3</v>
      </c>
      <c r="L28" s="42">
        <v>11</v>
      </c>
      <c r="M28" s="36">
        <f t="shared" si="14"/>
        <v>0.27272727272727271</v>
      </c>
      <c r="N28" s="42">
        <v>3</v>
      </c>
      <c r="O28" s="42">
        <v>9</v>
      </c>
      <c r="P28" s="36">
        <f t="shared" si="15"/>
        <v>0.33333333333333331</v>
      </c>
    </row>
    <row r="29" spans="1:16" ht="15.75" thickBot="1" x14ac:dyDescent="0.3">
      <c r="A29" s="22" t="s">
        <v>12</v>
      </c>
      <c r="B29" s="35">
        <v>1</v>
      </c>
      <c r="C29" s="35">
        <v>4</v>
      </c>
      <c r="D29" s="36">
        <f t="shared" si="11"/>
        <v>0.25</v>
      </c>
      <c r="E29" s="42">
        <v>1</v>
      </c>
      <c r="F29" s="42">
        <v>1</v>
      </c>
      <c r="G29" s="36">
        <f t="shared" si="12"/>
        <v>1</v>
      </c>
      <c r="H29" s="35">
        <v>0</v>
      </c>
      <c r="I29" s="35">
        <v>0</v>
      </c>
      <c r="J29" s="36">
        <v>0</v>
      </c>
      <c r="K29" s="35">
        <v>0</v>
      </c>
      <c r="L29" s="35">
        <v>0</v>
      </c>
      <c r="M29" s="36">
        <v>0</v>
      </c>
      <c r="N29" s="35">
        <v>0</v>
      </c>
      <c r="O29" s="35">
        <v>0</v>
      </c>
      <c r="P29" s="36">
        <v>0</v>
      </c>
    </row>
    <row r="30" spans="1:16" x14ac:dyDescent="0.25">
      <c r="A30" s="2"/>
      <c r="B30" s="14"/>
      <c r="C30" s="14"/>
      <c r="D30" s="15"/>
      <c r="E30" s="14"/>
      <c r="F30" s="14"/>
      <c r="G30" s="15"/>
      <c r="H30" s="14"/>
      <c r="I30" s="14"/>
      <c r="J30" s="15"/>
      <c r="K30" s="14"/>
      <c r="L30" s="14"/>
      <c r="M30" s="15"/>
      <c r="N30" s="14"/>
      <c r="O30" s="14"/>
      <c r="P30" s="15"/>
    </row>
    <row r="31" spans="1:16" x14ac:dyDescent="0.25">
      <c r="A31" s="28" t="s">
        <v>40</v>
      </c>
      <c r="B31" s="1"/>
      <c r="D31" s="1"/>
      <c r="E31" s="1"/>
      <c r="G31" s="1"/>
      <c r="H31" s="1"/>
      <c r="J31" s="1"/>
      <c r="K31" s="1"/>
      <c r="M31" s="1"/>
      <c r="N31" s="1"/>
      <c r="O31" s="1"/>
      <c r="P31" s="1"/>
    </row>
    <row r="32" spans="1:16" x14ac:dyDescent="0.25">
      <c r="A32" s="29" t="s">
        <v>32</v>
      </c>
      <c r="B32" s="1"/>
      <c r="D32" s="1"/>
      <c r="E32" s="1"/>
      <c r="G32" s="1"/>
      <c r="H32" s="1"/>
      <c r="J32" s="1"/>
      <c r="K32" s="1"/>
      <c r="M32" s="1"/>
      <c r="N32" s="1"/>
      <c r="O32" s="1"/>
      <c r="P32" s="1"/>
    </row>
    <row r="33" spans="1:1" x14ac:dyDescent="0.25">
      <c r="A33" s="29" t="s">
        <v>33</v>
      </c>
    </row>
    <row r="34" spans="1:1" x14ac:dyDescent="0.25">
      <c r="A34" s="29" t="s">
        <v>34</v>
      </c>
    </row>
    <row r="35" spans="1:1" x14ac:dyDescent="0.25">
      <c r="A35" s="29" t="s">
        <v>35</v>
      </c>
    </row>
    <row r="36" spans="1:1" x14ac:dyDescent="0.25">
      <c r="A36" s="29" t="s">
        <v>36</v>
      </c>
    </row>
    <row r="37" spans="1:1" x14ac:dyDescent="0.25">
      <c r="A37" s="29" t="s">
        <v>37</v>
      </c>
    </row>
    <row r="38" spans="1:1" ht="15.75" x14ac:dyDescent="0.3">
      <c r="A38" s="27"/>
    </row>
  </sheetData>
  <mergeCells count="7">
    <mergeCell ref="A1:A2"/>
    <mergeCell ref="B1:P1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3B32A2-093B-4E63-839D-E0A17D3360F6}"/>
</file>

<file path=customXml/itemProps2.xml><?xml version="1.0" encoding="utf-8"?>
<ds:datastoreItem xmlns:ds="http://schemas.openxmlformats.org/officeDocument/2006/customXml" ds:itemID="{DF8ABF21-48F2-46BB-A0CE-F15B54F5747E}"/>
</file>

<file path=customXml/itemProps3.xml><?xml version="1.0" encoding="utf-8"?>
<ds:datastoreItem xmlns:ds="http://schemas.openxmlformats.org/officeDocument/2006/customXml" ds:itemID="{86629387-DFA4-408E-BD43-C849628DF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2012-06-11T21:33:04Z</dcterms:created>
  <dcterms:modified xsi:type="dcterms:W3CDTF">2012-09-18T16:40:03Z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